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Lots'!P167+'Equities - Lots'!M53+'Crypto - Lots'!K32+'Unit Trust (SGD)'!M16</f>
        <v/>
      </c>
      <c r="C8" s="55" t="n"/>
      <c r="D8" s="56" t="n"/>
      <c r="F8" s="60">
        <f>'MF - Lots'!O167+'Equities - Lots'!L53+'Crypto - Lots'!J32+'Unit Trust (SGD)'!L16</f>
        <v/>
      </c>
      <c r="G8" s="55" t="n"/>
      <c r="H8" s="56" t="n"/>
      <c r="J8" s="60">
        <f>'MF - Lots'!Q167+'Equities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Lots'!Q167+'Equities - Lots'!N53+'Crypto - Lots'!L32+'Unit Trust (SGD)'!N16)/('MF - Lots'!O167+'Equities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Lots'!P167+'Equities - Lots'!M53+'Crypto - Lots'!K32</f>
        <v/>
      </c>
      <c r="D5" s="10">
        <f>'MF - Lots'!O167+'Equities - Lots'!L53+'Crypto - Lots'!J32</f>
        <v/>
      </c>
      <c r="E5" s="10">
        <f>C5-D5</f>
        <v/>
      </c>
      <c r="F5" s="26">
        <f>IFERROR(E5/D5,0)</f>
        <v/>
      </c>
      <c r="G5" s="10">
        <f>'MF - Lots'!P167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27099858</v>
      </c>
      <c r="D9" s="29" t="n">
        <v>22652740</v>
      </c>
      <c r="E9" s="29" t="n">
        <v>4447118</v>
      </c>
      <c r="F9" s="30" t="n">
        <v>0.1963</v>
      </c>
      <c r="G9" s="29" t="n">
        <v>19315301</v>
      </c>
      <c r="H9" s="29" t="n">
        <v>5236944</v>
      </c>
      <c r="I9" s="29" t="n">
        <v>1154877</v>
      </c>
      <c r="J9" s="31" t="n">
        <v>32.65</v>
      </c>
      <c r="K9" s="32" t="inlineStr">
        <is>
          <t>Auto weekly snapshot</t>
        </is>
      </c>
    </row>
    <row r="10" ht="15" customHeight="1" s="58">
      <c r="B10" s="28" t="n"/>
      <c r="C10" s="29" t="n"/>
      <c r="D10" s="29" t="n"/>
      <c r="E10" s="29" t="n"/>
      <c r="F10" s="30" t="n"/>
      <c r="G10" s="29" t="n"/>
      <c r="H10" s="29" t="n"/>
      <c r="I10" s="29" t="n"/>
      <c r="J10" s="31" t="n"/>
      <c r="K10" s="32" t="n"/>
    </row>
    <row r="11" ht="15" customHeight="1" s="58">
      <c r="B11" s="28" t="n"/>
      <c r="C11" s="29" t="n"/>
      <c r="D11" s="29" t="n"/>
      <c r="E11" s="29" t="n"/>
      <c r="F11" s="30" t="n"/>
      <c r="G11" s="29" t="n"/>
      <c r="H11" s="29" t="n"/>
      <c r="I11" s="29" t="n"/>
      <c r="J11" s="31" t="n"/>
      <c r="K11" s="32" t="n"/>
    </row>
    <row r="12" ht="15" customHeight="1" s="58">
      <c r="B12" s="28" t="n"/>
      <c r="C12" s="29" t="n"/>
      <c r="D12" s="29" t="n"/>
      <c r="E12" s="29" t="n"/>
      <c r="F12" s="30" t="n"/>
      <c r="G12" s="29" t="n"/>
      <c r="H12" s="29" t="n"/>
      <c r="I12" s="29" t="n"/>
      <c r="J12" s="31" t="n"/>
      <c r="K12" s="32" t="n"/>
    </row>
    <row r="13" ht="15" customHeight="1" s="58">
      <c r="B13" s="28" t="n"/>
      <c r="C13" s="29" t="n"/>
      <c r="D13" s="29" t="n"/>
      <c r="E13" s="29" t="n"/>
      <c r="F13" s="30" t="n"/>
      <c r="G13" s="29" t="n"/>
      <c r="H13" s="29" t="n"/>
      <c r="I13" s="29" t="n"/>
      <c r="J13" s="31" t="n"/>
      <c r="K13" s="32" t="n"/>
    </row>
    <row r="14" ht="15" customHeight="1" s="58">
      <c r="B14" s="28" t="n"/>
      <c r="C14" s="29" t="n"/>
      <c r="D14" s="29" t="n"/>
      <c r="E14" s="29" t="n"/>
      <c r="F14" s="30" t="n"/>
      <c r="G14" s="29" t="n"/>
      <c r="H14" s="29" t="n"/>
      <c r="I14" s="29" t="n"/>
      <c r="J14" s="31" t="n"/>
      <c r="K14" s="32" t="n"/>
    </row>
    <row r="15" ht="15" customHeight="1" s="58">
      <c r="B15" s="28" t="n"/>
      <c r="C15" s="29" t="n"/>
      <c r="D15" s="29" t="n"/>
      <c r="E15" s="29" t="n"/>
      <c r="F15" s="30" t="n"/>
      <c r="G15" s="29" t="n"/>
      <c r="H15" s="29" t="n"/>
      <c r="I15" s="29" t="n"/>
      <c r="J15" s="31" t="n"/>
      <c r="K15" s="32" t="n"/>
    </row>
    <row r="16" ht="15" customHeight="1" s="58">
      <c r="B16" s="28" t="n"/>
      <c r="C16" s="29" t="n"/>
      <c r="D16" s="29" t="n"/>
      <c r="E16" s="29" t="n"/>
      <c r="F16" s="30" t="n"/>
      <c r="G16" s="29" t="n"/>
      <c r="H16" s="29" t="n"/>
      <c r="I16" s="29" t="n"/>
      <c r="J16" s="31" t="n"/>
      <c r="K16" s="32" t="n"/>
    </row>
    <row r="17" ht="15" customHeight="1" s="58">
      <c r="B17" s="28" t="n"/>
      <c r="C17" s="29" t="n"/>
      <c r="D17" s="29" t="n"/>
      <c r="E17" s="29" t="n"/>
      <c r="F17" s="30" t="n"/>
      <c r="G17" s="29" t="n"/>
      <c r="H17" s="29" t="n"/>
      <c r="I17" s="29" t="n"/>
      <c r="J17" s="31" t="n"/>
      <c r="K17" s="32" t="n"/>
    </row>
    <row r="18" ht="15" customHeight="1" s="58">
      <c r="B18" s="28" t="n"/>
      <c r="C18" s="29" t="n"/>
      <c r="D18" s="29" t="n"/>
      <c r="E18" s="29" t="n"/>
      <c r="F18" s="30" t="n"/>
      <c r="G18" s="29" t="n"/>
      <c r="H18" s="29" t="n"/>
      <c r="I18" s="29" t="n"/>
      <c r="J18" s="31" t="n"/>
      <c r="K18" s="32" t="n"/>
    </row>
    <row r="19" ht="15" customHeight="1" s="58">
      <c r="B19" s="28" t="n"/>
      <c r="C19" s="29" t="n"/>
      <c r="D19" s="29" t="n"/>
      <c r="E19" s="29" t="n"/>
      <c r="F19" s="30" t="n"/>
      <c r="G19" s="29" t="n"/>
      <c r="H19" s="29" t="n"/>
      <c r="I19" s="29" t="n"/>
      <c r="J19" s="31" t="n"/>
      <c r="K19" s="32" t="n"/>
    </row>
    <row r="20" ht="15" customHeight="1" s="58">
      <c r="B20" s="28" t="n"/>
      <c r="C20" s="29" t="n"/>
      <c r="D20" s="29" t="n"/>
      <c r="E20" s="29" t="n"/>
      <c r="F20" s="30" t="n"/>
      <c r="G20" s="29" t="n"/>
      <c r="H20" s="29" t="n"/>
      <c r="I20" s="29" t="n"/>
      <c r="J20" s="31" t="n"/>
      <c r="K20" s="32" t="n"/>
    </row>
    <row r="21" ht="15" customHeight="1" s="58">
      <c r="B21" s="28" t="n"/>
      <c r="C21" s="29" t="n"/>
      <c r="D21" s="29" t="n"/>
      <c r="E21" s="29" t="n"/>
      <c r="F21" s="30" t="n"/>
      <c r="G21" s="29" t="n"/>
      <c r="H21" s="29" t="n"/>
      <c r="I21" s="29" t="n"/>
      <c r="J21" s="31" t="n"/>
      <c r="K21" s="32" t="n"/>
    </row>
    <row r="22" ht="15" customHeight="1" s="58">
      <c r="B22" s="28" t="n"/>
      <c r="C22" s="29" t="n"/>
      <c r="D22" s="29" t="n"/>
      <c r="E22" s="29" t="n"/>
      <c r="F22" s="30" t="n"/>
      <c r="G22" s="29" t="n"/>
      <c r="H22" s="29" t="n"/>
      <c r="I22" s="29" t="n"/>
      <c r="J22" s="31" t="n"/>
      <c r="K22" s="32" t="n"/>
    </row>
    <row r="23" ht="15" customHeight="1" s="58">
      <c r="B23" s="28" t="n"/>
      <c r="C23" s="29" t="n"/>
      <c r="D23" s="29" t="n"/>
      <c r="E23" s="29" t="n"/>
      <c r="F23" s="30" t="n"/>
      <c r="G23" s="29" t="n"/>
      <c r="H23" s="29" t="n"/>
      <c r="I23" s="29" t="n"/>
      <c r="J23" s="31" t="n"/>
      <c r="K23" s="32" t="n"/>
    </row>
    <row r="24" ht="15" customHeight="1" s="58">
      <c r="B24" s="28" t="n"/>
      <c r="C24" s="29" t="n"/>
      <c r="D24" s="29" t="n"/>
      <c r="E24" s="29" t="n"/>
      <c r="F24" s="30" t="n"/>
      <c r="G24" s="29" t="n"/>
      <c r="H24" s="29" t="n"/>
      <c r="I24" s="29" t="n"/>
      <c r="J24" s="31" t="n"/>
      <c r="K24" s="32" t="n"/>
    </row>
    <row r="25" ht="15" customHeight="1" s="58">
      <c r="B25" s="28" t="n"/>
      <c r="C25" s="29" t="n"/>
      <c r="D25" s="29" t="n"/>
      <c r="E25" s="29" t="n"/>
      <c r="F25" s="30" t="n"/>
      <c r="G25" s="29" t="n"/>
      <c r="H25" s="29" t="n"/>
      <c r="I25" s="29" t="n"/>
      <c r="J25" s="31" t="n"/>
      <c r="K25" s="32" t="n"/>
    </row>
    <row r="26" ht="15" customHeight="1" s="58">
      <c r="B26" s="28" t="n"/>
      <c r="C26" s="29" t="n"/>
      <c r="D26" s="29" t="n"/>
      <c r="E26" s="29" t="n"/>
      <c r="F26" s="30" t="n"/>
      <c r="G26" s="29" t="n"/>
      <c r="H26" s="29" t="n"/>
      <c r="I26" s="29" t="n"/>
      <c r="J26" s="31" t="n"/>
      <c r="K26" s="32" t="n"/>
    </row>
    <row r="27" ht="15" customHeight="1" s="58">
      <c r="B27" s="28" t="n"/>
      <c r="C27" s="29" t="n"/>
      <c r="D27" s="29" t="n"/>
      <c r="E27" s="29" t="n"/>
      <c r="F27" s="30" t="n"/>
      <c r="G27" s="29" t="n"/>
      <c r="H27" s="29" t="n"/>
      <c r="I27" s="29" t="n"/>
      <c r="J27" s="31" t="n"/>
      <c r="K27" s="32" t="n"/>
    </row>
    <row r="28" ht="15" customHeight="1" s="58">
      <c r="B28" s="28" t="n"/>
      <c r="C28" s="29" t="n"/>
      <c r="D28" s="29" t="n"/>
      <c r="E28" s="29" t="n"/>
      <c r="F28" s="30" t="n"/>
      <c r="G28" s="29" t="n"/>
      <c r="H28" s="29" t="n"/>
      <c r="I28" s="29" t="n"/>
      <c r="J28" s="31" t="n"/>
      <c r="K28" s="32" t="n"/>
    </row>
    <row r="29" ht="15" customHeight="1" s="58">
      <c r="B29" s="28" t="n"/>
      <c r="C29" s="29" t="n"/>
      <c r="D29" s="29" t="n"/>
      <c r="E29" s="29" t="n"/>
      <c r="F29" s="30" t="n"/>
      <c r="G29" s="29" t="n"/>
      <c r="H29" s="29" t="n"/>
      <c r="I29" s="29" t="n"/>
      <c r="J29" s="31" t="n"/>
      <c r="K29" s="32" t="n"/>
    </row>
    <row r="30" ht="15" customHeight="1" s="58">
      <c r="B30" s="28" t="n"/>
      <c r="C30" s="29" t="n"/>
      <c r="D30" s="29" t="n"/>
      <c r="E30" s="29" t="n"/>
      <c r="F30" s="30" t="n"/>
      <c r="G30" s="29" t="n"/>
      <c r="H30" s="29" t="n"/>
      <c r="I30" s="29" t="n"/>
      <c r="J30" s="31" t="n"/>
      <c r="K30" s="32" t="n"/>
    </row>
    <row r="31" ht="15" customHeight="1" s="58">
      <c r="B31" s="28" t="n"/>
      <c r="C31" s="29" t="n"/>
      <c r="D31" s="29" t="n"/>
      <c r="E31" s="29" t="n"/>
      <c r="F31" s="30" t="n"/>
      <c r="G31" s="29" t="n"/>
      <c r="H31" s="29" t="n"/>
      <c r="I31" s="29" t="n"/>
      <c r="J31" s="31" t="n"/>
      <c r="K31" s="32" t="n"/>
    </row>
    <row r="32" ht="15" customHeight="1" s="58">
      <c r="B32" s="28" t="n"/>
      <c r="C32" s="29" t="n"/>
      <c r="D32" s="29" t="n"/>
      <c r="E32" s="29" t="n"/>
      <c r="F32" s="30" t="n"/>
      <c r="G32" s="29" t="n"/>
      <c r="H32" s="29" t="n"/>
      <c r="I32" s="29" t="n"/>
      <c r="J32" s="31" t="n"/>
      <c r="K32" s="32" t="n"/>
    </row>
    <row r="33" ht="15" customHeight="1" s="58">
      <c r="B33" s="28" t="n"/>
      <c r="C33" s="29" t="n"/>
      <c r="D33" s="29" t="n"/>
      <c r="E33" s="29" t="n"/>
      <c r="F33" s="30" t="n"/>
      <c r="G33" s="29" t="n"/>
      <c r="H33" s="29" t="n"/>
      <c r="I33" s="29" t="n"/>
      <c r="J33" s="31" t="n"/>
      <c r="K33" s="32" t="n"/>
    </row>
    <row r="34" ht="15" customHeight="1" s="58">
      <c r="B34" s="28" t="n"/>
      <c r="C34" s="29" t="n"/>
      <c r="D34" s="29" t="n"/>
      <c r="E34" s="29" t="n"/>
      <c r="F34" s="30" t="n"/>
      <c r="G34" s="29" t="n"/>
      <c r="H34" s="29" t="n"/>
      <c r="I34" s="29" t="n"/>
      <c r="J34" s="31" t="n"/>
      <c r="K34" s="32" t="n"/>
    </row>
    <row r="35" ht="15" customHeight="1" s="58">
      <c r="B35" s="28" t="n"/>
      <c r="C35" s="29" t="n"/>
      <c r="D35" s="29" t="n"/>
      <c r="E35" s="29" t="n"/>
      <c r="F35" s="30" t="n"/>
      <c r="G35" s="29" t="n"/>
      <c r="H35" s="29" t="n"/>
      <c r="I35" s="29" t="n"/>
      <c r="J35" s="31" t="n"/>
      <c r="K35" s="32" t="n"/>
    </row>
    <row r="36" ht="15" customHeight="1" s="58">
      <c r="B36" s="28" t="n"/>
      <c r="C36" s="29" t="n"/>
      <c r="D36" s="29" t="n"/>
      <c r="E36" s="29" t="n"/>
      <c r="F36" s="30" t="n"/>
      <c r="G36" s="29" t="n"/>
      <c r="H36" s="29" t="n"/>
      <c r="I36" s="29" t="n"/>
      <c r="J36" s="31" t="n"/>
      <c r="K36" s="32" t="n"/>
    </row>
    <row r="37" ht="15" customHeight="1" s="58">
      <c r="B37" s="28" t="n"/>
      <c r="C37" s="29" t="n"/>
      <c r="D37" s="29" t="n"/>
      <c r="E37" s="29" t="n"/>
      <c r="F37" s="30" t="n"/>
      <c r="G37" s="29" t="n"/>
      <c r="H37" s="29" t="n"/>
      <c r="I37" s="29" t="n"/>
      <c r="J37" s="31" t="n"/>
      <c r="K37" s="32" t="n"/>
    </row>
    <row r="38" ht="15" customHeight="1" s="58">
      <c r="B38" s="28" t="n"/>
      <c r="C38" s="29" t="n"/>
      <c r="D38" s="29" t="n"/>
      <c r="E38" s="29" t="n"/>
      <c r="F38" s="30" t="n"/>
      <c r="G38" s="29" t="n"/>
      <c r="H38" s="29" t="n"/>
      <c r="I38" s="29" t="n"/>
      <c r="J38" s="31" t="n"/>
      <c r="K38" s="32" t="n"/>
    </row>
    <row r="39" ht="15" customHeight="1" s="58">
      <c r="B39" s="28" t="n"/>
      <c r="C39" s="29" t="n"/>
      <c r="D39" s="29" t="n"/>
      <c r="E39" s="29" t="n"/>
      <c r="F39" s="30" t="n"/>
      <c r="G39" s="29" t="n"/>
      <c r="H39" s="29" t="n"/>
      <c r="I39" s="29" t="n"/>
      <c r="J39" s="31" t="n"/>
      <c r="K39" s="32" t="n"/>
    </row>
    <row r="40" ht="15" customHeight="1" s="58">
      <c r="B40" s="28" t="n"/>
      <c r="C40" s="29" t="n"/>
      <c r="D40" s="29" t="n"/>
      <c r="E40" s="29" t="n"/>
      <c r="F40" s="30" t="n"/>
      <c r="G40" s="29" t="n"/>
      <c r="H40" s="29" t="n"/>
      <c r="I40" s="29" t="n"/>
      <c r="J40" s="31" t="n"/>
      <c r="K40" s="32" t="n"/>
    </row>
    <row r="41" ht="15" customHeight="1" s="58">
      <c r="B41" s="28" t="n"/>
      <c r="C41" s="29" t="n"/>
      <c r="D41" s="29" t="n"/>
      <c r="E41" s="29" t="n"/>
      <c r="F41" s="30" t="n"/>
      <c r="G41" s="29" t="n"/>
      <c r="H41" s="29" t="n"/>
      <c r="I41" s="29" t="n"/>
      <c r="J41" s="31" t="n"/>
      <c r="K41" s="32" t="n"/>
    </row>
    <row r="42" ht="15" customHeight="1" s="58">
      <c r="B42" s="28" t="n"/>
      <c r="C42" s="29" t="n"/>
      <c r="D42" s="29" t="n"/>
      <c r="E42" s="29" t="n"/>
      <c r="F42" s="30" t="n"/>
      <c r="G42" s="29" t="n"/>
      <c r="H42" s="29" t="n"/>
      <c r="I42" s="29" t="n"/>
      <c r="J42" s="31" t="n"/>
      <c r="K42" s="32" t="n"/>
    </row>
    <row r="43" ht="15" customHeight="1" s="58">
      <c r="B43" s="28" t="n"/>
      <c r="C43" s="29" t="n"/>
      <c r="D43" s="29" t="n"/>
      <c r="E43" s="29" t="n"/>
      <c r="F43" s="30" t="n"/>
      <c r="G43" s="29" t="n"/>
      <c r="H43" s="29" t="n"/>
      <c r="I43" s="29" t="n"/>
      <c r="J43" s="31" t="n"/>
      <c r="K43" s="32" t="n"/>
    </row>
    <row r="44" ht="15" customHeight="1" s="58">
      <c r="B44" s="28" t="n"/>
      <c r="C44" s="29" t="n"/>
      <c r="D44" s="29" t="n"/>
      <c r="E44" s="29" t="n"/>
      <c r="F44" s="30" t="n"/>
      <c r="G44" s="29" t="n"/>
      <c r="H44" s="29" t="n"/>
      <c r="I44" s="29" t="n"/>
      <c r="J44" s="31" t="n"/>
      <c r="K44" s="32" t="n"/>
    </row>
    <row r="45" ht="15" customHeight="1" s="58">
      <c r="B45" s="28" t="n"/>
      <c r="C45" s="29" t="n"/>
      <c r="D45" s="29" t="n"/>
      <c r="E45" s="29" t="n"/>
      <c r="F45" s="30" t="n"/>
      <c r="G45" s="29" t="n"/>
      <c r="H45" s="29" t="n"/>
      <c r="I45" s="29" t="n"/>
      <c r="J45" s="31" t="n"/>
      <c r="K45" s="32" t="n"/>
    </row>
    <row r="46" ht="15" customHeight="1" s="58">
      <c r="B46" s="28" t="n"/>
      <c r="C46" s="29" t="n"/>
      <c r="D46" s="29" t="n"/>
      <c r="E46" s="29" t="n"/>
      <c r="F46" s="30" t="n"/>
      <c r="G46" s="29" t="n"/>
      <c r="H46" s="29" t="n"/>
      <c r="I46" s="29" t="n"/>
      <c r="J46" s="31" t="n"/>
      <c r="K46" s="32" t="n"/>
    </row>
    <row r="47" ht="15" customHeight="1" s="58">
      <c r="B47" s="28" t="n"/>
      <c r="C47" s="29" t="n"/>
      <c r="D47" s="29" t="n"/>
      <c r="E47" s="29" t="n"/>
      <c r="F47" s="30" t="n"/>
      <c r="G47" s="29" t="n"/>
      <c r="H47" s="29" t="n"/>
      <c r="I47" s="29" t="n"/>
      <c r="J47" s="31" t="n"/>
      <c r="K47" s="32" t="n"/>
    </row>
    <row r="48" ht="15" customHeight="1" s="58">
      <c r="B48" s="28" t="n"/>
      <c r="C48" s="29" t="n"/>
      <c r="D48" s="29" t="n"/>
      <c r="E48" s="29" t="n"/>
      <c r="F48" s="30" t="n"/>
      <c r="G48" s="29" t="n"/>
      <c r="H48" s="29" t="n"/>
      <c r="I48" s="29" t="n"/>
      <c r="J48" s="31" t="n"/>
      <c r="K48" s="32" t="n"/>
    </row>
    <row r="49" ht="15" customHeight="1" s="58">
      <c r="B49" s="28" t="n"/>
      <c r="C49" s="29" t="n"/>
      <c r="D49" s="29" t="n"/>
      <c r="E49" s="29" t="n"/>
      <c r="F49" s="30" t="n"/>
      <c r="G49" s="29" t="n"/>
      <c r="H49" s="29" t="n"/>
      <c r="I49" s="29" t="n"/>
      <c r="J49" s="31" t="n"/>
      <c r="K49" s="32" t="n"/>
    </row>
    <row r="50" ht="15" customHeight="1" s="58">
      <c r="B50" s="28" t="n"/>
      <c r="C50" s="29" t="n"/>
      <c r="D50" s="29" t="n"/>
      <c r="E50" s="29" t="n"/>
      <c r="F50" s="30" t="n"/>
      <c r="G50" s="29" t="n"/>
      <c r="H50" s="29" t="n"/>
      <c r="I50" s="29" t="n"/>
      <c r="J50" s="31" t="n"/>
      <c r="K50" s="32" t="n"/>
    </row>
    <row r="51" ht="15" customHeight="1" s="58">
      <c r="B51" s="28" t="n"/>
      <c r="C51" s="29" t="n"/>
      <c r="D51" s="29" t="n"/>
      <c r="E51" s="29" t="n"/>
      <c r="F51" s="30" t="n"/>
      <c r="G51" s="29" t="n"/>
      <c r="H51" s="29" t="n"/>
      <c r="I51" s="29" t="n"/>
      <c r="J51" s="31" t="n"/>
      <c r="K51" s="32" t="n"/>
    </row>
    <row r="52" ht="15" customHeight="1" s="58">
      <c r="B52" s="28" t="n"/>
      <c r="C52" s="29" t="n"/>
      <c r="D52" s="29" t="n"/>
      <c r="E52" s="29" t="n"/>
      <c r="F52" s="30" t="n"/>
      <c r="G52" s="29" t="n"/>
      <c r="H52" s="29" t="n"/>
      <c r="I52" s="29" t="n"/>
      <c r="J52" s="31" t="n"/>
      <c r="K52" s="32" t="n"/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46178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32.65</v>
      </c>
      <c r="D6" s="64" t="inlineStr">
        <is>
          <t>Auto-fetched via Yahoo Finance on 2026-06-05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25.4183</v>
      </c>
      <c r="D9" s="64" t="inlineStr">
        <is>
          <t>Auto-fetched via Yahoo Finance on 2026-06-05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H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26.6433</v>
      </c>
      <c r="F5" s="34" t="inlineStr">
        <is>
          <t>THB</t>
        </is>
      </c>
      <c r="G5" s="28" t="n">
        <v>46175</v>
      </c>
      <c r="H5" s="34" t="inlineStr">
        <is>
          <t>OK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10.6859</v>
      </c>
      <c r="F6" s="34" t="inlineStr">
        <is>
          <t>THB</t>
        </is>
      </c>
      <c r="G6" s="28" t="n">
        <v>46177</v>
      </c>
      <c r="H6" s="34" t="inlineStr">
        <is>
          <t>OK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7.1237</v>
      </c>
      <c r="F7" s="34" t="inlineStr">
        <is>
          <t>THB</t>
        </is>
      </c>
      <c r="G7" s="28" t="n">
        <v>46175</v>
      </c>
      <c r="H7" s="34" t="inlineStr">
        <is>
          <t>OK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9.7875</v>
      </c>
      <c r="F8" s="34" t="inlineStr">
        <is>
          <t>THB</t>
        </is>
      </c>
      <c r="G8" s="28" t="n">
        <v>46175</v>
      </c>
      <c r="H8" s="34" t="inlineStr">
        <is>
          <t>OK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9.4649</v>
      </c>
      <c r="F9" s="34" t="inlineStr">
        <is>
          <t>THB</t>
        </is>
      </c>
      <c r="G9" s="28" t="n">
        <v>46177</v>
      </c>
      <c r="H9" s="34" t="inlineStr">
        <is>
          <t>OK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13.4306</v>
      </c>
      <c r="F10" s="34" t="inlineStr">
        <is>
          <t>THB</t>
        </is>
      </c>
      <c r="G10" s="28" t="n">
        <v>46175</v>
      </c>
      <c r="H10" s="34" t="inlineStr">
        <is>
          <t>OK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13.3664</v>
      </c>
      <c r="F11" s="34" t="inlineStr">
        <is>
          <t>THB</t>
        </is>
      </c>
      <c r="G11" s="28" t="n">
        <v>46177</v>
      </c>
      <c r="H11" s="34" t="inlineStr">
        <is>
          <t>OK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27.1532</v>
      </c>
      <c r="F12" s="34" t="inlineStr">
        <is>
          <t>THB</t>
        </is>
      </c>
      <c r="G12" s="28" t="n">
        <v>46177</v>
      </c>
      <c r="H12" s="34" t="inlineStr">
        <is>
          <t>OK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36.5235</v>
      </c>
      <c r="F13" s="34" t="inlineStr">
        <is>
          <t>THB</t>
        </is>
      </c>
      <c r="G13" s="28" t="n">
        <v>46177</v>
      </c>
      <c r="H13" s="34" t="inlineStr">
        <is>
          <t>OK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25.5684</v>
      </c>
      <c r="F14" s="34" t="inlineStr">
        <is>
          <t>THB</t>
        </is>
      </c>
      <c r="G14" s="28" t="n">
        <v>46177</v>
      </c>
      <c r="H14" s="34" t="inlineStr">
        <is>
          <t>OK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14.8616</v>
      </c>
      <c r="F15" s="34" t="inlineStr">
        <is>
          <t>THB</t>
        </is>
      </c>
      <c r="G15" s="28" t="n">
        <v>46171</v>
      </c>
      <c r="H15" s="34" t="inlineStr">
        <is>
          <t>OK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81.99809999999999</v>
      </c>
      <c r="F16" s="34" t="inlineStr">
        <is>
          <t>THB</t>
        </is>
      </c>
      <c r="G16" s="28" t="n">
        <v>46177</v>
      </c>
      <c r="H16" s="34" t="inlineStr">
        <is>
          <t>OK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53.6077</v>
      </c>
      <c r="F17" s="34" t="inlineStr">
        <is>
          <t>THB</t>
        </is>
      </c>
      <c r="G17" s="28" t="n">
        <v>46177</v>
      </c>
      <c r="H17" s="34" t="inlineStr">
        <is>
          <t>OK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16.4146</v>
      </c>
      <c r="F18" s="34" t="inlineStr">
        <is>
          <t>THB</t>
        </is>
      </c>
      <c r="G18" s="28" t="n">
        <v>46177</v>
      </c>
      <c r="H18" s="34" t="inlineStr">
        <is>
          <t>OK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23.4009</v>
      </c>
      <c r="F19" s="34" t="inlineStr">
        <is>
          <t>THB</t>
        </is>
      </c>
      <c r="G19" s="28" t="n">
        <v>46177</v>
      </c>
      <c r="H19" s="34" t="inlineStr">
        <is>
          <t>OK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41.7733</v>
      </c>
      <c r="F20" s="34" t="inlineStr">
        <is>
          <t>THB</t>
        </is>
      </c>
      <c r="G20" s="28" t="n">
        <v>46175</v>
      </c>
      <c r="H20" s="34" t="inlineStr">
        <is>
          <t>OK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13.6591</v>
      </c>
      <c r="F21" s="34" t="inlineStr">
        <is>
          <t>THB</t>
        </is>
      </c>
      <c r="G21" s="28" t="n">
        <v>46177</v>
      </c>
      <c r="H21" s="34" t="inlineStr">
        <is>
          <t>OK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12.6846</v>
      </c>
      <c r="F22" s="34" t="inlineStr">
        <is>
          <t>THB</t>
        </is>
      </c>
      <c r="G22" s="28" t="n">
        <v>46175</v>
      </c>
      <c r="H22" s="34" t="inlineStr">
        <is>
          <t>OK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12.5147</v>
      </c>
      <c r="F23" s="34" t="inlineStr">
        <is>
          <t>THB</t>
        </is>
      </c>
      <c r="G23" s="28" t="n">
        <v>46177</v>
      </c>
      <c r="H23" s="34" t="inlineStr">
        <is>
          <t>OK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12.3129</v>
      </c>
      <c r="F24" s="34" t="inlineStr">
        <is>
          <t>THB</t>
        </is>
      </c>
      <c r="G24" s="28" t="n">
        <v>46175</v>
      </c>
      <c r="H24" s="34" t="inlineStr">
        <is>
          <t>OK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10.0259</v>
      </c>
      <c r="F25" s="34" t="inlineStr">
        <is>
          <t>THB</t>
        </is>
      </c>
      <c r="G25" s="28" t="n">
        <v>46177</v>
      </c>
      <c r="H25" s="34" t="inlineStr">
        <is>
          <t>OK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14.078</v>
      </c>
      <c r="F26" s="34" t="inlineStr">
        <is>
          <t>THB</t>
        </is>
      </c>
      <c r="G26" s="28" t="n">
        <v>46177</v>
      </c>
      <c r="H26" s="34" t="inlineStr">
        <is>
          <t>OK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17.1468</v>
      </c>
      <c r="F27" s="34" t="inlineStr">
        <is>
          <t>THB</t>
        </is>
      </c>
      <c r="G27" s="28" t="n">
        <v>46177</v>
      </c>
      <c r="H27" s="34" t="inlineStr">
        <is>
          <t>OK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19.8865</v>
      </c>
      <c r="F28" s="34" t="inlineStr">
        <is>
          <t>THB</t>
        </is>
      </c>
      <c r="G28" s="28" t="n">
        <v>46177</v>
      </c>
      <c r="H28" s="34" t="inlineStr">
        <is>
          <t>OK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29.2852</v>
      </c>
      <c r="F29" s="34" t="inlineStr">
        <is>
          <t>THB</t>
        </is>
      </c>
      <c r="G29" s="28" t="n">
        <v>46175</v>
      </c>
      <c r="H29" s="34" t="inlineStr">
        <is>
          <t>OK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39.0534</v>
      </c>
      <c r="F30" s="34" t="inlineStr">
        <is>
          <t>THB</t>
        </is>
      </c>
      <c r="G30" s="28" t="n">
        <v>46175</v>
      </c>
      <c r="H30" s="34" t="inlineStr">
        <is>
          <t>OK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13.0307</v>
      </c>
      <c r="F31" s="34" t="inlineStr">
        <is>
          <t>THB</t>
        </is>
      </c>
      <c r="G31" s="28" t="n">
        <v>46177</v>
      </c>
      <c r="H31" s="34" t="inlineStr">
        <is>
          <t>OK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21.7047</v>
      </c>
      <c r="F32" s="34" t="inlineStr">
        <is>
          <t>THB</t>
        </is>
      </c>
      <c r="G32" s="28" t="n">
        <v>46177</v>
      </c>
      <c r="H32" s="34" t="inlineStr">
        <is>
          <t>OK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12.5995</v>
      </c>
      <c r="F33" s="34" t="inlineStr">
        <is>
          <t>THB</t>
        </is>
      </c>
      <c r="G33" s="28" t="n">
        <v>46177</v>
      </c>
      <c r="H33" s="34" t="inlineStr">
        <is>
          <t>OK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16.2028</v>
      </c>
      <c r="F34" s="34" t="inlineStr">
        <is>
          <t>THB</t>
        </is>
      </c>
      <c r="G34" s="28" t="n">
        <v>46177</v>
      </c>
      <c r="H34" s="34" t="inlineStr">
        <is>
          <t>OK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28.8772</v>
      </c>
      <c r="F35" s="34" t="inlineStr">
        <is>
          <t>THB</t>
        </is>
      </c>
      <c r="G35" s="28" t="n">
        <v>46175</v>
      </c>
      <c r="H35" s="34" t="inlineStr">
        <is>
          <t>OK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9.992800000000001</v>
      </c>
      <c r="F36" s="34" t="inlineStr">
        <is>
          <t>THB</t>
        </is>
      </c>
      <c r="G36" s="28" t="n">
        <v>46177</v>
      </c>
      <c r="H36" s="34" t="inlineStr">
        <is>
          <t>OK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22.7858</v>
      </c>
      <c r="F37" s="34" t="inlineStr">
        <is>
          <t>THB</t>
        </is>
      </c>
      <c r="G37" s="28" t="n">
        <v>46177</v>
      </c>
      <c r="H37" s="34" t="inlineStr">
        <is>
          <t>OK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22.56</v>
      </c>
      <c r="F38" s="34" t="inlineStr">
        <is>
          <t>SGD</t>
        </is>
      </c>
      <c r="G38" s="28" t="n">
        <v>46178</v>
      </c>
      <c r="H38" s="34" t="inlineStr">
        <is>
          <t>OK</t>
        </is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1.088</v>
      </c>
      <c r="F39" s="34" t="inlineStr">
        <is>
          <t>SGD</t>
        </is>
      </c>
      <c r="G39" s="28" t="n">
        <v>46178</v>
      </c>
      <c r="H39" s="34" t="inlineStr">
        <is>
          <t>OK</t>
        </is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785.53</v>
      </c>
      <c r="F40" s="34" t="inlineStr">
        <is>
          <t>SGD</t>
        </is>
      </c>
      <c r="G40" s="28" t="n">
        <v>46178</v>
      </c>
      <c r="H40" s="34" t="inlineStr">
        <is>
          <t>OK</t>
        </is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21.64</v>
      </c>
      <c r="F41" s="34" t="inlineStr">
        <is>
          <t>SGD</t>
        </is>
      </c>
      <c r="G41" s="28" t="n">
        <v>46178</v>
      </c>
      <c r="H41" s="34" t="inlineStr">
        <is>
          <t>OK</t>
        </is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224.22</v>
      </c>
      <c r="F42" s="34" t="inlineStr">
        <is>
          <t>SGD</t>
        </is>
      </c>
      <c r="G42" s="28" t="n">
        <v>46178</v>
      </c>
      <c r="H42" s="34" t="inlineStr">
        <is>
          <t>OK</t>
        </is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5.7</v>
      </c>
      <c r="F43" s="34" t="inlineStr">
        <is>
          <t>THB</t>
        </is>
      </c>
      <c r="G43" s="28" t="n">
        <v>46178</v>
      </c>
      <c r="H43" s="34" t="inlineStr">
        <is>
          <t>OK</t>
        </is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174.5</v>
      </c>
      <c r="F44" s="34" t="inlineStr">
        <is>
          <t>THB</t>
        </is>
      </c>
      <c r="G44" s="28" t="n">
        <v>46178</v>
      </c>
      <c r="H44" s="34" t="inlineStr">
        <is>
          <t>OK</t>
        </is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0.46</v>
      </c>
      <c r="F45" s="34" t="inlineStr">
        <is>
          <t>THB</t>
        </is>
      </c>
      <c r="G45" s="28" t="n">
        <v>46178</v>
      </c>
      <c r="H45" s="34" t="inlineStr">
        <is>
          <t>OK</t>
        </is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0.31</v>
      </c>
      <c r="F46" s="34" t="inlineStr">
        <is>
          <t>THB</t>
        </is>
      </c>
      <c r="G46" s="28" t="n">
        <v>46178</v>
      </c>
      <c r="H46" s="34" t="inlineStr">
        <is>
          <t>OK</t>
        </is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46178</v>
      </c>
      <c r="H48" s="34" t="inlineStr">
        <is>
          <t>OK</t>
        </is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67.25</v>
      </c>
      <c r="F49" s="34" t="inlineStr">
        <is>
          <t>THB</t>
        </is>
      </c>
      <c r="G49" s="28" t="n">
        <v>46178</v>
      </c>
      <c r="H49" s="34" t="inlineStr">
        <is>
          <t>OK</t>
        </is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9.6</v>
      </c>
      <c r="F50" s="34" t="inlineStr">
        <is>
          <t>THB</t>
        </is>
      </c>
      <c r="G50" s="28" t="n">
        <v>46178</v>
      </c>
      <c r="H50" s="34" t="inlineStr">
        <is>
          <t>OK</t>
        </is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15.3</v>
      </c>
      <c r="F51" s="34" t="inlineStr">
        <is>
          <t>THB</t>
        </is>
      </c>
      <c r="G51" s="28" t="n">
        <v>46178</v>
      </c>
      <c r="H51" s="34" t="inlineStr">
        <is>
          <t>OK</t>
        </is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13.4</v>
      </c>
      <c r="F52" s="34" t="inlineStr">
        <is>
          <t>THB</t>
        </is>
      </c>
      <c r="G52" s="28" t="n">
        <v>46178</v>
      </c>
      <c r="H52" s="34" t="inlineStr">
        <is>
          <t>OK</t>
        </is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6.15</v>
      </c>
      <c r="F53" s="34" t="inlineStr">
        <is>
          <t>THB</t>
        </is>
      </c>
      <c r="G53" s="28" t="n">
        <v>46178</v>
      </c>
      <c r="H53" s="34" t="inlineStr">
        <is>
          <t>OK</t>
        </is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21.3</v>
      </c>
      <c r="F54" s="34" t="inlineStr">
        <is>
          <t>THB</t>
        </is>
      </c>
      <c r="G54" s="28" t="n">
        <v>46178</v>
      </c>
      <c r="H54" s="34" t="inlineStr">
        <is>
          <t>OK</t>
        </is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3.56</v>
      </c>
      <c r="F55" s="34" t="inlineStr">
        <is>
          <t>THB</t>
        </is>
      </c>
      <c r="G55" s="28" t="n">
        <v>46178</v>
      </c>
      <c r="H55" s="34" t="inlineStr">
        <is>
          <t>OK</t>
        </is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5</v>
      </c>
      <c r="F56" s="34" t="inlineStr">
        <is>
          <t>THB</t>
        </is>
      </c>
      <c r="G56" s="28" t="n">
        <v>46178</v>
      </c>
      <c r="H56" s="34" t="inlineStr">
        <is>
          <t>OK</t>
        </is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2.74</v>
      </c>
      <c r="F57" s="34" t="inlineStr">
        <is>
          <t>THB</t>
        </is>
      </c>
      <c r="G57" s="28" t="n">
        <v>46178</v>
      </c>
      <c r="H57" s="34" t="inlineStr">
        <is>
          <t>OK</t>
        </is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12.4</v>
      </c>
      <c r="F58" s="34" t="inlineStr">
        <is>
          <t>THB</t>
        </is>
      </c>
      <c r="G58" s="28" t="n">
        <v>46178</v>
      </c>
      <c r="H58" s="34" t="inlineStr">
        <is>
          <t>OK</t>
        </is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17.5</v>
      </c>
      <c r="F59" s="34" t="inlineStr">
        <is>
          <t>THB</t>
        </is>
      </c>
      <c r="G59" s="28" t="n">
        <v>46178</v>
      </c>
      <c r="H59" s="34" t="inlineStr">
        <is>
          <t>OK</t>
        </is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161.87</v>
      </c>
      <c r="F60" s="34" t="inlineStr">
        <is>
          <t>USD</t>
        </is>
      </c>
      <c r="G60" s="28" t="n">
        <v>46178</v>
      </c>
      <c r="H60" s="34" t="inlineStr">
        <is>
          <t>OK</t>
        </is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258.42</v>
      </c>
      <c r="F61" s="34" t="inlineStr">
        <is>
          <t>USD</t>
        </is>
      </c>
      <c r="G61" s="28" t="n">
        <v>46178</v>
      </c>
      <c r="H61" s="34" t="inlineStr">
        <is>
          <t>OK</t>
        </is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501.7</v>
      </c>
      <c r="F62" s="34" t="inlineStr">
        <is>
          <t>USD</t>
        </is>
      </c>
      <c r="G62" s="28" t="n">
        <v>46178</v>
      </c>
      <c r="H62" s="34" t="inlineStr">
        <is>
          <t>OK</t>
        </is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175.63</v>
      </c>
      <c r="F63" s="34" t="inlineStr">
        <is>
          <t>USD</t>
        </is>
      </c>
      <c r="G63" s="28" t="n">
        <v>46178</v>
      </c>
      <c r="H63" s="34" t="inlineStr">
        <is>
          <t>OK</t>
        </is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68.39</v>
      </c>
      <c r="F64" s="34" t="inlineStr">
        <is>
          <t>USD</t>
        </is>
      </c>
      <c r="G64" s="28" t="n">
        <v>46178</v>
      </c>
      <c r="H64" s="34" t="inlineStr">
        <is>
          <t>OK</t>
        </is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203.97</v>
      </c>
      <c r="F65" s="34" t="inlineStr">
        <is>
          <t>USD</t>
        </is>
      </c>
      <c r="G65" s="28" t="n">
        <v>46178</v>
      </c>
      <c r="H65" s="34" t="inlineStr">
        <is>
          <t>OK</t>
        </is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149.67</v>
      </c>
      <c r="F66" s="34" t="inlineStr">
        <is>
          <t>USD</t>
        </is>
      </c>
      <c r="G66" s="28" t="n">
        <v>46178</v>
      </c>
      <c r="H66" s="34" t="inlineStr">
        <is>
          <t>OK</t>
        </is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164.87</v>
      </c>
      <c r="F67" s="34" t="inlineStr">
        <is>
          <t>USD</t>
        </is>
      </c>
      <c r="G67" s="28" t="n">
        <v>46178</v>
      </c>
      <c r="H67" s="34" t="inlineStr">
        <is>
          <t>OK</t>
        </is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2131.1</v>
      </c>
      <c r="F68" s="34" t="inlineStr">
        <is>
          <t>USD</t>
        </is>
      </c>
      <c r="G68" s="28" t="n">
        <v>46178</v>
      </c>
      <c r="H68" s="34" t="inlineStr">
        <is>
          <t>OK</t>
        </is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1125.27</v>
      </c>
      <c r="F69" s="34" t="inlineStr">
        <is>
          <t>USD</t>
        </is>
      </c>
      <c r="G69" s="28" t="n">
        <v>46178</v>
      </c>
      <c r="H69" s="34" t="inlineStr">
        <is>
          <t>OK</t>
        </is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96.3</v>
      </c>
      <c r="F70" s="34" t="inlineStr">
        <is>
          <t>USD</t>
        </is>
      </c>
      <c r="G70" s="28" t="n">
        <v>46178</v>
      </c>
      <c r="H70" s="34" t="inlineStr">
        <is>
          <t>OK</t>
        </is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1652.6</v>
      </c>
      <c r="F71" s="34" t="inlineStr">
        <is>
          <t>USD</t>
        </is>
      </c>
      <c r="G71" s="28" t="n">
        <v>46178</v>
      </c>
      <c r="H71" s="34" t="inlineStr">
        <is>
          <t>OK</t>
        </is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118.83</v>
      </c>
      <c r="F72" s="34" t="inlineStr">
        <is>
          <t>USD</t>
        </is>
      </c>
      <c r="G72" s="28" t="n">
        <v>46178</v>
      </c>
      <c r="H72" s="34" t="inlineStr">
        <is>
          <t>OK</t>
        </is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218.66</v>
      </c>
      <c r="F73" s="34" t="inlineStr">
        <is>
          <t>USD</t>
        </is>
      </c>
      <c r="G73" s="28" t="n">
        <v>46178</v>
      </c>
      <c r="H73" s="34" t="inlineStr">
        <is>
          <t>OK</t>
        </is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90.2</v>
      </c>
      <c r="F74" s="34" t="inlineStr">
        <is>
          <t>USD</t>
        </is>
      </c>
      <c r="G74" s="28" t="n">
        <v>46178</v>
      </c>
      <c r="H74" s="34" t="inlineStr">
        <is>
          <t>OK</t>
        </is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103.97</v>
      </c>
      <c r="F75" s="34" t="inlineStr">
        <is>
          <t>USD</t>
        </is>
      </c>
      <c r="G75" s="28" t="n">
        <v>46178</v>
      </c>
      <c r="H75" s="34" t="inlineStr">
        <is>
          <t>OK</t>
        </is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406.86</v>
      </c>
      <c r="F76" s="34" t="inlineStr">
        <is>
          <t>USD</t>
        </is>
      </c>
      <c r="G76" s="28" t="n">
        <v>46178</v>
      </c>
      <c r="H76" s="34" t="inlineStr">
        <is>
          <t>OK</t>
        </is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418.45</v>
      </c>
      <c r="F77" s="34" t="inlineStr">
        <is>
          <t>USD</t>
        </is>
      </c>
      <c r="G77" s="28" t="n">
        <v>46178</v>
      </c>
      <c r="H77" s="34" t="inlineStr">
        <is>
          <t>OK</t>
        </is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54.48</v>
      </c>
      <c r="F78" s="34" t="inlineStr">
        <is>
          <t>USD</t>
        </is>
      </c>
      <c r="G78" s="28" t="n">
        <v>46178</v>
      </c>
      <c r="H78" s="34" t="inlineStr">
        <is>
          <t>OK</t>
        </is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97</v>
      </c>
      <c r="F79" s="34" t="inlineStr">
        <is>
          <t>USD</t>
        </is>
      </c>
      <c r="G79" s="28" t="n">
        <v>46178</v>
      </c>
      <c r="H79" s="34" t="inlineStr">
        <is>
          <t>OK</t>
        </is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311.23</v>
      </c>
      <c r="F80" s="34" t="inlineStr">
        <is>
          <t>USD</t>
        </is>
      </c>
      <c r="G80" s="28" t="n">
        <v>46178</v>
      </c>
      <c r="H80" s="34" t="inlineStr">
        <is>
          <t>OK</t>
        </is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164.13</v>
      </c>
      <c r="F81" s="34" t="inlineStr">
        <is>
          <t>USD</t>
        </is>
      </c>
      <c r="G81" s="28" t="n">
        <v>46178</v>
      </c>
      <c r="H81" s="34" t="inlineStr">
        <is>
          <t>OK</t>
        </is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627.5700000000001</v>
      </c>
      <c r="F82" s="34" t="inlineStr">
        <is>
          <t>USD</t>
        </is>
      </c>
      <c r="G82" s="28" t="n">
        <v>46178</v>
      </c>
      <c r="H82" s="34" t="inlineStr">
        <is>
          <t>OK</t>
        </is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166</v>
      </c>
      <c r="F83" s="34" t="inlineStr">
        <is>
          <t>USD</t>
        </is>
      </c>
      <c r="G83" s="28" t="n">
        <v>46178</v>
      </c>
      <c r="H83" s="34" t="inlineStr">
        <is>
          <t>OK</t>
        </is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70.04000000000001</v>
      </c>
      <c r="F84" s="34" t="inlineStr">
        <is>
          <t>USD</t>
        </is>
      </c>
      <c r="G84" s="28" t="n">
        <v>46178</v>
      </c>
      <c r="H84" s="34" t="inlineStr">
        <is>
          <t>OK</t>
        </is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597.53</v>
      </c>
      <c r="F85" s="34" t="inlineStr">
        <is>
          <t>USD</t>
        </is>
      </c>
      <c r="G85" s="28" t="n">
        <v>46178</v>
      </c>
      <c r="H85" s="34" t="inlineStr">
        <is>
          <t>OK</t>
        </is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62716</v>
      </c>
      <c r="F86" s="34" t="inlineStr">
        <is>
          <t>USD</t>
        </is>
      </c>
      <c r="G86" s="28" t="n">
        <v>46178</v>
      </c>
      <c r="H86" s="34" t="inlineStr">
        <is>
          <t>OK</t>
        </is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0.006737</v>
      </c>
      <c r="F87" s="34" t="inlineStr">
        <is>
          <t>USD</t>
        </is>
      </c>
      <c r="G87" s="28" t="n">
        <v>46178</v>
      </c>
      <c r="H87" s="34" t="inlineStr">
        <is>
          <t>OK</t>
        </is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0.011969</v>
      </c>
      <c r="F88" s="34" t="inlineStr">
        <is>
          <t>USD</t>
        </is>
      </c>
      <c r="G88" s="28" t="n">
        <v>46178</v>
      </c>
      <c r="H88" s="34" t="inlineStr">
        <is>
          <t>OK</t>
        </is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67.86</v>
      </c>
      <c r="F89" s="34" t="inlineStr">
        <is>
          <t>USD</t>
        </is>
      </c>
      <c r="G89" s="28" t="n">
        <v>46178</v>
      </c>
      <c r="H89" s="34" t="inlineStr">
        <is>
          <t>OK</t>
        </is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1.78</v>
      </c>
      <c r="F90" s="34" t="inlineStr">
        <is>
          <t>USD</t>
        </is>
      </c>
      <c r="G90" s="28" t="n">
        <v>46178</v>
      </c>
      <c r="H90" s="34" t="inlineStr">
        <is>
          <t>OK</t>
        </is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46178</v>
      </c>
      <c r="H91" s="34" t="inlineStr">
        <is>
          <t>OK</t>
        </is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0.013728</v>
      </c>
      <c r="F92" s="34" t="inlineStr">
        <is>
          <t>USD</t>
        </is>
      </c>
      <c r="G92" s="28" t="n">
        <v>46178</v>
      </c>
      <c r="H92" s="34" t="inlineStr">
        <is>
          <t>OK</t>
        </is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2.877151</v>
      </c>
      <c r="F93" s="34" t="inlineStr">
        <is>
          <t>THB</t>
        </is>
      </c>
      <c r="G93" s="28" t="n">
        <v>46178</v>
      </c>
      <c r="H93" s="34" t="inlineStr">
        <is>
          <t>OK</t>
        </is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24.463992</v>
      </c>
      <c r="F94" s="34" t="inlineStr">
        <is>
          <t>THB</t>
        </is>
      </c>
      <c r="G94" s="28" t="n">
        <v>46178</v>
      </c>
      <c r="H94" s="34" t="inlineStr">
        <is>
          <t>OK</t>
        </is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0.120901</v>
      </c>
      <c r="F95" s="34" t="inlineStr">
        <is>
          <t>THB</t>
        </is>
      </c>
      <c r="G95" s="28" t="n">
        <v>46178</v>
      </c>
      <c r="H95" s="34" t="inlineStr">
        <is>
          <t>OK</t>
        </is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19509.3545</v>
      </c>
      <c r="F96" s="34" t="inlineStr">
        <is>
          <t>THB</t>
        </is>
      </c>
      <c r="G96" s="28" t="n">
        <v>46178</v>
      </c>
      <c r="H96" s="34" t="inlineStr">
        <is>
          <t>OK</t>
        </is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2047677.4</v>
      </c>
      <c r="F97" s="34" t="inlineStr">
        <is>
          <t>THB</t>
        </is>
      </c>
      <c r="G97" s="28" t="n">
        <v>46178</v>
      </c>
      <c r="H97" s="34" t="inlineStr">
        <is>
          <t>OK</t>
        </is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2.846068</v>
      </c>
      <c r="F98" s="34" t="inlineStr">
        <is>
          <t>THB</t>
        </is>
      </c>
      <c r="G98" s="28" t="n">
        <v>46178</v>
      </c>
      <c r="H98" s="34" t="inlineStr">
        <is>
          <t>OK</t>
        </is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56728.3955</v>
      </c>
      <c r="F99" s="34" t="inlineStr">
        <is>
          <t>THB</t>
        </is>
      </c>
      <c r="G99" s="28" t="n">
        <v>46178</v>
      </c>
      <c r="H99" s="34" t="inlineStr">
        <is>
          <t>OK</t>
        </is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25.852335</v>
      </c>
      <c r="F100" s="34" t="inlineStr">
        <is>
          <t>THB</t>
        </is>
      </c>
      <c r="G100" s="28" t="n">
        <v>46178</v>
      </c>
      <c r="H100" s="34" t="inlineStr">
        <is>
          <t>OK</t>
        </is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62716</v>
      </c>
      <c r="F101" s="34" t="inlineStr">
        <is>
          <t>USD</t>
        </is>
      </c>
      <c r="G101" s="28" t="n">
        <v>46178</v>
      </c>
      <c r="H101" s="34" t="inlineStr">
        <is>
          <t>OK</t>
        </is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16.79</v>
      </c>
      <c r="F102" s="34" t="inlineStr">
        <is>
          <t>USD</t>
        </is>
      </c>
      <c r="G102" s="28" t="n">
        <v>46178</v>
      </c>
      <c r="H102" s="34" t="inlineStr">
        <is>
          <t>OK</t>
        </is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0.006737</v>
      </c>
      <c r="F105" s="34" t="inlineStr">
        <is>
          <t>USD</t>
        </is>
      </c>
      <c r="G105" s="28" t="n">
        <v>46178</v>
      </c>
      <c r="H105" s="34" t="inlineStr">
        <is>
          <t>OK</t>
        </is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67.86</v>
      </c>
      <c r="F106" s="34" t="inlineStr">
        <is>
          <t>USD</t>
        </is>
      </c>
      <c r="G106" s="28" t="n">
        <v>46178</v>
      </c>
      <c r="H106" s="34" t="inlineStr">
        <is>
          <t>OK</t>
        </is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46178</v>
      </c>
      <c r="H107" s="34" t="inlineStr">
        <is>
          <t>OK</t>
        </is>
      </c>
    </row>
    <row r="108">
      <c r="A108">
        <f>B108&amp;"|"&amp;C108&amp;"|"&amp;D108</f>
        <v/>
      </c>
      <c r="G108" s="47" t="n"/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7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s="13" t="inlineStr">
        <is>
          <t>TOTAL</t>
        </is>
      </c>
      <c r="B167" s="43" t="n"/>
      <c r="C167" s="43" t="n"/>
      <c r="D167" s="43" t="n"/>
      <c r="E167" s="43" t="n"/>
      <c r="F167" s="43" t="n"/>
      <c r="G167" s="43" t="n"/>
      <c r="H167" s="43" t="n"/>
      <c r="I167" s="43" t="n"/>
      <c r="J167" s="43" t="n"/>
      <c r="K167" s="43" t="n"/>
      <c r="L167" s="43" t="n"/>
      <c r="M167" s="43" t="n"/>
      <c r="N167" s="43" t="n"/>
      <c r="O167" s="14">
        <f>SUM(O5:O166)</f>
        <v/>
      </c>
      <c r="P167" s="14">
        <f>SUM(P5:P166)</f>
        <v/>
      </c>
      <c r="Q167" s="14">
        <f>SUM(Q5:Q166)</f>
        <v/>
      </c>
      <c r="R167" s="15">
        <f>IFERROR(Q167/O167,0)</f>
        <v/>
      </c>
      <c r="S167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1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2026-06-05T02:31:19Z</dcterms:modified>
  <cp:lastModifiedBy>veerasak supakatitham</cp:lastModifiedBy>
  <cp:revision>3</cp:revision>
</cp:coreProperties>
</file>