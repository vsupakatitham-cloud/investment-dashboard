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6260" windowHeight="17160" tabRatio="500" firstSheet="2" activeTab="3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Reference" sheetId="12" state="visible" r:id="rId12"/>
  </sheets>
  <definedNames>
    <definedName name="AsOfDate">'FX &amp; Assumptions'!$C$5</definedName>
    <definedName name="FXRate">'FX &amp; Assumptions'!$C$6</definedName>
    <definedName name="_xlnm._FilterDatabase" localSheetId="5" hidden="1">'MF - Lots'!$A$4:$S$166</definedName>
    <definedName name="_xlnm._FilterDatabase" localSheetId="6" hidden="1">'MF - by Fund'!$A$4:$M$38</definedName>
    <definedName name="_xlnm._FilterDatabase" localSheetId="7" hidden="1">'Equities - Lots'!$A$4:$P$45</definedName>
    <definedName name="_xlnm._FilterDatabase" localSheetId="8" hidden="1">'Equities - by Ticker'!$A$4:$M$50</definedName>
    <definedName name="_xlnm._FilterDatabase" localSheetId="9" hidden="1">'Crypto - Lots'!$A$4:$O$30</definedName>
    <definedName name="_xlnm._FilterDatabase" localSheetId="10" hidden="1">'Crypto - by Coin'!$A$4:$K$28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</numFmts>
  <fonts count="17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166" fontId="8" fillId="4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165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164" fontId="6" fillId="0" borderId="0" applyAlignment="1" pivotButton="0" quotePrefix="0" xfId="0">
      <alignment horizontal="left" indent="1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165" fontId="14" fillId="0" borderId="0" pivotButton="0" quotePrefix="0" xfId="0"/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19328020.76224582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467655.2897172199</v>
                </pt>
                <pt idx="5">
                  <v>1338665.90146027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5299380.224020408</v>
                </pt>
                <pt idx="2">
                  <v>4017320.41094723</v>
                </pt>
                <pt idx="3">
                  <v>5877663.902051419</v>
                </pt>
                <pt idx="4">
                  <v>1306914.7381852</v>
                </pt>
                <pt idx="5">
                  <v>923367.5510612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8525182.593260219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4663663.165894457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4270949.259645481</v>
                </pt>
                <pt idx="2">
                  <v>5877663.902051419</v>
                </pt>
                <pt idx="3">
                  <v>2181164.07131859</v>
                </pt>
                <pt idx="4">
                  <v>1762560.34767768</v>
                </pt>
                <pt idx="5">
                  <v>1338665.90146027</v>
                </pt>
                <pt idx="6">
                  <v>1306914.7381852</v>
                </pt>
                <pt idx="7">
                  <v>1301012.2</v>
                </pt>
                <pt idx="8">
                  <v>1088786.78689293</v>
                </pt>
                <pt idx="9">
                  <v>939725.7063129999</v>
                </pt>
                <pt idx="10">
                  <v>923367.5510612</v>
                </pt>
                <pt idx="11">
                  <v>875398.075174927</v>
                </pt>
                <pt idx="12">
                  <v>522024.4480270799</v>
                </pt>
                <pt idx="13">
                  <v>456803.4291999999</v>
                </pt>
                <pt idx="14">
                  <v>230258.64429128</v>
                </pt>
                <pt idx="15">
                  <v>248184.15844066</v>
                </pt>
                <pt idx="16">
                  <v>130615.30851136</v>
                </pt>
                <pt idx="17">
                  <v>145885.55534154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3" min="1" max="1"/>
    <col width="120" customWidth="1" style="53" min="2" max="2"/>
  </cols>
  <sheetData>
    <row r="2" ht="31.5" customHeight="1" s="53">
      <c r="B2" s="57" t="inlineStr">
        <is>
          <t>TH INVESTMENT — PRIVATE BANKING SUMMARY</t>
        </is>
      </c>
    </row>
    <row r="4" ht="21.75" customHeight="1" s="53">
      <c r="B4" s="52" t="inlineStr">
        <is>
          <t>Weekly Update Workflow</t>
        </is>
      </c>
    </row>
    <row r="6" ht="30" customHeight="1" s="53">
      <c r="B6" s="4" t="inlineStr">
        <is>
          <t>1.  Open "FX &amp; Assumptions" — update the As-of Date and USDTHB spot rate (yellow cells).</t>
        </is>
      </c>
    </row>
    <row r="7" ht="30" customHeight="1" s="53">
      <c r="B7" s="4" t="inlineStr">
        <is>
          <t>2.  Open "Prices" — update the yellow "Current Price / NAV" column for every MF, Equity, and Crypto row.</t>
        </is>
      </c>
    </row>
    <row r="8" ht="30" customHeight="1" s="53">
      <c r="B8" s="4" t="inlineStr">
        <is>
          <t>3.  All holdings, rollups, and the Dashboard refresh automatically once prices are entered.</t>
        </is>
      </c>
    </row>
    <row r="9" ht="30" customHeight="1" s="53">
      <c r="B9" s="4" t="inlineStr">
        <is>
          <t>4.  Open "Weekly Snapshot" — copy the "Current Week" row (values only) into the next empty row to log week-over-week history.</t>
        </is>
      </c>
    </row>
    <row r="10" ht="30" customHeight="1" s="53">
      <c r="B10" s="4" t="inlineStr">
        <is>
          <t>5.  To reclassify holdings (asset class / geography / theme / tax status), edit the "Reference" sheet.</t>
        </is>
      </c>
    </row>
    <row r="11" ht="30" customHeight="1" s="53">
      <c r="B11" s="4" t="inlineStr">
        <is>
          <t>6.  Color coding: Yellow fill + blue text = user input   |   Black text = formula   |   Green text = cross-sheet link.</t>
        </is>
      </c>
    </row>
    <row r="12" ht="30" customHeight="1" s="53">
      <c r="B12" s="4" t="inlineStr">
        <is>
          <t>7.  Never overwrite black or green text — those are live formulas.</t>
        </is>
      </c>
    </row>
    <row r="14" ht="21.75" customHeight="1" s="53">
      <c r="B14" s="52" t="inlineStr">
        <is>
          <t>Sheet Map</t>
        </is>
      </c>
    </row>
    <row r="16" ht="21.75" customHeight="1" s="53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3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3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3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3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3">
      <c r="B21" s="5" t="inlineStr">
        <is>
          <t xml:space="preserve">   •  MF – by Fund — Mutual fund rollup aggregated by fund name across all lots.</t>
        </is>
      </c>
    </row>
    <row r="22" ht="21.75" customHeight="1" s="53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3">
      <c r="B23" s="5" t="inlineStr">
        <is>
          <t xml:space="preserve">   •  Equities – by Ticker — Equity rollup aggregated by ticker.</t>
        </is>
      </c>
    </row>
    <row r="24" ht="21.75" customHeight="1" s="53">
      <c r="B24" s="5" t="inlineStr">
        <is>
          <t xml:space="preserve">   •  Crypto – Lots — Lot-level crypto positions across OKX / Binance / Bitkub / Bitazza.</t>
        </is>
      </c>
    </row>
    <row r="25" ht="21.75" customHeight="1" s="53">
      <c r="B25" s="5" t="inlineStr">
        <is>
          <t xml:space="preserve">   •  Crypto – by Coin — Crypto rollup aggregated by coin.</t>
        </is>
      </c>
    </row>
    <row r="26" ht="21.75" customHeight="1" s="53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3">
      <c r="B28" s="52" t="inlineStr">
        <is>
          <t>Design notes</t>
        </is>
      </c>
    </row>
    <row r="30" ht="21.75" customHeight="1" s="53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3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3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3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zoomScaleNormal="100" workbookViewId="0">
      <selection activeCell="C3" sqref="C3"/>
    </sheetView>
  </sheetViews>
  <sheetFormatPr baseColWidth="10" defaultColWidth="8.6640625" defaultRowHeight="15"/>
  <cols>
    <col width="2" customWidth="1" style="53" min="1" max="1"/>
    <col width="18.6640625" customWidth="1" style="53" min="2" max="2"/>
    <col width="11.1640625" customWidth="1" style="53" min="3" max="3"/>
    <col width="12.33203125" customWidth="1" style="53" min="4" max="4"/>
    <col width="8.33203125" customWidth="1" style="53" min="5" max="5"/>
    <col width="10.1640625" customWidth="1" style="53" min="6" max="6"/>
    <col width="18" customWidth="1" style="53" min="7" max="7"/>
    <col width="13" customWidth="1" style="53" min="8" max="8"/>
    <col width="16" customWidth="1" style="53" min="9" max="9"/>
    <col width="18.33203125" customWidth="1" style="53" min="10" max="10"/>
    <col width="12.33203125" customWidth="1" style="53" min="11" max="11"/>
    <col width="10.1640625" customWidth="1" style="53" min="12" max="12"/>
    <col hidden="1" width="13" customWidth="1" style="53" min="14" max="16"/>
  </cols>
  <sheetData>
    <row r="2" ht="36" customHeight="1" s="53">
      <c r="B2" s="57" t="inlineStr">
        <is>
          <t>PORTFOLIO DASHBOARD</t>
        </is>
      </c>
    </row>
    <row r="3" ht="19.5" customHeight="1" s="53">
      <c r="B3" s="6" t="inlineStr">
        <is>
          <t>As of:</t>
        </is>
      </c>
      <c r="C3" s="60">
        <f>AsOfDate</f>
        <v/>
      </c>
    </row>
    <row r="5" ht="21.75" customHeight="1" s="53">
      <c r="B5" s="52" t="inlineStr">
        <is>
          <t>SUMMARY METRICS</t>
        </is>
      </c>
    </row>
    <row r="7" ht="21.75" customHeight="1" s="53">
      <c r="B7" s="56" t="inlineStr">
        <is>
          <t>TOTAL PORTFOLIO VALUE (THB)</t>
        </is>
      </c>
      <c r="C7" s="50" t="n"/>
      <c r="D7" s="51" t="n"/>
      <c r="F7" s="56" t="inlineStr">
        <is>
          <t>TOTAL INVESTED (THB)</t>
        </is>
      </c>
      <c r="G7" s="50" t="n"/>
      <c r="H7" s="51" t="n"/>
      <c r="J7" s="56" t="inlineStr">
        <is>
          <t>UNREALIZED P&amp;L (THB)</t>
        </is>
      </c>
      <c r="K7" s="50" t="n"/>
      <c r="L7" s="51" t="n"/>
    </row>
    <row r="8" ht="42" customHeight="1" s="53">
      <c r="B8" s="61">
        <f>'MF - Lots'!P167+'Equities - Lots'!M53+'Crypto - Lots'!K32</f>
        <v/>
      </c>
      <c r="C8" s="50" t="n"/>
      <c r="D8" s="51" t="n"/>
      <c r="F8" s="61">
        <f>'MF - Lots'!O167+'Equities - Lots'!L53+'Crypto - Lots'!J32</f>
        <v/>
      </c>
      <c r="G8" s="50" t="n"/>
      <c r="H8" s="51" t="n"/>
      <c r="J8" s="61">
        <f>'MF - Lots'!Q167+'Equities - Lots'!N53+'Crypto - Lots'!L32</f>
        <v/>
      </c>
      <c r="K8" s="50" t="n"/>
      <c r="L8" s="51" t="n"/>
    </row>
    <row r="10" ht="21.75" customHeight="1" s="53">
      <c r="B10" s="56" t="inlineStr">
        <is>
          <t>P&amp;L % (CUMULATIVE)</t>
        </is>
      </c>
      <c r="C10" s="50" t="n"/>
      <c r="D10" s="51" t="n"/>
      <c r="F10" s="56" t="inlineStr">
        <is>
          <t>MF  |  EQUITIES  |  CRYPTO</t>
        </is>
      </c>
      <c r="G10" s="50" t="n"/>
      <c r="H10" s="51" t="n"/>
      <c r="J10" s="56" t="inlineStr">
        <is>
          <t>USD / THB USED</t>
        </is>
      </c>
      <c r="K10" s="50" t="n"/>
      <c r="L10" s="51" t="n"/>
    </row>
    <row r="11" ht="42" customHeight="1" s="53">
      <c r="B11" s="62">
        <f>IFERROR(('MF - Lots'!Q167+'Equities - Lots'!N53+'Crypto - Lots'!L32)/('MF - Lots'!O167+'Equities - Lots'!L53+'Crypto - Lots'!J32),0)</f>
        <v/>
      </c>
      <c r="C11" s="50" t="n"/>
      <c r="D11" s="51" t="n"/>
      <c r="F11" s="58">
        <f>COUNTA('MF - Lots'!C5:C166)&amp;" / "&amp;COUNTA('Equities - Lots'!C5:C45)&amp;" / "&amp;COUNTA('Crypto - Lots'!C5:C30)</f>
        <v/>
      </c>
      <c r="G11" s="50" t="n"/>
      <c r="H11" s="51" t="n"/>
      <c r="J11" s="63">
        <f>FXRate</f>
        <v/>
      </c>
      <c r="K11" s="50" t="n"/>
      <c r="L11" s="51" t="n"/>
    </row>
    <row r="14" ht="21.75" customHeight="1" s="53">
      <c r="B14" s="52" t="inlineStr">
        <is>
          <t>ASSET CLASS ALLOCATION (THB)</t>
        </is>
      </c>
      <c r="H14" s="52" t="inlineStr">
        <is>
          <t>GEOGRAPHY ALLOCATION (THB)</t>
        </is>
      </c>
    </row>
    <row r="15" ht="30" customHeight="1" s="53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3">
      <c r="B16" s="9" t="inlineStr">
        <is>
          <t>Equity</t>
        </is>
      </c>
      <c r="C16" s="64">
        <f>SUMIFS('MF - Lots'!$O:$O,'MF - Lots'!$D:$D,B16)+SUMIFS('Equities - Lots'!$L:$L,'Equities - Lots'!$E:$E,B16)+IF(B16="Digital Assets",'Crypto - Lots'!J32,0)</f>
        <v/>
      </c>
      <c r="D16" s="64">
        <f>SUMIFS('MF - Lots'!$P:$P,'MF - Lots'!$D:$D,B16)+SUMIFS('Equities - Lots'!$M:$M,'Equities - Lots'!$E:$E,B16)+IF(B16="Digital Assets",'Crypto - Lots'!K32,0)</f>
        <v/>
      </c>
      <c r="E16" s="65">
        <f>IFERROR(D16/SUM($D$16:$D$21),0)</f>
        <v/>
      </c>
      <c r="F16" s="66">
        <f>D16-C16</f>
        <v/>
      </c>
      <c r="H16" s="9" t="inlineStr">
        <is>
          <t>Thailand</t>
        </is>
      </c>
      <c r="I16" s="64">
        <f>SUMIFS('MF - Lots'!$O:$O,'MF - Lots'!$F:$F,H16)+SUMIFS('Equities - Lots'!$L:$L,'Equities - Lots'!$F:$F,H16)+IF(H16="Global",'Crypto - Lots'!J32,0)</f>
        <v/>
      </c>
      <c r="J16" s="64">
        <f>SUMIFS('MF - Lots'!$P:$P,'MF - Lots'!$F:$F,H16)+SUMIFS('Equities - Lots'!$M:$M,'Equities - Lots'!$F:$F,H16)+IF(H16="Global",'Crypto - Lots'!K32,0)</f>
        <v/>
      </c>
      <c r="K16" s="65">
        <f>IFERROR(J16/SUM($J$16:$J$23),0)</f>
        <v/>
      </c>
      <c r="L16" s="66">
        <f>J16-I16</f>
        <v/>
      </c>
    </row>
    <row r="17" ht="15" customHeight="1" s="53">
      <c r="B17" s="9" t="inlineStr">
        <is>
          <t>Fixed Income</t>
        </is>
      </c>
      <c r="C17" s="64">
        <f>SUMIFS('MF - Lots'!$O:$O,'MF - Lots'!$D:$D,B17)+SUMIFS('Equities - Lots'!$L:$L,'Equities - Lots'!$E:$E,B17)+IF(B17="Digital Assets",'Crypto - Lots'!J32,0)</f>
        <v/>
      </c>
      <c r="D17" s="64">
        <f>SUMIFS('MF - Lots'!$P:$P,'MF - Lots'!$D:$D,B17)+SUMIFS('Equities - Lots'!$M:$M,'Equities - Lots'!$E:$E,B17)+IF(B17="Digital Assets",'Crypto - Lots'!K32,0)</f>
        <v/>
      </c>
      <c r="E17" s="65">
        <f>IFERROR(D17/SUM($D$16:$D$21),0)</f>
        <v/>
      </c>
      <c r="F17" s="66">
        <f>D17-C17</f>
        <v/>
      </c>
      <c r="H17" s="9" t="inlineStr">
        <is>
          <t>United States</t>
        </is>
      </c>
      <c r="I17" s="64">
        <f>SUMIFS('MF - Lots'!$O:$O,'MF - Lots'!$F:$F,H17)+SUMIFS('Equities - Lots'!$L:$L,'Equities - Lots'!$F:$F,H17)+IF(H17="Global",'Crypto - Lots'!J32,0)</f>
        <v/>
      </c>
      <c r="J17" s="64">
        <f>SUMIFS('MF - Lots'!$P:$P,'MF - Lots'!$F:$F,H17)+SUMIFS('Equities - Lots'!$M:$M,'Equities - Lots'!$F:$F,H17)+IF(H17="Global",'Crypto - Lots'!K32,0)</f>
        <v/>
      </c>
      <c r="K17" s="65">
        <f>IFERROR(J17/SUM($J$16:$J$23),0)</f>
        <v/>
      </c>
      <c r="L17" s="66">
        <f>J17-I17</f>
        <v/>
      </c>
    </row>
    <row r="18" ht="15" customHeight="1" s="53">
      <c r="B18" s="9" t="inlineStr">
        <is>
          <t>Multi-Asset</t>
        </is>
      </c>
      <c r="C18" s="64">
        <f>SUMIFS('MF - Lots'!$O:$O,'MF - Lots'!$D:$D,B18)+SUMIFS('Equities - Lots'!$L:$L,'Equities - Lots'!$E:$E,B18)+IF(B18="Digital Assets",'Crypto - Lots'!J32,0)</f>
        <v/>
      </c>
      <c r="D18" s="64">
        <f>SUMIFS('MF - Lots'!$P:$P,'MF - Lots'!$D:$D,B18)+SUMIFS('Equities - Lots'!$M:$M,'Equities - Lots'!$E:$E,B18)+IF(B18="Digital Assets",'Crypto - Lots'!K32,0)</f>
        <v/>
      </c>
      <c r="E18" s="65">
        <f>IFERROR(D18/SUM($D$16:$D$21),0)</f>
        <v/>
      </c>
      <c r="F18" s="66">
        <f>D18-C18</f>
        <v/>
      </c>
      <c r="H18" s="9" t="inlineStr">
        <is>
          <t>Global</t>
        </is>
      </c>
      <c r="I18" s="64">
        <f>SUMIFS('MF - Lots'!$O:$O,'MF - Lots'!$F:$F,H18)+SUMIFS('Equities - Lots'!$L:$L,'Equities - Lots'!$F:$F,H18)+IF(H18="Global",'Crypto - Lots'!J32,0)</f>
        <v/>
      </c>
      <c r="J18" s="64">
        <f>SUMIFS('MF - Lots'!$P:$P,'MF - Lots'!$F:$F,H18)+SUMIFS('Equities - Lots'!$M:$M,'Equities - Lots'!$F:$F,H18)+IF(H18="Global",'Crypto - Lots'!K32,0)</f>
        <v/>
      </c>
      <c r="K18" s="65">
        <f>IFERROR(J18/SUM($J$16:$J$23),0)</f>
        <v/>
      </c>
      <c r="L18" s="66">
        <f>J18-I18</f>
        <v/>
      </c>
    </row>
    <row r="19" ht="15" customHeight="1" s="53">
      <c r="B19" s="9" t="inlineStr">
        <is>
          <t>Alternatives</t>
        </is>
      </c>
      <c r="C19" s="64">
        <f>SUMIFS('MF - Lots'!$O:$O,'MF - Lots'!$D:$D,B19)+SUMIFS('Equities - Lots'!$L:$L,'Equities - Lots'!$E:$E,B19)+IF(B19="Digital Assets",'Crypto - Lots'!J32,0)</f>
        <v/>
      </c>
      <c r="D19" s="64">
        <f>SUMIFS('MF - Lots'!$P:$P,'MF - Lots'!$D:$D,B19)+SUMIFS('Equities - Lots'!$M:$M,'Equities - Lots'!$E:$E,B19)+IF(B19="Digital Assets",'Crypto - Lots'!K32,0)</f>
        <v/>
      </c>
      <c r="E19" s="65">
        <f>IFERROR(D19/SUM($D$16:$D$21),0)</f>
        <v/>
      </c>
      <c r="F19" s="66">
        <f>D19-C19</f>
        <v/>
      </c>
      <c r="H19" s="9" t="inlineStr">
        <is>
          <t>South Korea</t>
        </is>
      </c>
      <c r="I19" s="64">
        <f>SUMIFS('MF - Lots'!$O:$O,'MF - Lots'!$F:$F,H19)+SUMIFS('Equities - Lots'!$L:$L,'Equities - Lots'!$F:$F,H19)+IF(H19="Global",'Crypto - Lots'!J32,0)</f>
        <v/>
      </c>
      <c r="J19" s="64">
        <f>SUMIFS('MF - Lots'!$P:$P,'MF - Lots'!$F:$F,H19)+SUMIFS('Equities - Lots'!$M:$M,'Equities - Lots'!$F:$F,H19)+IF(H19="Global",'Crypto - Lots'!K32,0)</f>
        <v/>
      </c>
      <c r="K19" s="65">
        <f>IFERROR(J19/SUM($J$16:$J$23),0)</f>
        <v/>
      </c>
      <c r="L19" s="66">
        <f>J19-I19</f>
        <v/>
      </c>
    </row>
    <row r="20" ht="15" customHeight="1" s="53">
      <c r="B20" s="9" t="inlineStr">
        <is>
          <t>Cash &amp; Equivalents</t>
        </is>
      </c>
      <c r="C20" s="64">
        <f>SUMIFS('MF - Lots'!$O:$O,'MF - Lots'!$D:$D,B20)+SUMIFS('Equities - Lots'!$L:$L,'Equities - Lots'!$E:$E,B20)+IF(B20="Digital Assets",'Crypto - Lots'!J32,0)</f>
        <v/>
      </c>
      <c r="D20" s="64">
        <f>SUMIFS('MF - Lots'!$P:$P,'MF - Lots'!$D:$D,B20)+SUMIFS('Equities - Lots'!$M:$M,'Equities - Lots'!$E:$E,B20)+IF(B20="Digital Assets",'Crypto - Lots'!K32,0)</f>
        <v/>
      </c>
      <c r="E20" s="65">
        <f>IFERROR(D20/SUM($D$16:$D$21),0)</f>
        <v/>
      </c>
      <c r="F20" s="66">
        <f>D20-C20</f>
        <v/>
      </c>
      <c r="H20" s="9" t="inlineStr">
        <is>
          <t>Vietnam</t>
        </is>
      </c>
      <c r="I20" s="64">
        <f>SUMIFS('MF - Lots'!$O:$O,'MF - Lots'!$F:$F,H20)+SUMIFS('Equities - Lots'!$L:$L,'Equities - Lots'!$F:$F,H20)+IF(H20="Global",'Crypto - Lots'!J32,0)</f>
        <v/>
      </c>
      <c r="J20" s="64">
        <f>SUMIFS('MF - Lots'!$P:$P,'MF - Lots'!$F:$F,H20)+SUMIFS('Equities - Lots'!$M:$M,'Equities - Lots'!$F:$F,H20)+IF(H20="Global",'Crypto - Lots'!K32,0)</f>
        <v/>
      </c>
      <c r="K20" s="65">
        <f>IFERROR(J20/SUM($J$16:$J$23),0)</f>
        <v/>
      </c>
      <c r="L20" s="66">
        <f>J20-I20</f>
        <v/>
      </c>
    </row>
    <row r="21" ht="15" customHeight="1" s="53">
      <c r="B21" s="9" t="inlineStr">
        <is>
          <t>Digital Assets</t>
        </is>
      </c>
      <c r="C21" s="64">
        <f>SUMIFS('MF - Lots'!$O:$O,'MF - Lots'!$D:$D,B21)+SUMIFS('Equities - Lots'!$L:$L,'Equities - Lots'!$E:$E,B21)+IF(B21="Digital Assets",'Crypto - Lots'!J32,0)</f>
        <v/>
      </c>
      <c r="D21" s="64">
        <f>SUMIFS('MF - Lots'!$P:$P,'MF - Lots'!$D:$D,B21)+SUMIFS('Equities - Lots'!$M:$M,'Equities - Lots'!$E:$E,B21)+IF(B21="Digital Assets",'Crypto - Lots'!K32,0)</f>
        <v/>
      </c>
      <c r="E21" s="65">
        <f>IFERROR(D21/SUM($D$16:$D$21),0)</f>
        <v/>
      </c>
      <c r="F21" s="66">
        <f>D21-C21</f>
        <v/>
      </c>
      <c r="H21" s="9" t="inlineStr">
        <is>
          <t>China</t>
        </is>
      </c>
      <c r="I21" s="64">
        <f>SUMIFS('MF - Lots'!$O:$O,'MF - Lots'!$F:$F,H21)+SUMIFS('Equities - Lots'!$L:$L,'Equities - Lots'!$F:$F,H21)+IF(H21="Global",'Crypto - Lots'!J32,0)</f>
        <v/>
      </c>
      <c r="J21" s="64">
        <f>SUMIFS('MF - Lots'!$P:$P,'MF - Lots'!$F:$F,H21)+SUMIFS('Equities - Lots'!$M:$M,'Equities - Lots'!$F:$F,H21)+IF(H21="Global",'Crypto - Lots'!K32,0)</f>
        <v/>
      </c>
      <c r="K21" s="65">
        <f>IFERROR(J21/SUM($J$16:$J$23),0)</f>
        <v/>
      </c>
      <c r="L21" s="66">
        <f>J21-I21</f>
        <v/>
      </c>
    </row>
    <row r="22" ht="15" customHeight="1" s="53">
      <c r="B22" s="13" t="inlineStr">
        <is>
          <t>TOTAL</t>
        </is>
      </c>
      <c r="C22" s="67">
        <f>SUM(C16:C21)</f>
        <v/>
      </c>
      <c r="D22" s="67">
        <f>SUM(D16:D21)</f>
        <v/>
      </c>
      <c r="E22" s="68">
        <f>SUM(E16:E21)</f>
        <v/>
      </c>
      <c r="F22" s="67">
        <f>SUM(F16:F21)</f>
        <v/>
      </c>
      <c r="H22" s="9" t="inlineStr">
        <is>
          <t>Japan</t>
        </is>
      </c>
      <c r="I22" s="64">
        <f>SUMIFS('MF - Lots'!$O:$O,'MF - Lots'!$F:$F,H22)+SUMIFS('Equities - Lots'!$L:$L,'Equities - Lots'!$F:$F,H22)+IF(H22="Global",'Crypto - Lots'!J32,0)</f>
        <v/>
      </c>
      <c r="J22" s="64">
        <f>SUMIFS('MF - Lots'!$P:$P,'MF - Lots'!$F:$F,H22)+SUMIFS('Equities - Lots'!$M:$M,'Equities - Lots'!$F:$F,H22)+IF(H22="Global",'Crypto - Lots'!K32,0)</f>
        <v/>
      </c>
      <c r="K22" s="65">
        <f>IFERROR(J22/SUM($J$16:$J$23),0)</f>
        <v/>
      </c>
      <c r="L22" s="66">
        <f>J22-I22</f>
        <v/>
      </c>
    </row>
    <row r="23" ht="15" customHeight="1" s="53">
      <c r="H23" s="9" t="inlineStr">
        <is>
          <t>Europe</t>
        </is>
      </c>
      <c r="I23" s="64">
        <f>SUMIFS('MF - Lots'!$O:$O,'MF - Lots'!$F:$F,H23)+SUMIFS('Equities - Lots'!$L:$L,'Equities - Lots'!$F:$F,H23)+IF(H23="Global",'Crypto - Lots'!J32,0)</f>
        <v/>
      </c>
      <c r="J23" s="64">
        <f>SUMIFS('MF - Lots'!$P:$P,'MF - Lots'!$F:$F,H23)+SUMIFS('Equities - Lots'!$M:$M,'Equities - Lots'!$F:$F,H23)+IF(H23="Global",'Crypto - Lots'!K32,0)</f>
        <v/>
      </c>
      <c r="K23" s="65">
        <f>IFERROR(J23/SUM($J$16:$J$23),0)</f>
        <v/>
      </c>
      <c r="L23" s="66">
        <f>J23-I23</f>
        <v/>
      </c>
    </row>
    <row r="24" ht="15" customHeight="1" s="53">
      <c r="H24" s="13" t="inlineStr">
        <is>
          <t>TOTAL</t>
        </is>
      </c>
      <c r="I24" s="67">
        <f>SUM(I16:I23)</f>
        <v/>
      </c>
      <c r="J24" s="67">
        <f>SUM(J16:J23)</f>
        <v/>
      </c>
      <c r="K24" s="68">
        <f>SUM(K16:K23)</f>
        <v/>
      </c>
      <c r="L24" s="67">
        <f>SUM(L16:L23)</f>
        <v/>
      </c>
    </row>
    <row r="26" ht="21.75" customHeight="1" s="53">
      <c r="B26" s="52" t="inlineStr">
        <is>
          <t>TAX STATUS BREAKDOWN</t>
        </is>
      </c>
      <c r="H26" s="52" t="inlineStr">
        <is>
          <t>TOP 10 HOLDINGS (by Current Value)</t>
        </is>
      </c>
    </row>
    <row r="27" ht="30" customHeight="1" s="53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3">
      <c r="B28" s="9" t="inlineStr">
        <is>
          <t>Open-Ended</t>
        </is>
      </c>
      <c r="C28" s="64">
        <f>SUMIFS('MF - Lots'!$O:$O,'MF - Lots'!$G:$G,B28)+IF(B28="Taxable",'Equities - Lots'!L53+'Crypto - Lots'!J32,0)</f>
        <v/>
      </c>
      <c r="D28" s="64">
        <f>SUMIFS('MF - Lots'!$P:$P,'MF - Lots'!$G:$G,B28)+IF(B28="Taxable",'Equities - Lots'!M53+'Crypto - Lots'!K32,0)</f>
        <v/>
      </c>
      <c r="E28" s="65">
        <f>IFERROR(D28/SUM($D$28:$D$33),0)</f>
        <v/>
      </c>
      <c r="F28" s="66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64">
        <f>LARGE($P$28:$P$120,1)</f>
        <v/>
      </c>
      <c r="L28" s="65">
        <f>IFERROR(K28/$D$22,0)</f>
        <v/>
      </c>
      <c r="N28" s="19">
        <f>'MF - by Fund'!B5</f>
        <v/>
      </c>
      <c r="O28" s="19">
        <f>'MF - by Fund'!C5</f>
        <v/>
      </c>
      <c r="P28" s="69">
        <f>'MF - by Fund'!K5</f>
        <v/>
      </c>
    </row>
    <row r="29" ht="15" customHeight="1" s="53">
      <c r="B29" s="9" t="inlineStr">
        <is>
          <t>RMF</t>
        </is>
      </c>
      <c r="C29" s="64">
        <f>SUMIFS('MF - Lots'!$O:$O,'MF - Lots'!$G:$G,B29)+IF(B29="Taxable",'Equities - Lots'!L53+'Crypto - Lots'!J32,0)</f>
        <v/>
      </c>
      <c r="D29" s="64">
        <f>SUMIFS('MF - Lots'!$P:$P,'MF - Lots'!$G:$G,B29)+IF(B29="Taxable",'Equities - Lots'!M53+'Crypto - Lots'!K32,0)</f>
        <v/>
      </c>
      <c r="E29" s="65">
        <f>IFERROR(D29/SUM($D$28:$D$33),0)</f>
        <v/>
      </c>
      <c r="F29" s="66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64">
        <f>LARGE($P$28:$P$120,2)</f>
        <v/>
      </c>
      <c r="L29" s="65">
        <f>IFERROR(K29/$D$22,0)</f>
        <v/>
      </c>
      <c r="N29" s="19">
        <f>'MF - by Fund'!B6</f>
        <v/>
      </c>
      <c r="O29" s="19">
        <f>'MF - by Fund'!C6</f>
        <v/>
      </c>
      <c r="P29" s="69">
        <f>'MF - by Fund'!K6</f>
        <v/>
      </c>
    </row>
    <row r="30" ht="15" customHeight="1" s="53">
      <c r="B30" s="9" t="inlineStr">
        <is>
          <t>SSF</t>
        </is>
      </c>
      <c r="C30" s="64">
        <f>SUMIFS('MF - Lots'!$O:$O,'MF - Lots'!$G:$G,B30)+IF(B30="Taxable",'Equities - Lots'!L53+'Crypto - Lots'!J32,0)</f>
        <v/>
      </c>
      <c r="D30" s="64">
        <f>SUMIFS('MF - Lots'!$P:$P,'MF - Lots'!$G:$G,B30)+IF(B30="Taxable",'Equities - Lots'!M53+'Crypto - Lots'!K32,0)</f>
        <v/>
      </c>
      <c r="E30" s="65">
        <f>IFERROR(D30/SUM($D$28:$D$33),0)</f>
        <v/>
      </c>
      <c r="F30" s="66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64">
        <f>LARGE($P$28:$P$120,3)</f>
        <v/>
      </c>
      <c r="L30" s="65">
        <f>IFERROR(K30/$D$22,0)</f>
        <v/>
      </c>
      <c r="N30" s="19">
        <f>'MF - by Fund'!B7</f>
        <v/>
      </c>
      <c r="O30" s="19">
        <f>'MF - by Fund'!C7</f>
        <v/>
      </c>
      <c r="P30" s="69">
        <f>'MF - by Fund'!K7</f>
        <v/>
      </c>
    </row>
    <row r="31" ht="15" customHeight="1" s="53">
      <c r="B31" s="9" t="inlineStr">
        <is>
          <t>Thai ESG</t>
        </is>
      </c>
      <c r="C31" s="64">
        <f>SUMIFS('MF - Lots'!$O:$O,'MF - Lots'!$G:$G,B31)+IF(B31="Taxable",'Equities - Lots'!L53+'Crypto - Lots'!J32,0)</f>
        <v/>
      </c>
      <c r="D31" s="64">
        <f>SUMIFS('MF - Lots'!$P:$P,'MF - Lots'!$G:$G,B31)+IF(B31="Taxable",'Equities - Lots'!M53+'Crypto - Lots'!K32,0)</f>
        <v/>
      </c>
      <c r="E31" s="65">
        <f>IFERROR(D31/SUM($D$28:$D$33),0)</f>
        <v/>
      </c>
      <c r="F31" s="66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64">
        <f>LARGE($P$28:$P$120,4)</f>
        <v/>
      </c>
      <c r="L31" s="65">
        <f>IFERROR(K31/$D$22,0)</f>
        <v/>
      </c>
      <c r="N31" s="19">
        <f>'MF - by Fund'!B8</f>
        <v/>
      </c>
      <c r="O31" s="19">
        <f>'MF - by Fund'!C8</f>
        <v/>
      </c>
      <c r="P31" s="69">
        <f>'MF - by Fund'!K8</f>
        <v/>
      </c>
    </row>
    <row r="32" ht="15" customHeight="1" s="53">
      <c r="B32" s="9" t="inlineStr">
        <is>
          <t>LTF</t>
        </is>
      </c>
      <c r="C32" s="64">
        <f>SUMIFS('MF - Lots'!$O:$O,'MF - Lots'!$G:$G,B32)+IF(B32="Taxable",'Equities - Lots'!L53+'Crypto - Lots'!J32,0)</f>
        <v/>
      </c>
      <c r="D32" s="64">
        <f>SUMIFS('MF - Lots'!$P:$P,'MF - Lots'!$G:$G,B32)+IF(B32="Taxable",'Equities - Lots'!M53+'Crypto - Lots'!K32,0)</f>
        <v/>
      </c>
      <c r="E32" s="65">
        <f>IFERROR(D32/SUM($D$28:$D$33),0)</f>
        <v/>
      </c>
      <c r="F32" s="66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64">
        <f>LARGE($P$28:$P$120,5)</f>
        <v/>
      </c>
      <c r="L32" s="65">
        <f>IFERROR(K32/$D$22,0)</f>
        <v/>
      </c>
      <c r="N32" s="19">
        <f>'MF - by Fund'!B9</f>
        <v/>
      </c>
      <c r="O32" s="19">
        <f>'MF - by Fund'!C9</f>
        <v/>
      </c>
      <c r="P32" s="69">
        <f>'MF - by Fund'!K9</f>
        <v/>
      </c>
    </row>
    <row r="33" ht="15" customHeight="1" s="53">
      <c r="B33" s="9" t="inlineStr">
        <is>
          <t>Taxable</t>
        </is>
      </c>
      <c r="C33" s="64">
        <f>SUMIFS('MF - Lots'!$O:$O,'MF - Lots'!$G:$G,B33)+IF(B33="Taxable",'Equities - Lots'!L53+'Crypto - Lots'!J32,0)</f>
        <v/>
      </c>
      <c r="D33" s="64">
        <f>SUMIFS('MF - Lots'!$P:$P,'MF - Lots'!$G:$G,B33)+IF(B33="Taxable",'Equities - Lots'!M53+'Crypto - Lots'!K32,0)</f>
        <v/>
      </c>
      <c r="E33" s="65">
        <f>IFERROR(D33/SUM($D$28:$D$33),0)</f>
        <v/>
      </c>
      <c r="F33" s="66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64">
        <f>LARGE($P$28:$P$120,6)</f>
        <v/>
      </c>
      <c r="L33" s="65">
        <f>IFERROR(K33/$D$22,0)</f>
        <v/>
      </c>
      <c r="N33" s="19">
        <f>'MF - by Fund'!B10</f>
        <v/>
      </c>
      <c r="O33" s="19">
        <f>'MF - by Fund'!C10</f>
        <v/>
      </c>
      <c r="P33" s="69">
        <f>'MF - by Fund'!K10</f>
        <v/>
      </c>
    </row>
    <row r="34" ht="15" customHeight="1" s="53">
      <c r="B34" s="13" t="inlineStr">
        <is>
          <t>TOTAL</t>
        </is>
      </c>
      <c r="C34" s="67">
        <f>SUM(C28:C33)</f>
        <v/>
      </c>
      <c r="D34" s="67">
        <f>SUM(D28:D33)</f>
        <v/>
      </c>
      <c r="E34" s="68">
        <f>SUM(E28:E33)</f>
        <v/>
      </c>
      <c r="F34" s="67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64">
        <f>LARGE($P$28:$P$120,7)</f>
        <v/>
      </c>
      <c r="L34" s="65">
        <f>IFERROR(K34/$D$22,0)</f>
        <v/>
      </c>
      <c r="N34" s="19">
        <f>'MF - by Fund'!B11</f>
        <v/>
      </c>
      <c r="O34" s="19">
        <f>'MF - by Fund'!C11</f>
        <v/>
      </c>
      <c r="P34" s="69">
        <f>'MF - by Fund'!K11</f>
        <v/>
      </c>
    </row>
    <row r="35" ht="15" customHeight="1" s="53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64">
        <f>LARGE($P$28:$P$120,8)</f>
        <v/>
      </c>
      <c r="L35" s="65">
        <f>IFERROR(K35/$D$22,0)</f>
        <v/>
      </c>
      <c r="N35" s="19">
        <f>'MF - by Fund'!B12</f>
        <v/>
      </c>
      <c r="O35" s="19">
        <f>'MF - by Fund'!C12</f>
        <v/>
      </c>
      <c r="P35" s="69">
        <f>'MF - by Fund'!K12</f>
        <v/>
      </c>
    </row>
    <row r="36" ht="15" customHeight="1" s="53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64">
        <f>LARGE($P$28:$P$120,9)</f>
        <v/>
      </c>
      <c r="L36" s="65">
        <f>IFERROR(K36/$D$22,0)</f>
        <v/>
      </c>
      <c r="N36" s="19">
        <f>'MF - by Fund'!B13</f>
        <v/>
      </c>
      <c r="O36" s="19">
        <f>'MF - by Fund'!C13</f>
        <v/>
      </c>
      <c r="P36" s="69">
        <f>'MF - by Fund'!K13</f>
        <v/>
      </c>
    </row>
    <row r="37" ht="15" customHeight="1" s="53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64">
        <f>LARGE($P$28:$P$120,10)</f>
        <v/>
      </c>
      <c r="L37" s="65">
        <f>IFERROR(K37/$D$22,0)</f>
        <v/>
      </c>
      <c r="N37" s="19">
        <f>'MF - by Fund'!B14</f>
        <v/>
      </c>
      <c r="O37" s="19">
        <f>'MF - by Fund'!C14</f>
        <v/>
      </c>
      <c r="P37" s="69">
        <f>'MF - by Fund'!K14</f>
        <v/>
      </c>
    </row>
    <row r="38" ht="15" customHeight="1" s="53">
      <c r="H38" s="21" t="n"/>
      <c r="I38" s="22" t="n"/>
      <c r="J38" s="22" t="n"/>
      <c r="K38" s="70" t="n"/>
      <c r="L38" s="71" t="n"/>
      <c r="N38" s="19" t="n"/>
      <c r="O38" s="19" t="n"/>
      <c r="P38" s="69" t="n"/>
    </row>
    <row r="39" ht="21.75" customHeight="1" s="53">
      <c r="B39" s="52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69">
        <f>'MF - by Fund'!K15</f>
        <v/>
      </c>
    </row>
    <row r="40" ht="30" customHeight="1" s="53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69">
        <f>'MF - by Fund'!K16</f>
        <v/>
      </c>
    </row>
    <row r="41" ht="15" customHeight="1" s="53">
      <c r="B41" s="9" t="inlineStr">
        <is>
          <t>US Large Cap</t>
        </is>
      </c>
      <c r="C41" s="64">
        <f>SUMIFS('MF - Lots'!$O:$O,'MF - Lots'!$E:$E,B41)+SUMIFS('Equities - Lots'!$L:$L,'Equities - Lots'!$G:$G,B41)+SUMIFS('Crypto - Lots'!$J:$J,'Crypto - Lots'!$E:$E,B41)</f>
        <v/>
      </c>
      <c r="D41" s="64">
        <f>SUMIFS('MF - Lots'!$P:$P,'MF - Lots'!$E:$E,B41)+SUMIFS('Equities - Lots'!$M:$M,'Equities - Lots'!$G:$G,B41)+SUMIFS('Crypto - Lots'!$K:$K,'Crypto - Lots'!$E:$E,B41)</f>
        <v/>
      </c>
      <c r="E41" s="65">
        <f>IFERROR(D41/$D$22,0)</f>
        <v/>
      </c>
      <c r="F41" s="66">
        <f>D41-C41</f>
        <v/>
      </c>
      <c r="N41" s="19">
        <f>'MF - by Fund'!B17</f>
        <v/>
      </c>
      <c r="O41" s="19">
        <f>'MF - by Fund'!C17</f>
        <v/>
      </c>
      <c r="P41" s="69">
        <f>'MF - by Fund'!K17</f>
        <v/>
      </c>
    </row>
    <row r="42" ht="15" customHeight="1" s="53">
      <c r="B42" s="9" t="inlineStr">
        <is>
          <t>Korea</t>
        </is>
      </c>
      <c r="C42" s="64">
        <f>SUMIFS('MF - Lots'!$O:$O,'MF - Lots'!$E:$E,B42)+SUMIFS('Equities - Lots'!$L:$L,'Equities - Lots'!$G:$G,B42)+SUMIFS('Crypto - Lots'!$J:$J,'Crypto - Lots'!$E:$E,B42)</f>
        <v/>
      </c>
      <c r="D42" s="64">
        <f>SUMIFS('MF - Lots'!$P:$P,'MF - Lots'!$E:$E,B42)+SUMIFS('Equities - Lots'!$M:$M,'Equities - Lots'!$G:$G,B42)+SUMIFS('Crypto - Lots'!$K:$K,'Crypto - Lots'!$E:$E,B42)</f>
        <v/>
      </c>
      <c r="E42" s="65">
        <f>IFERROR(D42/$D$22,0)</f>
        <v/>
      </c>
      <c r="F42" s="66">
        <f>D42-C42</f>
        <v/>
      </c>
      <c r="N42" s="19">
        <f>'MF - by Fund'!B18</f>
        <v/>
      </c>
      <c r="O42" s="19">
        <f>'MF - by Fund'!C18</f>
        <v/>
      </c>
      <c r="P42" s="69">
        <f>'MF - by Fund'!K18</f>
        <v/>
      </c>
    </row>
    <row r="43" ht="15" customHeight="1" s="53">
      <c r="B43" s="9" t="inlineStr">
        <is>
          <t>Thai Equity</t>
        </is>
      </c>
      <c r="C43" s="64">
        <f>SUMIFS('MF - Lots'!$O:$O,'MF - Lots'!$E:$E,B43)+SUMIFS('Equities - Lots'!$L:$L,'Equities - Lots'!$G:$G,B43)+SUMIFS('Crypto - Lots'!$J:$J,'Crypto - Lots'!$E:$E,B43)</f>
        <v/>
      </c>
      <c r="D43" s="64">
        <f>SUMIFS('MF - Lots'!$P:$P,'MF - Lots'!$E:$E,B43)+SUMIFS('Equities - Lots'!$M:$M,'Equities - Lots'!$G:$G,B43)+SUMIFS('Crypto - Lots'!$K:$K,'Crypto - Lots'!$E:$E,B43)</f>
        <v/>
      </c>
      <c r="E43" s="65">
        <f>IFERROR(D43/$D$22,0)</f>
        <v/>
      </c>
      <c r="F43" s="66">
        <f>D43-C43</f>
        <v/>
      </c>
      <c r="N43" s="19">
        <f>'MF - by Fund'!B19</f>
        <v/>
      </c>
      <c r="O43" s="19">
        <f>'MF - by Fund'!C19</f>
        <v/>
      </c>
      <c r="P43" s="69">
        <f>'MF - by Fund'!K19</f>
        <v/>
      </c>
    </row>
    <row r="44" ht="15" customHeight="1" s="53">
      <c r="B44" s="9" t="inlineStr">
        <is>
          <t>Healthcare</t>
        </is>
      </c>
      <c r="C44" s="64">
        <f>SUMIFS('MF - Lots'!$O:$O,'MF - Lots'!$E:$E,B44)+SUMIFS('Equities - Lots'!$L:$L,'Equities - Lots'!$G:$G,B44)+SUMIFS('Crypto - Lots'!$J:$J,'Crypto - Lots'!$E:$E,B44)</f>
        <v/>
      </c>
      <c r="D44" s="64">
        <f>SUMIFS('MF - Lots'!$P:$P,'MF - Lots'!$E:$E,B44)+SUMIFS('Equities - Lots'!$M:$M,'Equities - Lots'!$G:$G,B44)+SUMIFS('Crypto - Lots'!$K:$K,'Crypto - Lots'!$E:$E,B44)</f>
        <v/>
      </c>
      <c r="E44" s="65">
        <f>IFERROR(D44/$D$22,0)</f>
        <v/>
      </c>
      <c r="F44" s="66">
        <f>D44-C44</f>
        <v/>
      </c>
      <c r="N44" s="19">
        <f>'MF - by Fund'!B20</f>
        <v/>
      </c>
      <c r="O44" s="19">
        <f>'MF - by Fund'!C20</f>
        <v/>
      </c>
      <c r="P44" s="69">
        <f>'MF - by Fund'!K20</f>
        <v/>
      </c>
    </row>
    <row r="45" ht="15" customHeight="1" s="53">
      <c r="B45" s="9" t="inlineStr">
        <is>
          <t>Crypto (All)</t>
        </is>
      </c>
      <c r="C45" s="64">
        <f>'Crypto - Lots'!J32</f>
        <v/>
      </c>
      <c r="D45" s="64">
        <f>'Crypto - Lots'!K32</f>
        <v/>
      </c>
      <c r="E45" s="65">
        <f>IFERROR(D45/$D$22,0)</f>
        <v/>
      </c>
      <c r="F45" s="66">
        <f>D45-C45</f>
        <v/>
      </c>
      <c r="N45" s="19">
        <f>'MF - by Fund'!B21</f>
        <v/>
      </c>
      <c r="O45" s="19">
        <f>'MF - by Fund'!C21</f>
        <v/>
      </c>
      <c r="P45" s="69">
        <f>'MF - by Fund'!K21</f>
        <v/>
      </c>
    </row>
    <row r="46" ht="15" customHeight="1" s="53">
      <c r="B46" s="9" t="inlineStr">
        <is>
          <t>Vietnam Equity</t>
        </is>
      </c>
      <c r="C46" s="64">
        <f>SUMIFS('MF - Lots'!$O:$O,'MF - Lots'!$E:$E,B46)+SUMIFS('Equities - Lots'!$L:$L,'Equities - Lots'!$G:$G,B46)+SUMIFS('Crypto - Lots'!$J:$J,'Crypto - Lots'!$E:$E,B46)</f>
        <v/>
      </c>
      <c r="D46" s="64">
        <f>SUMIFS('MF - Lots'!$P:$P,'MF - Lots'!$E:$E,B46)+SUMIFS('Equities - Lots'!$M:$M,'Equities - Lots'!$G:$G,B46)+SUMIFS('Crypto - Lots'!$K:$K,'Crypto - Lots'!$E:$E,B46)</f>
        <v/>
      </c>
      <c r="E46" s="65">
        <f>IFERROR(D46/$D$22,0)</f>
        <v/>
      </c>
      <c r="F46" s="66">
        <f>D46-C46</f>
        <v/>
      </c>
      <c r="N46" s="19">
        <f>'MF - by Fund'!B22</f>
        <v/>
      </c>
      <c r="O46" s="19">
        <f>'MF - by Fund'!C22</f>
        <v/>
      </c>
      <c r="P46" s="69">
        <f>'MF - by Fund'!K22</f>
        <v/>
      </c>
    </row>
    <row r="47" ht="15" customHeight="1" s="53">
      <c r="B47" s="9" t="inlineStr">
        <is>
          <t>Thai Single Stock</t>
        </is>
      </c>
      <c r="C47" s="64">
        <f>SUMIFS('MF - Lots'!$O:$O,'MF - Lots'!$E:$E,B47)+SUMIFS('Equities - Lots'!$L:$L,'Equities - Lots'!$G:$G,B47)+SUMIFS('Crypto - Lots'!$J:$J,'Crypto - Lots'!$E:$E,B47)</f>
        <v/>
      </c>
      <c r="D47" s="64">
        <f>SUMIFS('MF - Lots'!$P:$P,'MF - Lots'!$E:$E,B47)+SUMIFS('Equities - Lots'!$M:$M,'Equities - Lots'!$G:$G,B47)+SUMIFS('Crypto - Lots'!$K:$K,'Crypto - Lots'!$E:$E,B47)</f>
        <v/>
      </c>
      <c r="E47" s="65">
        <f>IFERROR(D47/$D$22,0)</f>
        <v/>
      </c>
      <c r="F47" s="66">
        <f>D47-C47</f>
        <v/>
      </c>
      <c r="N47" s="19">
        <f>'MF - by Fund'!B23</f>
        <v/>
      </c>
      <c r="O47" s="19">
        <f>'MF - by Fund'!C23</f>
        <v/>
      </c>
      <c r="P47" s="69">
        <f>'MF - by Fund'!K23</f>
        <v/>
      </c>
    </row>
    <row r="48" ht="15" customHeight="1" s="53">
      <c r="B48" s="9" t="inlineStr">
        <is>
          <t>Thai Balanced</t>
        </is>
      </c>
      <c r="C48" s="64">
        <f>SUMIFS('MF - Lots'!$O:$O,'MF - Lots'!$E:$E,B48)+SUMIFS('Equities - Lots'!$L:$L,'Equities - Lots'!$G:$G,B48)+SUMIFS('Crypto - Lots'!$J:$J,'Crypto - Lots'!$E:$E,B48)</f>
        <v/>
      </c>
      <c r="D48" s="64">
        <f>SUMIFS('MF - Lots'!$P:$P,'MF - Lots'!$E:$E,B48)+SUMIFS('Equities - Lots'!$M:$M,'Equities - Lots'!$G:$G,B48)+SUMIFS('Crypto - Lots'!$K:$K,'Crypto - Lots'!$E:$E,B48)</f>
        <v/>
      </c>
      <c r="E48" s="65">
        <f>IFERROR(D48/$D$22,0)</f>
        <v/>
      </c>
      <c r="F48" s="66">
        <f>D48-C48</f>
        <v/>
      </c>
      <c r="N48" s="19">
        <f>'MF - by Fund'!B24</f>
        <v/>
      </c>
      <c r="O48" s="19">
        <f>'MF - by Fund'!C24</f>
        <v/>
      </c>
      <c r="P48" s="69">
        <f>'MF - by Fund'!K24</f>
        <v/>
      </c>
    </row>
    <row r="49" ht="15" customHeight="1" s="53">
      <c r="B49" s="9" t="inlineStr">
        <is>
          <t>TH Gov Bond</t>
        </is>
      </c>
      <c r="C49" s="64">
        <f>SUMIFS('MF - Lots'!$O:$O,'MF - Lots'!$E:$E,B49)+SUMIFS('Equities - Lots'!$L:$L,'Equities - Lots'!$G:$G,B49)+SUMIFS('Crypto - Lots'!$J:$J,'Crypto - Lots'!$E:$E,B49)</f>
        <v/>
      </c>
      <c r="D49" s="64">
        <f>SUMIFS('MF - Lots'!$P:$P,'MF - Lots'!$E:$E,B49)+SUMIFS('Equities - Lots'!$M:$M,'Equities - Lots'!$G:$G,B49)+SUMIFS('Crypto - Lots'!$K:$K,'Crypto - Lots'!$E:$E,B49)</f>
        <v/>
      </c>
      <c r="E49" s="65">
        <f>IFERROR(D49/$D$22,0)</f>
        <v/>
      </c>
      <c r="F49" s="66">
        <f>D49-C49</f>
        <v/>
      </c>
      <c r="N49" s="19">
        <f>'MF - by Fund'!B25</f>
        <v/>
      </c>
      <c r="O49" s="19">
        <f>'MF - by Fund'!C25</f>
        <v/>
      </c>
      <c r="P49" s="69">
        <f>'MF - by Fund'!K25</f>
        <v/>
      </c>
    </row>
    <row r="50" ht="15" customHeight="1" s="53">
      <c r="B50" s="9" t="inlineStr">
        <is>
          <t>China Equity</t>
        </is>
      </c>
      <c r="C50" s="64">
        <f>SUMIFS('MF - Lots'!$O:$O,'MF - Lots'!$E:$E,B50)+SUMIFS('Equities - Lots'!$L:$L,'Equities - Lots'!$G:$G,B50)+SUMIFS('Crypto - Lots'!$J:$J,'Crypto - Lots'!$E:$E,B50)</f>
        <v/>
      </c>
      <c r="D50" s="64">
        <f>SUMIFS('MF - Lots'!$P:$P,'MF - Lots'!$E:$E,B50)+SUMIFS('Equities - Lots'!$M:$M,'Equities - Lots'!$G:$G,B50)+SUMIFS('Crypto - Lots'!$K:$K,'Crypto - Lots'!$E:$E,B50)</f>
        <v/>
      </c>
      <c r="E50" s="65">
        <f>IFERROR(D50/$D$22,0)</f>
        <v/>
      </c>
      <c r="F50" s="66">
        <f>D50-C50</f>
        <v/>
      </c>
      <c r="N50" s="19">
        <f>'MF - by Fund'!B26</f>
        <v/>
      </c>
      <c r="O50" s="19">
        <f>'MF - by Fund'!C26</f>
        <v/>
      </c>
      <c r="P50" s="69">
        <f>'MF - by Fund'!K26</f>
        <v/>
      </c>
    </row>
    <row r="51" ht="15" customHeight="1" s="53">
      <c r="B51" s="9" t="inlineStr">
        <is>
          <t>US Single Stock</t>
        </is>
      </c>
      <c r="C51" s="64">
        <f>SUMIFS('MF - Lots'!$O:$O,'MF - Lots'!$E:$E,B51)+SUMIFS('Equities - Lots'!$L:$L,'Equities - Lots'!$G:$G,B51)+SUMIFS('Crypto - Lots'!$J:$J,'Crypto - Lots'!$E:$E,B51)</f>
        <v/>
      </c>
      <c r="D51" s="64">
        <f>SUMIFS('MF - Lots'!$P:$P,'MF - Lots'!$E:$E,B51)+SUMIFS('Equities - Lots'!$M:$M,'Equities - Lots'!$G:$G,B51)+SUMIFS('Crypto - Lots'!$K:$K,'Crypto - Lots'!$E:$E,B51)</f>
        <v/>
      </c>
      <c r="E51" s="65">
        <f>IFERROR(D51/$D$22,0)</f>
        <v/>
      </c>
      <c r="F51" s="66">
        <f>D51-C51</f>
        <v/>
      </c>
      <c r="N51" s="19">
        <f>'MF - by Fund'!B28</f>
        <v/>
      </c>
      <c r="O51" s="19">
        <f>'MF - by Fund'!C28</f>
        <v/>
      </c>
      <c r="P51" s="69">
        <f>'MF - by Fund'!K28</f>
        <v/>
      </c>
    </row>
    <row r="52" ht="15" customHeight="1" s="53">
      <c r="B52" s="9" t="inlineStr">
        <is>
          <t>Gold</t>
        </is>
      </c>
      <c r="C52" s="64">
        <f>SUMIFS('MF - Lots'!$O:$O,'MF - Lots'!$E:$E,B52)+SUMIFS('Equities - Lots'!$L:$L,'Equities - Lots'!$G:$G,B52)+SUMIFS('Crypto - Lots'!$J:$J,'Crypto - Lots'!$E:$E,B52)</f>
        <v/>
      </c>
      <c r="D52" s="64">
        <f>SUMIFS('MF - Lots'!$P:$P,'MF - Lots'!$E:$E,B52)+SUMIFS('Equities - Lots'!$M:$M,'Equities - Lots'!$G:$G,B52)+SUMIFS('Crypto - Lots'!$K:$K,'Crypto - Lots'!$E:$E,B52)</f>
        <v/>
      </c>
      <c r="E52" s="65">
        <f>IFERROR(D52/$D$22,0)</f>
        <v/>
      </c>
      <c r="F52" s="66">
        <f>D52-C52</f>
        <v/>
      </c>
      <c r="N52" s="19">
        <f>'MF - by Fund'!B29</f>
        <v/>
      </c>
      <c r="O52" s="19">
        <f>'MF - by Fund'!C29</f>
        <v/>
      </c>
      <c r="P52" s="69">
        <f>'MF - by Fund'!K29</f>
        <v/>
      </c>
    </row>
    <row r="53" ht="15" customHeight="1" s="53">
      <c r="B53" s="9" t="inlineStr">
        <is>
          <t>Brokerage Cash</t>
        </is>
      </c>
      <c r="C53" s="64">
        <f>SUMIFS('MF - Lots'!$O:$O,'MF - Lots'!$E:$E,B53)+SUMIFS('Equities - Lots'!$L:$L,'Equities - Lots'!$G:$G,B53)+SUMIFS('Crypto - Lots'!$J:$J,'Crypto - Lots'!$E:$E,B53)</f>
        <v/>
      </c>
      <c r="D53" s="64">
        <f>SUMIFS('MF - Lots'!$P:$P,'MF - Lots'!$E:$E,B53)+SUMIFS('Equities - Lots'!$M:$M,'Equities - Lots'!$G:$G,B53)+SUMIFS('Crypto - Lots'!$K:$K,'Crypto - Lots'!$E:$E,B53)</f>
        <v/>
      </c>
      <c r="E53" s="65">
        <f>IFERROR(D53/$D$22,0)</f>
        <v/>
      </c>
      <c r="F53" s="66">
        <f>D53-C53</f>
        <v/>
      </c>
      <c r="N53" s="19">
        <f>'MF - by Fund'!B30</f>
        <v/>
      </c>
      <c r="O53" s="19">
        <f>'MF - by Fund'!C30</f>
        <v/>
      </c>
      <c r="P53" s="69">
        <f>'MF - by Fund'!K30</f>
        <v/>
      </c>
    </row>
    <row r="54" ht="15" customHeight="1" s="53">
      <c r="B54" s="9" t="inlineStr">
        <is>
          <t>Thai SET50</t>
        </is>
      </c>
      <c r="C54" s="64">
        <f>SUMIFS('MF - Lots'!$O:$O,'MF - Lots'!$E:$E,B54)+SUMIFS('Equities - Lots'!$L:$L,'Equities - Lots'!$G:$G,B54)+SUMIFS('Crypto - Lots'!$J:$J,'Crypto - Lots'!$E:$E,B54)</f>
        <v/>
      </c>
      <c r="D54" s="64">
        <f>SUMIFS('MF - Lots'!$P:$P,'MF - Lots'!$E:$E,B54)+SUMIFS('Equities - Lots'!$M:$M,'Equities - Lots'!$G:$G,B54)+SUMIFS('Crypto - Lots'!$K:$K,'Crypto - Lots'!$E:$E,B54)</f>
        <v/>
      </c>
      <c r="E54" s="65">
        <f>IFERROR(D54/$D$22,0)</f>
        <v/>
      </c>
      <c r="F54" s="66">
        <f>D54-C54</f>
        <v/>
      </c>
      <c r="N54" s="19">
        <f>'MF - by Fund'!B31</f>
        <v/>
      </c>
      <c r="O54" s="19">
        <f>'MF - by Fund'!C31</f>
        <v/>
      </c>
      <c r="P54" s="69">
        <f>'MF - by Fund'!K31</f>
        <v/>
      </c>
    </row>
    <row r="55" ht="15" customHeight="1" s="53">
      <c r="B55" s="9" t="inlineStr">
        <is>
          <t>AI / Innovation</t>
        </is>
      </c>
      <c r="C55" s="64">
        <f>SUMIFS('MF - Lots'!$O:$O,'MF - Lots'!$E:$E,B55)+SUMIFS('Equities - Lots'!$L:$L,'Equities - Lots'!$G:$G,B55)+SUMIFS('Crypto - Lots'!$J:$J,'Crypto - Lots'!$E:$E,B55)</f>
        <v/>
      </c>
      <c r="D55" s="64">
        <f>SUMIFS('MF - Lots'!$P:$P,'MF - Lots'!$E:$E,B55)+SUMIFS('Equities - Lots'!$M:$M,'Equities - Lots'!$G:$G,B55)+SUMIFS('Crypto - Lots'!$K:$K,'Crypto - Lots'!$E:$E,B55)</f>
        <v/>
      </c>
      <c r="E55" s="65">
        <f>IFERROR(D55/$D$22,0)</f>
        <v/>
      </c>
      <c r="F55" s="66">
        <f>D55-C55</f>
        <v/>
      </c>
      <c r="N55" s="19">
        <f>'MF - by Fund'!B32</f>
        <v/>
      </c>
      <c r="O55" s="19">
        <f>'MF - by Fund'!C32</f>
        <v/>
      </c>
      <c r="P55" s="69">
        <f>'MF - by Fund'!K32</f>
        <v/>
      </c>
    </row>
    <row r="56" ht="15" customHeight="1" s="53">
      <c r="B56" s="9" t="inlineStr">
        <is>
          <t>Japan Equity</t>
        </is>
      </c>
      <c r="C56" s="64">
        <f>SUMIFS('MF - Lots'!$O:$O,'MF - Lots'!$E:$E,B56)+SUMIFS('Equities - Lots'!$L:$L,'Equities - Lots'!$G:$G,B56)+SUMIFS('Crypto - Lots'!$J:$J,'Crypto - Lots'!$E:$E,B56)</f>
        <v/>
      </c>
      <c r="D56" s="64">
        <f>SUMIFS('MF - Lots'!$P:$P,'MF - Lots'!$E:$E,B56)+SUMIFS('Equities - Lots'!$M:$M,'Equities - Lots'!$G:$G,B56)+SUMIFS('Crypto - Lots'!$K:$K,'Crypto - Lots'!$E:$E,B56)</f>
        <v/>
      </c>
      <c r="E56" s="65">
        <f>IFERROR(D56/$D$22,0)</f>
        <v/>
      </c>
      <c r="F56" s="66">
        <f>D56-C56</f>
        <v/>
      </c>
      <c r="N56" s="19">
        <f>'MF - by Fund'!B35</f>
        <v/>
      </c>
      <c r="O56" s="19">
        <f>'MF - by Fund'!C35</f>
        <v/>
      </c>
      <c r="P56" s="69">
        <f>'MF - by Fund'!K35</f>
        <v/>
      </c>
    </row>
    <row r="57" ht="15" customHeight="1" s="53">
      <c r="B57" s="9" t="inlineStr">
        <is>
          <t>Semiconductor</t>
        </is>
      </c>
      <c r="C57" s="64">
        <f>SUMIFS('MF - Lots'!$O:$O,'MF - Lots'!$E:$E,B57)+SUMIFS('Equities - Lots'!$L:$L,'Equities - Lots'!$G:$G,B57)+SUMIFS('Crypto - Lots'!$J:$J,'Crypto - Lots'!$E:$E,B57)</f>
        <v/>
      </c>
      <c r="D57" s="64">
        <f>SUMIFS('MF - Lots'!$P:$P,'MF - Lots'!$E:$E,B57)+SUMIFS('Equities - Lots'!$M:$M,'Equities - Lots'!$G:$G,B57)+SUMIFS('Crypto - Lots'!$K:$K,'Crypto - Lots'!$E:$E,B57)</f>
        <v/>
      </c>
      <c r="E57" s="65">
        <f>IFERROR(D57/$D$22,0)</f>
        <v/>
      </c>
      <c r="F57" s="66">
        <f>D57-C57</f>
        <v/>
      </c>
      <c r="N57" s="19">
        <f>'MF - by Fund'!B36</f>
        <v/>
      </c>
      <c r="O57" s="19">
        <f>'MF - by Fund'!C36</f>
        <v/>
      </c>
      <c r="P57" s="69">
        <f>'MF - by Fund'!K36</f>
        <v/>
      </c>
    </row>
    <row r="58" ht="15" customHeight="1" s="53">
      <c r="B58" s="9" t="inlineStr">
        <is>
          <t>Europe Equity</t>
        </is>
      </c>
      <c r="C58" s="64">
        <f>SUMIFS('MF - Lots'!$O:$O,'MF - Lots'!$E:$E,B58)+SUMIFS('Equities - Lots'!$L:$L,'Equities - Lots'!$G:$G,B58)+SUMIFS('Crypto - Lots'!$J:$J,'Crypto - Lots'!$E:$E,B58)</f>
        <v/>
      </c>
      <c r="D58" s="64">
        <f>SUMIFS('MF - Lots'!$P:$P,'MF - Lots'!$E:$E,B58)+SUMIFS('Equities - Lots'!$M:$M,'Equities - Lots'!$G:$G,B58)+SUMIFS('Crypto - Lots'!$K:$K,'Crypto - Lots'!$E:$E,B58)</f>
        <v/>
      </c>
      <c r="E58" s="65">
        <f>IFERROR(D58/$D$22,0)</f>
        <v/>
      </c>
      <c r="F58" s="66">
        <f>D58-C58</f>
        <v/>
      </c>
      <c r="N58" s="19">
        <f>'Equities - by Ticker'!C5</f>
        <v/>
      </c>
      <c r="O58" s="19">
        <f>'Equities - by Ticker'!B5</f>
        <v/>
      </c>
      <c r="P58" s="69">
        <f>'Equities - by Ticker'!K5</f>
        <v/>
      </c>
    </row>
    <row r="59" ht="15" customHeight="1" s="53">
      <c r="B59" s="9" t="inlineStr">
        <is>
          <t>TH Short-Term Bond</t>
        </is>
      </c>
      <c r="C59" s="64">
        <f>SUMIFS('MF - Lots'!$O:$O,'MF - Lots'!$E:$E,B59)+SUMIFS('Equities - Lots'!$L:$L,'Equities - Lots'!$G:$G,B59)+SUMIFS('Crypto - Lots'!$J:$J,'Crypto - Lots'!$E:$E,B59)</f>
        <v/>
      </c>
      <c r="D59" s="64">
        <f>SUMIFS('MF - Lots'!$P:$P,'MF - Lots'!$E:$E,B59)+SUMIFS('Equities - Lots'!$M:$M,'Equities - Lots'!$G:$G,B59)+SUMIFS('Crypto - Lots'!$K:$K,'Crypto - Lots'!$E:$E,B59)</f>
        <v/>
      </c>
      <c r="E59" s="65">
        <f>IFERROR(D59/$D$22,0)</f>
        <v/>
      </c>
      <c r="F59" s="66">
        <f>D59-C59</f>
        <v/>
      </c>
      <c r="N59" s="19">
        <f>'Equities - by Ticker'!C6</f>
        <v/>
      </c>
      <c r="O59" s="19">
        <f>'Equities - by Ticker'!B6</f>
        <v/>
      </c>
      <c r="P59" s="69">
        <f>'Equities - by Ticker'!K6</f>
        <v/>
      </c>
    </row>
    <row r="60" ht="15" customHeight="1" s="53">
      <c r="B60" s="9" t="inlineStr">
        <is>
          <t>TH Money Market</t>
        </is>
      </c>
      <c r="C60" s="64">
        <f>SUMIFS('MF - Lots'!$O:$O,'MF - Lots'!$E:$E,B60)+SUMIFS('Equities - Lots'!$L:$L,'Equities - Lots'!$G:$G,B60)+SUMIFS('Crypto - Lots'!$J:$J,'Crypto - Lots'!$E:$E,B60)</f>
        <v/>
      </c>
      <c r="D60" s="64">
        <f>SUMIFS('MF - Lots'!$P:$P,'MF - Lots'!$E:$E,B60)+SUMIFS('Equities - Lots'!$M:$M,'Equities - Lots'!$G:$G,B60)+SUMIFS('Crypto - Lots'!$K:$K,'Crypto - Lots'!$E:$E,B60)</f>
        <v/>
      </c>
      <c r="E60" s="65">
        <f>IFERROR(D60/$D$22,0)</f>
        <v/>
      </c>
      <c r="F60" s="66">
        <f>D60-C60</f>
        <v/>
      </c>
      <c r="N60" s="19">
        <f>'Equities - by Ticker'!C7</f>
        <v/>
      </c>
      <c r="O60" s="19">
        <f>'Equities - by Ticker'!B7</f>
        <v/>
      </c>
      <c r="P60" s="69">
        <f>'Equities - by Ticker'!K7</f>
        <v/>
      </c>
    </row>
    <row r="61" ht="15" customHeight="1" s="53">
      <c r="B61" s="13" t="inlineStr">
        <is>
          <t>TOTAL</t>
        </is>
      </c>
      <c r="C61" s="67">
        <f>SUM(C41:C60)</f>
        <v/>
      </c>
      <c r="D61" s="67">
        <f>SUM(D41:D60)</f>
        <v/>
      </c>
      <c r="E61" s="68">
        <f>SUM(E41:E60)</f>
        <v/>
      </c>
      <c r="F61" s="67">
        <f>SUM(F41:F60)</f>
        <v/>
      </c>
      <c r="N61" s="19">
        <f>'Equities - by Ticker'!C8</f>
        <v/>
      </c>
      <c r="O61" s="19">
        <f>'Equities - by Ticker'!B8</f>
        <v/>
      </c>
      <c r="P61" s="69">
        <f>'Equities - by Ticker'!K8</f>
        <v/>
      </c>
    </row>
    <row r="62" ht="15" customHeight="1" s="53">
      <c r="N62" s="19">
        <f>'Equities - by Ticker'!C9</f>
        <v/>
      </c>
      <c r="O62" s="19">
        <f>'Equities - by Ticker'!B9</f>
        <v/>
      </c>
      <c r="P62" s="69">
        <f>'Equities - by Ticker'!K9</f>
        <v/>
      </c>
    </row>
    <row r="63" ht="15" customHeight="1" s="53">
      <c r="N63" s="19">
        <f>'Equities - by Ticker'!C10</f>
        <v/>
      </c>
      <c r="O63" s="19">
        <f>'Equities - by Ticker'!B10</f>
        <v/>
      </c>
      <c r="P63" s="69">
        <f>'Equities - by Ticker'!K10</f>
        <v/>
      </c>
    </row>
    <row r="64" ht="15" customHeight="1" s="53">
      <c r="N64" s="19">
        <f>'Equities - by Ticker'!C11</f>
        <v/>
      </c>
      <c r="O64" s="19">
        <f>'Equities - by Ticker'!B11</f>
        <v/>
      </c>
      <c r="P64" s="69">
        <f>'Equities - by Ticker'!K11</f>
        <v/>
      </c>
    </row>
    <row r="65" ht="15" customHeight="1" s="53">
      <c r="N65" s="19">
        <f>'Equities - by Ticker'!C12</f>
        <v/>
      </c>
      <c r="O65" s="19">
        <f>'Equities - by Ticker'!B12</f>
        <v/>
      </c>
      <c r="P65" s="69">
        <f>'Equities - by Ticker'!K12</f>
        <v/>
      </c>
    </row>
    <row r="66" ht="15" customHeight="1" s="53">
      <c r="N66" s="19">
        <f>'Equities - by Ticker'!C13</f>
        <v/>
      </c>
      <c r="O66" s="19">
        <f>'Equities - by Ticker'!B13</f>
        <v/>
      </c>
      <c r="P66" s="69">
        <f>'Equities - by Ticker'!K13</f>
        <v/>
      </c>
    </row>
    <row r="67" ht="15" customHeight="1" s="53">
      <c r="N67" s="19">
        <f>'Equities - by Ticker'!C14</f>
        <v/>
      </c>
      <c r="O67" s="19">
        <f>'Equities - by Ticker'!B14</f>
        <v/>
      </c>
      <c r="P67" s="69">
        <f>'Equities - by Ticker'!K14</f>
        <v/>
      </c>
    </row>
    <row r="68" ht="15" customHeight="1" s="53">
      <c r="N68" s="19">
        <f>'Equities - by Ticker'!C15</f>
        <v/>
      </c>
      <c r="O68" s="19">
        <f>'Equities - by Ticker'!B15</f>
        <v/>
      </c>
      <c r="P68" s="69">
        <f>'Equities - by Ticker'!K15</f>
        <v/>
      </c>
    </row>
    <row r="69" ht="15" customHeight="1" s="53">
      <c r="N69" s="19">
        <f>'Equities - by Ticker'!C16</f>
        <v/>
      </c>
      <c r="O69" s="19">
        <f>'Equities - by Ticker'!B16</f>
        <v/>
      </c>
      <c r="P69" s="69">
        <f>'Equities - by Ticker'!K16</f>
        <v/>
      </c>
    </row>
    <row r="70" ht="15" customHeight="1" s="53">
      <c r="N70" s="19">
        <f>'Equities - by Ticker'!C17</f>
        <v/>
      </c>
      <c r="O70" s="19">
        <f>'Equities - by Ticker'!B17</f>
        <v/>
      </c>
      <c r="P70" s="69">
        <f>'Equities - by Ticker'!K17</f>
        <v/>
      </c>
    </row>
    <row r="71" ht="15" customHeight="1" s="53">
      <c r="N71" s="19">
        <f>'Equities - by Ticker'!C18</f>
        <v/>
      </c>
      <c r="O71" s="19">
        <f>'Equities - by Ticker'!B18</f>
        <v/>
      </c>
      <c r="P71" s="69">
        <f>'Equities - by Ticker'!K18</f>
        <v/>
      </c>
    </row>
    <row r="72" ht="15" customHeight="1" s="53">
      <c r="N72" s="19">
        <f>'Equities - by Ticker'!C19</f>
        <v/>
      </c>
      <c r="O72" s="19">
        <f>'Equities - by Ticker'!B19</f>
        <v/>
      </c>
      <c r="P72" s="69">
        <f>'Equities - by Ticker'!K19</f>
        <v/>
      </c>
    </row>
    <row r="73" ht="15" customHeight="1" s="53">
      <c r="N73" s="19">
        <f>'Equities - by Ticker'!C20</f>
        <v/>
      </c>
      <c r="O73" s="19">
        <f>'Equities - by Ticker'!B20</f>
        <v/>
      </c>
      <c r="P73" s="69">
        <f>'Equities - by Ticker'!K20</f>
        <v/>
      </c>
    </row>
    <row r="74" ht="15" customHeight="1" s="53">
      <c r="N74" s="19">
        <f>'Equities - by Ticker'!C21</f>
        <v/>
      </c>
      <c r="O74" s="19">
        <f>'Equities - by Ticker'!B21</f>
        <v/>
      </c>
      <c r="P74" s="69">
        <f>'Equities - by Ticker'!K21</f>
        <v/>
      </c>
    </row>
    <row r="75" ht="15" customHeight="1" s="53">
      <c r="N75" s="19">
        <f>'Equities - by Ticker'!C22</f>
        <v/>
      </c>
      <c r="O75" s="19">
        <f>'Equities - by Ticker'!B22</f>
        <v/>
      </c>
      <c r="P75" s="69">
        <f>'Equities - by Ticker'!K22</f>
        <v/>
      </c>
    </row>
    <row r="76" ht="15" customHeight="1" s="53">
      <c r="N76" s="19">
        <f>'Equities - by Ticker'!C23</f>
        <v/>
      </c>
      <c r="O76" s="19">
        <f>'Equities - by Ticker'!B23</f>
        <v/>
      </c>
      <c r="P76" s="69">
        <f>'Equities - by Ticker'!K23</f>
        <v/>
      </c>
    </row>
    <row r="77" ht="15" customHeight="1" s="53">
      <c r="N77" s="19">
        <f>'Equities - by Ticker'!C24</f>
        <v/>
      </c>
      <c r="O77" s="19">
        <f>'Equities - by Ticker'!B24</f>
        <v/>
      </c>
      <c r="P77" s="69">
        <f>'Equities - by Ticker'!K24</f>
        <v/>
      </c>
    </row>
    <row r="78" ht="15" customHeight="1" s="53">
      <c r="N78" s="19">
        <f>'Equities - by Ticker'!C25</f>
        <v/>
      </c>
      <c r="O78" s="19">
        <f>'Equities - by Ticker'!B25</f>
        <v/>
      </c>
      <c r="P78" s="69">
        <f>'Equities - by Ticker'!K25</f>
        <v/>
      </c>
    </row>
    <row r="79" ht="15" customHeight="1" s="53">
      <c r="N79" s="19">
        <f>'Equities - by Ticker'!C26</f>
        <v/>
      </c>
      <c r="O79" s="19">
        <f>'Equities - by Ticker'!B26</f>
        <v/>
      </c>
      <c r="P79" s="69">
        <f>'Equities - by Ticker'!K26</f>
        <v/>
      </c>
    </row>
    <row r="80" ht="15" customHeight="1" s="53">
      <c r="N80" s="19">
        <f>'Equities - by Ticker'!C27</f>
        <v/>
      </c>
      <c r="O80" s="19">
        <f>'Equities - by Ticker'!B27</f>
        <v/>
      </c>
      <c r="P80" s="69">
        <f>'Equities - by Ticker'!K27</f>
        <v/>
      </c>
    </row>
    <row r="81" ht="15" customHeight="1" s="53">
      <c r="N81" s="19">
        <f>'Equities - by Ticker'!C28</f>
        <v/>
      </c>
      <c r="O81" s="19">
        <f>'Equities - by Ticker'!B28</f>
        <v/>
      </c>
      <c r="P81" s="69">
        <f>'Equities - by Ticker'!K28</f>
        <v/>
      </c>
    </row>
    <row r="82" ht="15" customHeight="1" s="53">
      <c r="N82" s="19">
        <f>'Equities - by Ticker'!C29</f>
        <v/>
      </c>
      <c r="O82" s="19">
        <f>'Equities - by Ticker'!B29</f>
        <v/>
      </c>
      <c r="P82" s="69">
        <f>'Equities - by Ticker'!K29</f>
        <v/>
      </c>
    </row>
    <row r="83" ht="15" customHeight="1" s="53">
      <c r="N83" s="19">
        <f>'Equities - by Ticker'!C30</f>
        <v/>
      </c>
      <c r="O83" s="19">
        <f>'Equities - by Ticker'!B30</f>
        <v/>
      </c>
      <c r="P83" s="69">
        <f>'Equities - by Ticker'!K30</f>
        <v/>
      </c>
    </row>
    <row r="84" ht="15" customHeight="1" s="53">
      <c r="N84" s="19">
        <f>'Equities - by Ticker'!C31</f>
        <v/>
      </c>
      <c r="O84" s="19">
        <f>'Equities - by Ticker'!B31</f>
        <v/>
      </c>
      <c r="P84" s="69">
        <f>'Equities - by Ticker'!K31</f>
        <v/>
      </c>
    </row>
    <row r="85" ht="15" customHeight="1" s="53">
      <c r="N85" s="19">
        <f>'Equities - by Ticker'!C32</f>
        <v/>
      </c>
      <c r="O85" s="19">
        <f>'Equities - by Ticker'!B32</f>
        <v/>
      </c>
      <c r="P85" s="69">
        <f>'Equities - by Ticker'!K32</f>
        <v/>
      </c>
    </row>
    <row r="86" ht="15" customHeight="1" s="53">
      <c r="N86" s="19">
        <f>'Equities - by Ticker'!C33</f>
        <v/>
      </c>
      <c r="O86" s="19">
        <f>'Equities - by Ticker'!B33</f>
        <v/>
      </c>
      <c r="P86" s="69">
        <f>'Equities - by Ticker'!K33</f>
        <v/>
      </c>
    </row>
    <row r="87" ht="15" customHeight="1" s="53">
      <c r="N87" s="19">
        <f>'Equities - by Ticker'!C34</f>
        <v/>
      </c>
      <c r="O87" s="19">
        <f>'Equities - by Ticker'!B34</f>
        <v/>
      </c>
      <c r="P87" s="69">
        <f>'Equities - by Ticker'!K34</f>
        <v/>
      </c>
    </row>
    <row r="88" ht="15" customHeight="1" s="53">
      <c r="N88" s="19">
        <f>'Equities - by Ticker'!C35</f>
        <v/>
      </c>
      <c r="O88" s="19">
        <f>'Equities - by Ticker'!B35</f>
        <v/>
      </c>
      <c r="P88" s="69">
        <f>'Equities - by Ticker'!K35</f>
        <v/>
      </c>
    </row>
    <row r="89" ht="15" customHeight="1" s="53">
      <c r="N89" s="19">
        <f>'Equities - by Ticker'!C36</f>
        <v/>
      </c>
      <c r="O89" s="19">
        <f>'Equities - by Ticker'!B36</f>
        <v/>
      </c>
      <c r="P89" s="69">
        <f>'Equities - by Ticker'!K36</f>
        <v/>
      </c>
    </row>
    <row r="90" ht="15" customHeight="1" s="53">
      <c r="N90" s="19">
        <f>'Equities - by Ticker'!C37</f>
        <v/>
      </c>
      <c r="O90" s="19">
        <f>'Equities - by Ticker'!B37</f>
        <v/>
      </c>
      <c r="P90" s="69">
        <f>'Equities - by Ticker'!K37</f>
        <v/>
      </c>
    </row>
    <row r="91" ht="15" customHeight="1" s="53">
      <c r="N91" s="19">
        <f>'Equities - by Ticker'!C38</f>
        <v/>
      </c>
      <c r="O91" s="19">
        <f>'Equities - by Ticker'!B38</f>
        <v/>
      </c>
      <c r="P91" s="69">
        <f>'Equities - by Ticker'!K38</f>
        <v/>
      </c>
    </row>
    <row r="92" ht="15" customHeight="1" s="53">
      <c r="N92" s="19">
        <f>'Equities - by Ticker'!C39</f>
        <v/>
      </c>
      <c r="O92" s="19">
        <f>'Equities - by Ticker'!B39</f>
        <v/>
      </c>
      <c r="P92" s="69">
        <f>'Equities - by Ticker'!K39</f>
        <v/>
      </c>
    </row>
    <row r="93" ht="15" customHeight="1" s="53">
      <c r="N93" s="19">
        <f>'Equities - by Ticker'!C40</f>
        <v/>
      </c>
      <c r="O93" s="19">
        <f>'Equities - by Ticker'!B40</f>
        <v/>
      </c>
      <c r="P93" s="69">
        <f>'Equities - by Ticker'!K40</f>
        <v/>
      </c>
    </row>
    <row r="94" ht="15" customHeight="1" s="53">
      <c r="N94" s="19">
        <f>'Equities - by Ticker'!C41</f>
        <v/>
      </c>
      <c r="O94" s="19">
        <f>'Equities - by Ticker'!B41</f>
        <v/>
      </c>
      <c r="P94" s="69">
        <f>'Equities - by Ticker'!K41</f>
        <v/>
      </c>
    </row>
    <row r="95" ht="15" customHeight="1" s="53">
      <c r="N95" s="19">
        <f>'Equities - by Ticker'!C42</f>
        <v/>
      </c>
      <c r="O95" s="19">
        <f>'Equities - by Ticker'!B42</f>
        <v/>
      </c>
      <c r="P95" s="69">
        <f>'Equities - by Ticker'!K42</f>
        <v/>
      </c>
    </row>
    <row r="96" ht="15" customHeight="1" s="53">
      <c r="N96" s="19">
        <f>'Equities - by Ticker'!C50</f>
        <v/>
      </c>
      <c r="O96" s="19">
        <f>'Equities - by Ticker'!B50</f>
        <v/>
      </c>
      <c r="P96" s="69">
        <f>'Equities - by Ticker'!K50</f>
        <v/>
      </c>
    </row>
    <row r="97" ht="15" customHeight="1" s="53">
      <c r="N97" s="19">
        <f>'Crypto - by Coin'!C5</f>
        <v/>
      </c>
      <c r="O97" s="19">
        <f>'Crypto - by Coin'!B5</f>
        <v/>
      </c>
      <c r="P97" s="69">
        <f>'Crypto - by Coin'!I5</f>
        <v/>
      </c>
    </row>
    <row r="98" ht="15" customHeight="1" s="53">
      <c r="N98" s="19">
        <f>'Crypto - by Coin'!C6</f>
        <v/>
      </c>
      <c r="O98" s="19">
        <f>'Crypto - by Coin'!B6</f>
        <v/>
      </c>
      <c r="P98" s="69">
        <f>'Crypto - by Coin'!I6</f>
        <v/>
      </c>
    </row>
    <row r="99" ht="15" customHeight="1" s="53">
      <c r="N99" s="19">
        <f>'Crypto - by Coin'!C7</f>
        <v/>
      </c>
      <c r="O99" s="19">
        <f>'Crypto - by Coin'!B7</f>
        <v/>
      </c>
      <c r="P99" s="69">
        <f>'Crypto - by Coin'!I7</f>
        <v/>
      </c>
    </row>
    <row r="100" ht="15" customHeight="1" s="53">
      <c r="N100" s="19">
        <f>'Crypto - by Coin'!C8</f>
        <v/>
      </c>
      <c r="O100" s="19">
        <f>'Crypto - by Coin'!B8</f>
        <v/>
      </c>
      <c r="P100" s="69">
        <f>'Crypto - by Coin'!I8</f>
        <v/>
      </c>
    </row>
    <row r="101" ht="15" customHeight="1" s="53">
      <c r="N101" s="19">
        <f>'Crypto - by Coin'!C9</f>
        <v/>
      </c>
      <c r="O101" s="19">
        <f>'Crypto - by Coin'!B9</f>
        <v/>
      </c>
      <c r="P101" s="69">
        <f>'Crypto - by Coin'!I9</f>
        <v/>
      </c>
    </row>
    <row r="102" ht="15" customHeight="1" s="53">
      <c r="N102" s="19">
        <f>'Crypto - by Coin'!C10</f>
        <v/>
      </c>
      <c r="O102" s="19">
        <f>'Crypto - by Coin'!B10</f>
        <v/>
      </c>
      <c r="P102" s="69">
        <f>'Crypto - by Coin'!I10</f>
        <v/>
      </c>
    </row>
    <row r="103" ht="15" customHeight="1" s="53">
      <c r="N103" s="19">
        <f>'Crypto - by Coin'!C11</f>
        <v/>
      </c>
      <c r="O103" s="19">
        <f>'Crypto - by Coin'!B11</f>
        <v/>
      </c>
      <c r="P103" s="69">
        <f>'Crypto - by Coin'!I11</f>
        <v/>
      </c>
    </row>
    <row r="104" ht="15" customHeight="1" s="53">
      <c r="N104" s="19">
        <f>'Crypto - by Coin'!C12</f>
        <v/>
      </c>
      <c r="O104" s="19">
        <f>'Crypto - by Coin'!B12</f>
        <v/>
      </c>
      <c r="P104" s="69">
        <f>'Crypto - by Coin'!I12</f>
        <v/>
      </c>
    </row>
    <row r="105" ht="15" customHeight="1" s="53">
      <c r="N105" s="19">
        <f>'Crypto - by Coin'!C13</f>
        <v/>
      </c>
      <c r="O105" s="19">
        <f>'Crypto - by Coin'!B13</f>
        <v/>
      </c>
      <c r="P105" s="69">
        <f>'Crypto - by Coin'!I13</f>
        <v/>
      </c>
    </row>
    <row r="106" ht="15" customHeight="1" s="53">
      <c r="N106" s="19">
        <f>'Crypto - by Coin'!C14</f>
        <v/>
      </c>
      <c r="O106" s="19">
        <f>'Crypto - by Coin'!B14</f>
        <v/>
      </c>
      <c r="P106" s="69">
        <f>'Crypto - by Coin'!I14</f>
        <v/>
      </c>
    </row>
    <row r="107" ht="15" customHeight="1" s="53">
      <c r="N107" s="19">
        <f>'Crypto - by Coin'!C15</f>
        <v/>
      </c>
      <c r="O107" s="19">
        <f>'Crypto - by Coin'!B15</f>
        <v/>
      </c>
      <c r="P107" s="69">
        <f>'Crypto - by Coin'!I15</f>
        <v/>
      </c>
    </row>
    <row r="108" ht="15" customHeight="1" s="53">
      <c r="N108" s="19">
        <f>'Crypto - by Coin'!C16</f>
        <v/>
      </c>
      <c r="O108" s="19">
        <f>'Crypto - by Coin'!B16</f>
        <v/>
      </c>
      <c r="P108" s="69">
        <f>'Crypto - by Coin'!I16</f>
        <v/>
      </c>
    </row>
    <row r="109" ht="15" customHeight="1" s="53">
      <c r="N109" s="19">
        <f>'Crypto - by Coin'!C17</f>
        <v/>
      </c>
      <c r="O109" s="19">
        <f>'Crypto - by Coin'!B17</f>
        <v/>
      </c>
      <c r="P109" s="69">
        <f>'Crypto - by Coin'!I17</f>
        <v/>
      </c>
    </row>
    <row r="110" ht="15" customHeight="1" s="53">
      <c r="N110" s="19">
        <f>'Crypto - by Coin'!C18</f>
        <v/>
      </c>
      <c r="O110" s="19">
        <f>'Crypto - by Coin'!B18</f>
        <v/>
      </c>
      <c r="P110" s="69">
        <f>'Crypto - by Coin'!I18</f>
        <v/>
      </c>
    </row>
    <row r="111" ht="15" customHeight="1" s="53">
      <c r="N111" s="19">
        <f>'Crypto - by Coin'!C19</f>
        <v/>
      </c>
      <c r="O111" s="19">
        <f>'Crypto - by Coin'!B19</f>
        <v/>
      </c>
      <c r="P111" s="69">
        <f>'Crypto - by Coin'!I19</f>
        <v/>
      </c>
    </row>
    <row r="112" ht="15" customHeight="1" s="53">
      <c r="N112" s="19">
        <f>'Crypto - by Coin'!C20</f>
        <v/>
      </c>
      <c r="O112" s="19">
        <f>'Crypto - by Coin'!B20</f>
        <v/>
      </c>
      <c r="P112" s="69">
        <f>'Crypto - by Coin'!I20</f>
        <v/>
      </c>
    </row>
    <row r="113" ht="15" customHeight="1" s="53">
      <c r="N113" s="19">
        <f>'Crypto - by Coin'!C21</f>
        <v/>
      </c>
      <c r="O113" s="19">
        <f>'Crypto - by Coin'!B21</f>
        <v/>
      </c>
      <c r="P113" s="69">
        <f>'Crypto - by Coin'!I21</f>
        <v/>
      </c>
    </row>
    <row r="114" ht="15" customHeight="1" s="53">
      <c r="N114" s="19">
        <f>'Crypto - by Coin'!C22</f>
        <v/>
      </c>
      <c r="O114" s="19">
        <f>'Crypto - by Coin'!B22</f>
        <v/>
      </c>
      <c r="P114" s="69">
        <f>'Crypto - by Coin'!I22</f>
        <v/>
      </c>
    </row>
    <row r="115" ht="15" customHeight="1" s="53">
      <c r="N115" s="19">
        <f>'Crypto - by Coin'!C23</f>
        <v/>
      </c>
      <c r="O115" s="19">
        <f>'Crypto - by Coin'!B23</f>
        <v/>
      </c>
      <c r="P115" s="69">
        <f>'Crypto - by Coin'!I23</f>
        <v/>
      </c>
    </row>
    <row r="116" ht="15" customHeight="1" s="53">
      <c r="N116" s="19">
        <f>'Crypto - by Coin'!C24</f>
        <v/>
      </c>
      <c r="O116" s="19">
        <f>'Crypto - by Coin'!B24</f>
        <v/>
      </c>
      <c r="P116" s="69">
        <f>'Crypto - by Coin'!I24</f>
        <v/>
      </c>
    </row>
    <row r="117" ht="15" customHeight="1" s="53">
      <c r="N117" s="19">
        <f>'Crypto - by Coin'!C25</f>
        <v/>
      </c>
      <c r="O117" s="19">
        <f>'Crypto - by Coin'!B25</f>
        <v/>
      </c>
      <c r="P117" s="69">
        <f>'Crypto - by Coin'!I25</f>
        <v/>
      </c>
    </row>
    <row r="118" ht="15" customHeight="1" s="53">
      <c r="N118" s="19">
        <f>'Crypto - by Coin'!C26</f>
        <v/>
      </c>
      <c r="O118" s="19">
        <f>'Crypto - by Coin'!B26</f>
        <v/>
      </c>
      <c r="P118" s="69">
        <f>'Crypto - by Coin'!I26</f>
        <v/>
      </c>
    </row>
    <row r="119" ht="15" customHeight="1" s="53">
      <c r="N119" s="19">
        <f>'Crypto - by Coin'!C27</f>
        <v/>
      </c>
      <c r="O119" s="19">
        <f>'Crypto - by Coin'!B27</f>
        <v/>
      </c>
      <c r="P119" s="69">
        <f>'Crypto - by Coin'!I27</f>
        <v/>
      </c>
    </row>
    <row r="120" ht="15" customHeight="1" s="53">
      <c r="N120" s="19">
        <f>'Crypto - by Coin'!C28</f>
        <v/>
      </c>
      <c r="O120" s="19">
        <f>'Crypto - by Coin'!B28</f>
        <v/>
      </c>
      <c r="P120" s="69">
        <f>'Crypto - by Coin'!I28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3" min="1" max="1"/>
    <col width="14" customWidth="1" style="53" min="2" max="2"/>
    <col width="16" customWidth="1" style="53" min="3" max="3"/>
    <col width="18" customWidth="1" style="53" min="4" max="5"/>
    <col width="16" customWidth="1" style="53" min="6" max="6"/>
    <col width="14" customWidth="1" style="53" min="7" max="12"/>
  </cols>
  <sheetData>
    <row r="2" ht="30" customHeight="1" s="53">
      <c r="B2" s="57" t="inlineStr">
        <is>
          <t>WEEKLY SNAPSHOT LOG</t>
        </is>
      </c>
    </row>
    <row r="3" ht="19.5" customHeight="1" s="53">
      <c r="B3" s="59" t="inlineStr">
        <is>
          <t>Row 5 shows the live current-week snapshot. Each Friday, copy row 5 (values only) into the next empty row below to preserve history.</t>
        </is>
      </c>
    </row>
    <row r="4" ht="31.5" customHeight="1" s="53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3">
      <c r="B5" s="72">
        <f>AsOfDate</f>
        <v/>
      </c>
      <c r="C5" s="64">
        <f>'MF - Lots'!P167+'Equities - Lots'!M53+'Crypto - Lots'!K32</f>
        <v/>
      </c>
      <c r="D5" s="64">
        <f>'MF - Lots'!O167+'Equities - Lots'!L53+'Crypto - Lots'!J32</f>
        <v/>
      </c>
      <c r="E5" s="64">
        <f>C5-D5</f>
        <v/>
      </c>
      <c r="F5" s="73">
        <f>IFERROR(E5/D5,0)</f>
        <v/>
      </c>
      <c r="G5" s="64">
        <f>'MF - Lots'!P167</f>
        <v/>
      </c>
      <c r="H5" s="64">
        <f>'Equities - Lots'!M53</f>
        <v/>
      </c>
      <c r="I5" s="64">
        <f>'Crypto - Lots'!K32</f>
        <v/>
      </c>
      <c r="J5" s="74">
        <f>FXRate</f>
        <v/>
      </c>
      <c r="K5" s="59" t="inlineStr">
        <is>
          <t>Live (current workbook state)</t>
        </is>
      </c>
    </row>
    <row r="6" ht="15" customHeight="1" s="53">
      <c r="B6" s="75" t="n">
        <v>46173</v>
      </c>
      <c r="C6" s="76" t="n">
        <v>23363791</v>
      </c>
      <c r="D6" s="76" t="n">
        <v>19652295</v>
      </c>
      <c r="E6" s="76" t="n">
        <v>3711496</v>
      </c>
      <c r="F6" s="77" t="n">
        <v>0.1889</v>
      </c>
      <c r="G6" s="76" t="n">
        <v>19020615</v>
      </c>
      <c r="H6" s="76" t="n">
        <v>2982782</v>
      </c>
      <c r="I6" s="76" t="n">
        <v>1360394</v>
      </c>
      <c r="J6" s="78" t="n">
        <v>32.43</v>
      </c>
      <c r="K6" s="32" t="inlineStr">
        <is>
          <t>Auto weekly snapshot</t>
        </is>
      </c>
    </row>
    <row r="7" ht="15" customHeight="1" s="53">
      <c r="B7" s="75" t="n"/>
      <c r="C7" s="76" t="n"/>
      <c r="D7" s="76" t="n"/>
      <c r="E7" s="76" t="n"/>
      <c r="F7" s="77" t="n"/>
      <c r="G7" s="76" t="n"/>
      <c r="H7" s="76" t="n"/>
      <c r="I7" s="76" t="n"/>
      <c r="J7" s="78" t="n"/>
      <c r="K7" s="32" t="n"/>
    </row>
    <row r="8" ht="15" customHeight="1" s="53">
      <c r="B8" s="75" t="n"/>
      <c r="C8" s="76" t="n"/>
      <c r="D8" s="76" t="n"/>
      <c r="E8" s="76" t="n"/>
      <c r="F8" s="77" t="n"/>
      <c r="G8" s="76" t="n"/>
      <c r="H8" s="76" t="n"/>
      <c r="I8" s="76" t="n"/>
      <c r="J8" s="78" t="n"/>
      <c r="K8" s="32" t="n"/>
    </row>
    <row r="9" ht="15" customHeight="1" s="53">
      <c r="B9" s="75" t="n"/>
      <c r="C9" s="76" t="n"/>
      <c r="D9" s="76" t="n"/>
      <c r="E9" s="76" t="n"/>
      <c r="F9" s="77" t="n"/>
      <c r="G9" s="76" t="n"/>
      <c r="H9" s="76" t="n"/>
      <c r="I9" s="76" t="n"/>
      <c r="J9" s="78" t="n"/>
      <c r="K9" s="32" t="n"/>
    </row>
    <row r="10" ht="15" customHeight="1" s="53">
      <c r="B10" s="75" t="n"/>
      <c r="C10" s="76" t="n"/>
      <c r="D10" s="76" t="n"/>
      <c r="E10" s="76" t="n"/>
      <c r="F10" s="77" t="n"/>
      <c r="G10" s="76" t="n"/>
      <c r="H10" s="76" t="n"/>
      <c r="I10" s="76" t="n"/>
      <c r="J10" s="78" t="n"/>
      <c r="K10" s="32" t="n"/>
    </row>
    <row r="11" ht="15" customHeight="1" s="53">
      <c r="B11" s="75" t="n"/>
      <c r="C11" s="76" t="n"/>
      <c r="D11" s="76" t="n"/>
      <c r="E11" s="76" t="n"/>
      <c r="F11" s="77" t="n"/>
      <c r="G11" s="76" t="n"/>
      <c r="H11" s="76" t="n"/>
      <c r="I11" s="76" t="n"/>
      <c r="J11" s="78" t="n"/>
      <c r="K11" s="32" t="n"/>
    </row>
    <row r="12" ht="15" customHeight="1" s="53">
      <c r="B12" s="75" t="n"/>
      <c r="C12" s="76" t="n"/>
      <c r="D12" s="76" t="n"/>
      <c r="E12" s="76" t="n"/>
      <c r="F12" s="77" t="n"/>
      <c r="G12" s="76" t="n"/>
      <c r="H12" s="76" t="n"/>
      <c r="I12" s="76" t="n"/>
      <c r="J12" s="78" t="n"/>
      <c r="K12" s="32" t="n"/>
    </row>
    <row r="13" ht="15" customHeight="1" s="53">
      <c r="B13" s="75" t="n"/>
      <c r="C13" s="76" t="n"/>
      <c r="D13" s="76" t="n"/>
      <c r="E13" s="76" t="n"/>
      <c r="F13" s="77" t="n"/>
      <c r="G13" s="76" t="n"/>
      <c r="H13" s="76" t="n"/>
      <c r="I13" s="76" t="n"/>
      <c r="J13" s="78" t="n"/>
      <c r="K13" s="32" t="n"/>
    </row>
    <row r="14" ht="15" customHeight="1" s="53">
      <c r="B14" s="75" t="n"/>
      <c r="C14" s="76" t="n"/>
      <c r="D14" s="76" t="n"/>
      <c r="E14" s="76" t="n"/>
      <c r="F14" s="77" t="n"/>
      <c r="G14" s="76" t="n"/>
      <c r="H14" s="76" t="n"/>
      <c r="I14" s="76" t="n"/>
      <c r="J14" s="78" t="n"/>
      <c r="K14" s="32" t="n"/>
    </row>
    <row r="15" ht="15" customHeight="1" s="53">
      <c r="B15" s="75" t="n"/>
      <c r="C15" s="76" t="n"/>
      <c r="D15" s="76" t="n"/>
      <c r="E15" s="76" t="n"/>
      <c r="F15" s="77" t="n"/>
      <c r="G15" s="76" t="n"/>
      <c r="H15" s="76" t="n"/>
      <c r="I15" s="76" t="n"/>
      <c r="J15" s="78" t="n"/>
      <c r="K15" s="32" t="n"/>
    </row>
    <row r="16" ht="15" customHeight="1" s="53">
      <c r="B16" s="75" t="n"/>
      <c r="C16" s="76" t="n"/>
      <c r="D16" s="76" t="n"/>
      <c r="E16" s="76" t="n"/>
      <c r="F16" s="77" t="n"/>
      <c r="G16" s="76" t="n"/>
      <c r="H16" s="76" t="n"/>
      <c r="I16" s="76" t="n"/>
      <c r="J16" s="78" t="n"/>
      <c r="K16" s="32" t="n"/>
    </row>
    <row r="17" ht="15" customHeight="1" s="53">
      <c r="B17" s="75" t="n"/>
      <c r="C17" s="76" t="n"/>
      <c r="D17" s="76" t="n"/>
      <c r="E17" s="76" t="n"/>
      <c r="F17" s="77" t="n"/>
      <c r="G17" s="76" t="n"/>
      <c r="H17" s="76" t="n"/>
      <c r="I17" s="76" t="n"/>
      <c r="J17" s="78" t="n"/>
      <c r="K17" s="32" t="n"/>
    </row>
    <row r="18" ht="15" customHeight="1" s="53">
      <c r="B18" s="75" t="n"/>
      <c r="C18" s="76" t="n"/>
      <c r="D18" s="76" t="n"/>
      <c r="E18" s="76" t="n"/>
      <c r="F18" s="77" t="n"/>
      <c r="G18" s="76" t="n"/>
      <c r="H18" s="76" t="n"/>
      <c r="I18" s="76" t="n"/>
      <c r="J18" s="78" t="n"/>
      <c r="K18" s="32" t="n"/>
    </row>
    <row r="19" ht="15" customHeight="1" s="53">
      <c r="B19" s="75" t="n"/>
      <c r="C19" s="76" t="n"/>
      <c r="D19" s="76" t="n"/>
      <c r="E19" s="76" t="n"/>
      <c r="F19" s="77" t="n"/>
      <c r="G19" s="76" t="n"/>
      <c r="H19" s="76" t="n"/>
      <c r="I19" s="76" t="n"/>
      <c r="J19" s="78" t="n"/>
      <c r="K19" s="32" t="n"/>
    </row>
    <row r="20" ht="15" customHeight="1" s="53">
      <c r="B20" s="75" t="n"/>
      <c r="C20" s="76" t="n"/>
      <c r="D20" s="76" t="n"/>
      <c r="E20" s="76" t="n"/>
      <c r="F20" s="77" t="n"/>
      <c r="G20" s="76" t="n"/>
      <c r="H20" s="76" t="n"/>
      <c r="I20" s="76" t="n"/>
      <c r="J20" s="78" t="n"/>
      <c r="K20" s="32" t="n"/>
    </row>
    <row r="21" ht="15" customHeight="1" s="53">
      <c r="B21" s="75" t="n"/>
      <c r="C21" s="76" t="n"/>
      <c r="D21" s="76" t="n"/>
      <c r="E21" s="76" t="n"/>
      <c r="F21" s="77" t="n"/>
      <c r="G21" s="76" t="n"/>
      <c r="H21" s="76" t="n"/>
      <c r="I21" s="76" t="n"/>
      <c r="J21" s="78" t="n"/>
      <c r="K21" s="32" t="n"/>
    </row>
    <row r="22" ht="15" customHeight="1" s="53">
      <c r="B22" s="75" t="n"/>
      <c r="C22" s="76" t="n"/>
      <c r="D22" s="76" t="n"/>
      <c r="E22" s="76" t="n"/>
      <c r="F22" s="77" t="n"/>
      <c r="G22" s="76" t="n"/>
      <c r="H22" s="76" t="n"/>
      <c r="I22" s="76" t="n"/>
      <c r="J22" s="78" t="n"/>
      <c r="K22" s="32" t="n"/>
    </row>
    <row r="23" ht="15" customHeight="1" s="53">
      <c r="B23" s="75" t="n"/>
      <c r="C23" s="76" t="n"/>
      <c r="D23" s="76" t="n"/>
      <c r="E23" s="76" t="n"/>
      <c r="F23" s="77" t="n"/>
      <c r="G23" s="76" t="n"/>
      <c r="H23" s="76" t="n"/>
      <c r="I23" s="76" t="n"/>
      <c r="J23" s="78" t="n"/>
      <c r="K23" s="32" t="n"/>
    </row>
    <row r="24" ht="15" customHeight="1" s="53">
      <c r="B24" s="75" t="n"/>
      <c r="C24" s="76" t="n"/>
      <c r="D24" s="76" t="n"/>
      <c r="E24" s="76" t="n"/>
      <c r="F24" s="77" t="n"/>
      <c r="G24" s="76" t="n"/>
      <c r="H24" s="76" t="n"/>
      <c r="I24" s="76" t="n"/>
      <c r="J24" s="78" t="n"/>
      <c r="K24" s="32" t="n"/>
    </row>
    <row r="25" ht="15" customHeight="1" s="53">
      <c r="B25" s="75" t="n"/>
      <c r="C25" s="76" t="n"/>
      <c r="D25" s="76" t="n"/>
      <c r="E25" s="76" t="n"/>
      <c r="F25" s="77" t="n"/>
      <c r="G25" s="76" t="n"/>
      <c r="H25" s="76" t="n"/>
      <c r="I25" s="76" t="n"/>
      <c r="J25" s="78" t="n"/>
      <c r="K25" s="32" t="n"/>
    </row>
    <row r="26" ht="15" customHeight="1" s="53">
      <c r="B26" s="75" t="n"/>
      <c r="C26" s="76" t="n"/>
      <c r="D26" s="76" t="n"/>
      <c r="E26" s="76" t="n"/>
      <c r="F26" s="77" t="n"/>
      <c r="G26" s="76" t="n"/>
      <c r="H26" s="76" t="n"/>
      <c r="I26" s="76" t="n"/>
      <c r="J26" s="78" t="n"/>
      <c r="K26" s="32" t="n"/>
    </row>
    <row r="27" ht="15" customHeight="1" s="53">
      <c r="B27" s="75" t="n"/>
      <c r="C27" s="76" t="n"/>
      <c r="D27" s="76" t="n"/>
      <c r="E27" s="76" t="n"/>
      <c r="F27" s="77" t="n"/>
      <c r="G27" s="76" t="n"/>
      <c r="H27" s="76" t="n"/>
      <c r="I27" s="76" t="n"/>
      <c r="J27" s="78" t="n"/>
      <c r="K27" s="32" t="n"/>
    </row>
    <row r="28" ht="15" customHeight="1" s="53">
      <c r="B28" s="75" t="n"/>
      <c r="C28" s="76" t="n"/>
      <c r="D28" s="76" t="n"/>
      <c r="E28" s="76" t="n"/>
      <c r="F28" s="77" t="n"/>
      <c r="G28" s="76" t="n"/>
      <c r="H28" s="76" t="n"/>
      <c r="I28" s="76" t="n"/>
      <c r="J28" s="78" t="n"/>
      <c r="K28" s="32" t="n"/>
    </row>
    <row r="29" ht="15" customHeight="1" s="53">
      <c r="B29" s="75" t="n"/>
      <c r="C29" s="76" t="n"/>
      <c r="D29" s="76" t="n"/>
      <c r="E29" s="76" t="n"/>
      <c r="F29" s="77" t="n"/>
      <c r="G29" s="76" t="n"/>
      <c r="H29" s="76" t="n"/>
      <c r="I29" s="76" t="n"/>
      <c r="J29" s="78" t="n"/>
      <c r="K29" s="32" t="n"/>
    </row>
    <row r="30" ht="15" customHeight="1" s="53">
      <c r="B30" s="75" t="n"/>
      <c r="C30" s="76" t="n"/>
      <c r="D30" s="76" t="n"/>
      <c r="E30" s="76" t="n"/>
      <c r="F30" s="77" t="n"/>
      <c r="G30" s="76" t="n"/>
      <c r="H30" s="76" t="n"/>
      <c r="I30" s="76" t="n"/>
      <c r="J30" s="78" t="n"/>
      <c r="K30" s="32" t="n"/>
    </row>
    <row r="31" ht="15" customHeight="1" s="53">
      <c r="B31" s="75" t="n"/>
      <c r="C31" s="76" t="n"/>
      <c r="D31" s="76" t="n"/>
      <c r="E31" s="76" t="n"/>
      <c r="F31" s="77" t="n"/>
      <c r="G31" s="76" t="n"/>
      <c r="H31" s="76" t="n"/>
      <c r="I31" s="76" t="n"/>
      <c r="J31" s="78" t="n"/>
      <c r="K31" s="32" t="n"/>
    </row>
    <row r="32" ht="15" customHeight="1" s="53">
      <c r="B32" s="75" t="n"/>
      <c r="C32" s="76" t="n"/>
      <c r="D32" s="76" t="n"/>
      <c r="E32" s="76" t="n"/>
      <c r="F32" s="77" t="n"/>
      <c r="G32" s="76" t="n"/>
      <c r="H32" s="76" t="n"/>
      <c r="I32" s="76" t="n"/>
      <c r="J32" s="78" t="n"/>
      <c r="K32" s="32" t="n"/>
    </row>
    <row r="33" ht="15" customHeight="1" s="53">
      <c r="B33" s="75" t="n"/>
      <c r="C33" s="76" t="n"/>
      <c r="D33" s="76" t="n"/>
      <c r="E33" s="76" t="n"/>
      <c r="F33" s="77" t="n"/>
      <c r="G33" s="76" t="n"/>
      <c r="H33" s="76" t="n"/>
      <c r="I33" s="76" t="n"/>
      <c r="J33" s="78" t="n"/>
      <c r="K33" s="32" t="n"/>
    </row>
    <row r="34" ht="15" customHeight="1" s="53">
      <c r="B34" s="75" t="n"/>
      <c r="C34" s="76" t="n"/>
      <c r="D34" s="76" t="n"/>
      <c r="E34" s="76" t="n"/>
      <c r="F34" s="77" t="n"/>
      <c r="G34" s="76" t="n"/>
      <c r="H34" s="76" t="n"/>
      <c r="I34" s="76" t="n"/>
      <c r="J34" s="78" t="n"/>
      <c r="K34" s="32" t="n"/>
    </row>
    <row r="35" ht="15" customHeight="1" s="53">
      <c r="B35" s="75" t="n"/>
      <c r="C35" s="76" t="n"/>
      <c r="D35" s="76" t="n"/>
      <c r="E35" s="76" t="n"/>
      <c r="F35" s="77" t="n"/>
      <c r="G35" s="76" t="n"/>
      <c r="H35" s="76" t="n"/>
      <c r="I35" s="76" t="n"/>
      <c r="J35" s="78" t="n"/>
      <c r="K35" s="32" t="n"/>
    </row>
    <row r="36" ht="15" customHeight="1" s="53">
      <c r="B36" s="75" t="n"/>
      <c r="C36" s="76" t="n"/>
      <c r="D36" s="76" t="n"/>
      <c r="E36" s="76" t="n"/>
      <c r="F36" s="77" t="n"/>
      <c r="G36" s="76" t="n"/>
      <c r="H36" s="76" t="n"/>
      <c r="I36" s="76" t="n"/>
      <c r="J36" s="78" t="n"/>
      <c r="K36" s="32" t="n"/>
    </row>
    <row r="37" ht="15" customHeight="1" s="53">
      <c r="B37" s="75" t="n"/>
      <c r="C37" s="76" t="n"/>
      <c r="D37" s="76" t="n"/>
      <c r="E37" s="76" t="n"/>
      <c r="F37" s="77" t="n"/>
      <c r="G37" s="76" t="n"/>
      <c r="H37" s="76" t="n"/>
      <c r="I37" s="76" t="n"/>
      <c r="J37" s="78" t="n"/>
      <c r="K37" s="32" t="n"/>
    </row>
    <row r="38" ht="15" customHeight="1" s="53">
      <c r="B38" s="75" t="n"/>
      <c r="C38" s="76" t="n"/>
      <c r="D38" s="76" t="n"/>
      <c r="E38" s="76" t="n"/>
      <c r="F38" s="77" t="n"/>
      <c r="G38" s="76" t="n"/>
      <c r="H38" s="76" t="n"/>
      <c r="I38" s="76" t="n"/>
      <c r="J38" s="78" t="n"/>
      <c r="K38" s="32" t="n"/>
    </row>
    <row r="39" ht="15" customHeight="1" s="53">
      <c r="B39" s="75" t="n"/>
      <c r="C39" s="76" t="n"/>
      <c r="D39" s="76" t="n"/>
      <c r="E39" s="76" t="n"/>
      <c r="F39" s="77" t="n"/>
      <c r="G39" s="76" t="n"/>
      <c r="H39" s="76" t="n"/>
      <c r="I39" s="76" t="n"/>
      <c r="J39" s="78" t="n"/>
      <c r="K39" s="32" t="n"/>
    </row>
    <row r="40" ht="15" customHeight="1" s="53">
      <c r="B40" s="75" t="n"/>
      <c r="C40" s="76" t="n"/>
      <c r="D40" s="76" t="n"/>
      <c r="E40" s="76" t="n"/>
      <c r="F40" s="77" t="n"/>
      <c r="G40" s="76" t="n"/>
      <c r="H40" s="76" t="n"/>
      <c r="I40" s="76" t="n"/>
      <c r="J40" s="78" t="n"/>
      <c r="K40" s="32" t="n"/>
    </row>
    <row r="41" ht="15" customHeight="1" s="53">
      <c r="B41" s="75" t="n"/>
      <c r="C41" s="76" t="n"/>
      <c r="D41" s="76" t="n"/>
      <c r="E41" s="76" t="n"/>
      <c r="F41" s="77" t="n"/>
      <c r="G41" s="76" t="n"/>
      <c r="H41" s="76" t="n"/>
      <c r="I41" s="76" t="n"/>
      <c r="J41" s="78" t="n"/>
      <c r="K41" s="32" t="n"/>
    </row>
    <row r="42" ht="15" customHeight="1" s="53">
      <c r="B42" s="75" t="n"/>
      <c r="C42" s="76" t="n"/>
      <c r="D42" s="76" t="n"/>
      <c r="E42" s="76" t="n"/>
      <c r="F42" s="77" t="n"/>
      <c r="G42" s="76" t="n"/>
      <c r="H42" s="76" t="n"/>
      <c r="I42" s="76" t="n"/>
      <c r="J42" s="78" t="n"/>
      <c r="K42" s="32" t="n"/>
    </row>
    <row r="43" ht="15" customHeight="1" s="53">
      <c r="B43" s="75" t="n"/>
      <c r="C43" s="76" t="n"/>
      <c r="D43" s="76" t="n"/>
      <c r="E43" s="76" t="n"/>
      <c r="F43" s="77" t="n"/>
      <c r="G43" s="76" t="n"/>
      <c r="H43" s="76" t="n"/>
      <c r="I43" s="76" t="n"/>
      <c r="J43" s="78" t="n"/>
      <c r="K43" s="32" t="n"/>
    </row>
    <row r="44" ht="15" customHeight="1" s="53">
      <c r="B44" s="75" t="n"/>
      <c r="C44" s="76" t="n"/>
      <c r="D44" s="76" t="n"/>
      <c r="E44" s="76" t="n"/>
      <c r="F44" s="77" t="n"/>
      <c r="G44" s="76" t="n"/>
      <c r="H44" s="76" t="n"/>
      <c r="I44" s="76" t="n"/>
      <c r="J44" s="78" t="n"/>
      <c r="K44" s="32" t="n"/>
    </row>
    <row r="45" ht="15" customHeight="1" s="53">
      <c r="B45" s="75" t="n"/>
      <c r="C45" s="76" t="n"/>
      <c r="D45" s="76" t="n"/>
      <c r="E45" s="76" t="n"/>
      <c r="F45" s="77" t="n"/>
      <c r="G45" s="76" t="n"/>
      <c r="H45" s="76" t="n"/>
      <c r="I45" s="76" t="n"/>
      <c r="J45" s="78" t="n"/>
      <c r="K45" s="32" t="n"/>
    </row>
    <row r="46" ht="15" customHeight="1" s="53">
      <c r="B46" s="75" t="n"/>
      <c r="C46" s="76" t="n"/>
      <c r="D46" s="76" t="n"/>
      <c r="E46" s="76" t="n"/>
      <c r="F46" s="77" t="n"/>
      <c r="G46" s="76" t="n"/>
      <c r="H46" s="76" t="n"/>
      <c r="I46" s="76" t="n"/>
      <c r="J46" s="78" t="n"/>
      <c r="K46" s="32" t="n"/>
    </row>
    <row r="47" ht="15" customHeight="1" s="53">
      <c r="B47" s="75" t="n"/>
      <c r="C47" s="76" t="n"/>
      <c r="D47" s="76" t="n"/>
      <c r="E47" s="76" t="n"/>
      <c r="F47" s="77" t="n"/>
      <c r="G47" s="76" t="n"/>
      <c r="H47" s="76" t="n"/>
      <c r="I47" s="76" t="n"/>
      <c r="J47" s="78" t="n"/>
      <c r="K47" s="32" t="n"/>
    </row>
    <row r="48" ht="15" customHeight="1" s="53">
      <c r="B48" s="75" t="n"/>
      <c r="C48" s="76" t="n"/>
      <c r="D48" s="76" t="n"/>
      <c r="E48" s="76" t="n"/>
      <c r="F48" s="77" t="n"/>
      <c r="G48" s="76" t="n"/>
      <c r="H48" s="76" t="n"/>
      <c r="I48" s="76" t="n"/>
      <c r="J48" s="78" t="n"/>
      <c r="K48" s="32" t="n"/>
    </row>
    <row r="49" ht="15" customHeight="1" s="53">
      <c r="B49" s="75" t="n"/>
      <c r="C49" s="76" t="n"/>
      <c r="D49" s="76" t="n"/>
      <c r="E49" s="76" t="n"/>
      <c r="F49" s="77" t="n"/>
      <c r="G49" s="76" t="n"/>
      <c r="H49" s="76" t="n"/>
      <c r="I49" s="76" t="n"/>
      <c r="J49" s="78" t="n"/>
      <c r="K49" s="32" t="n"/>
    </row>
    <row r="50" ht="15" customHeight="1" s="53">
      <c r="B50" s="75" t="n"/>
      <c r="C50" s="76" t="n"/>
      <c r="D50" s="76" t="n"/>
      <c r="E50" s="76" t="n"/>
      <c r="F50" s="77" t="n"/>
      <c r="G50" s="76" t="n"/>
      <c r="H50" s="76" t="n"/>
      <c r="I50" s="76" t="n"/>
      <c r="J50" s="78" t="n"/>
      <c r="K50" s="32" t="n"/>
    </row>
    <row r="51" ht="15" customHeight="1" s="53">
      <c r="B51" s="75" t="n"/>
      <c r="C51" s="76" t="n"/>
      <c r="D51" s="76" t="n"/>
      <c r="E51" s="76" t="n"/>
      <c r="F51" s="77" t="n"/>
      <c r="G51" s="76" t="n"/>
      <c r="H51" s="76" t="n"/>
      <c r="I51" s="76" t="n"/>
      <c r="J51" s="78" t="n"/>
      <c r="K51" s="32" t="n"/>
    </row>
    <row r="52" ht="15" customHeight="1" s="53">
      <c r="B52" s="75" t="n"/>
      <c r="C52" s="76" t="n"/>
      <c r="D52" s="76" t="n"/>
      <c r="E52" s="76" t="n"/>
      <c r="F52" s="77" t="n"/>
      <c r="G52" s="76" t="n"/>
      <c r="H52" s="76" t="n"/>
      <c r="I52" s="76" t="n"/>
      <c r="J52" s="78" t="n"/>
      <c r="K52" s="32" t="n"/>
    </row>
    <row r="53" ht="15" customHeight="1" s="53">
      <c r="B53" s="75" t="n"/>
      <c r="C53" s="76" t="n"/>
      <c r="D53" s="76" t="n"/>
      <c r="E53" s="76" t="n"/>
      <c r="F53" s="77" t="n"/>
      <c r="G53" s="76" t="n"/>
      <c r="H53" s="76" t="n"/>
      <c r="I53" s="76" t="n"/>
      <c r="J53" s="78" t="n"/>
      <c r="K53" s="32" t="n"/>
    </row>
    <row r="54" ht="15" customHeight="1" s="53">
      <c r="B54" s="75" t="n"/>
      <c r="C54" s="76" t="n"/>
      <c r="D54" s="76" t="n"/>
      <c r="E54" s="76" t="n"/>
      <c r="F54" s="77" t="n"/>
      <c r="G54" s="76" t="n"/>
      <c r="H54" s="76" t="n"/>
      <c r="I54" s="76" t="n"/>
      <c r="J54" s="78" t="n"/>
      <c r="K54" s="32" t="n"/>
    </row>
    <row r="55" ht="15" customHeight="1" s="53">
      <c r="B55" s="75" t="n"/>
      <c r="C55" s="76" t="n"/>
      <c r="D55" s="76" t="n"/>
      <c r="E55" s="76" t="n"/>
      <c r="F55" s="77" t="n"/>
      <c r="G55" s="76" t="n"/>
      <c r="H55" s="76" t="n"/>
      <c r="I55" s="76" t="n"/>
      <c r="J55" s="78" t="n"/>
      <c r="K55" s="32" t="n"/>
    </row>
    <row r="56" ht="15" customHeight="1" s="53">
      <c r="B56" s="75" t="n"/>
      <c r="C56" s="76" t="n"/>
      <c r="D56" s="76" t="n"/>
      <c r="E56" s="76" t="n"/>
      <c r="F56" s="77" t="n"/>
      <c r="G56" s="76" t="n"/>
      <c r="H56" s="76" t="n"/>
      <c r="I56" s="76" t="n"/>
      <c r="J56" s="78" t="n"/>
      <c r="K56" s="32" t="n"/>
    </row>
    <row r="57" ht="15" customHeight="1" s="53">
      <c r="B57" s="75" t="n"/>
      <c r="C57" s="76" t="n"/>
      <c r="D57" s="76" t="n"/>
      <c r="E57" s="76" t="n"/>
      <c r="F57" s="77" t="n"/>
      <c r="G57" s="76" t="n"/>
      <c r="H57" s="76" t="n"/>
      <c r="I57" s="76" t="n"/>
      <c r="J57" s="78" t="n"/>
      <c r="K57" s="32" t="n"/>
    </row>
    <row r="58" ht="15" customHeight="1" s="53">
      <c r="B58" s="75" t="n"/>
      <c r="C58" s="76" t="n"/>
      <c r="D58" s="76" t="n"/>
      <c r="E58" s="76" t="n"/>
      <c r="F58" s="77" t="n"/>
      <c r="G58" s="76" t="n"/>
      <c r="H58" s="76" t="n"/>
      <c r="I58" s="76" t="n"/>
      <c r="J58" s="78" t="n"/>
      <c r="K58" s="32" t="n"/>
    </row>
    <row r="59" ht="15" customHeight="1" s="53">
      <c r="B59" s="75" t="n"/>
      <c r="C59" s="76" t="n"/>
      <c r="D59" s="76" t="n"/>
      <c r="E59" s="76" t="n"/>
      <c r="F59" s="77" t="n"/>
      <c r="G59" s="76" t="n"/>
      <c r="H59" s="76" t="n"/>
      <c r="I59" s="76" t="n"/>
      <c r="J59" s="78" t="n"/>
      <c r="K59" s="32" t="n"/>
    </row>
    <row r="60" ht="15" customHeight="1" s="53">
      <c r="B60" s="75" t="n"/>
      <c r="C60" s="76" t="n"/>
      <c r="D60" s="76" t="n"/>
      <c r="E60" s="76" t="n"/>
      <c r="F60" s="77" t="n"/>
      <c r="G60" s="76" t="n"/>
      <c r="H60" s="76" t="n"/>
      <c r="I60" s="76" t="n"/>
      <c r="J60" s="78" t="n"/>
      <c r="K60" s="32" t="n"/>
    </row>
    <row r="61" ht="15" customHeight="1" s="53">
      <c r="B61" s="75" t="n"/>
      <c r="C61" s="76" t="n"/>
      <c r="D61" s="76" t="n"/>
      <c r="E61" s="76" t="n"/>
      <c r="F61" s="77" t="n"/>
      <c r="G61" s="76" t="n"/>
      <c r="H61" s="76" t="n"/>
      <c r="I61" s="76" t="n"/>
      <c r="J61" s="78" t="n"/>
      <c r="K61" s="32" t="n"/>
    </row>
    <row r="62" ht="15" customHeight="1" s="53">
      <c r="B62" s="75" t="n"/>
      <c r="C62" s="76" t="n"/>
      <c r="D62" s="76" t="n"/>
      <c r="E62" s="76" t="n"/>
      <c r="F62" s="77" t="n"/>
      <c r="G62" s="76" t="n"/>
      <c r="H62" s="76" t="n"/>
      <c r="I62" s="76" t="n"/>
      <c r="J62" s="78" t="n"/>
      <c r="K62" s="32" t="n"/>
    </row>
    <row r="63" ht="15" customHeight="1" s="53">
      <c r="B63" s="75" t="n"/>
      <c r="C63" s="76" t="n"/>
      <c r="D63" s="76" t="n"/>
      <c r="E63" s="76" t="n"/>
      <c r="F63" s="77" t="n"/>
      <c r="G63" s="76" t="n"/>
      <c r="H63" s="76" t="n"/>
      <c r="I63" s="76" t="n"/>
      <c r="J63" s="78" t="n"/>
      <c r="K63" s="32" t="n"/>
    </row>
    <row r="64" ht="15" customHeight="1" s="53">
      <c r="B64" s="75" t="n"/>
      <c r="C64" s="76" t="n"/>
      <c r="D64" s="76" t="n"/>
      <c r="E64" s="76" t="n"/>
      <c r="F64" s="77" t="n"/>
      <c r="G64" s="76" t="n"/>
      <c r="H64" s="76" t="n"/>
      <c r="I64" s="76" t="n"/>
      <c r="J64" s="78" t="n"/>
      <c r="K64" s="32" t="n"/>
    </row>
    <row r="65" ht="15" customHeight="1" s="53">
      <c r="B65" s="75" t="n"/>
      <c r="C65" s="76" t="n"/>
      <c r="D65" s="76" t="n"/>
      <c r="E65" s="76" t="n"/>
      <c r="F65" s="77" t="n"/>
      <c r="G65" s="76" t="n"/>
      <c r="H65" s="76" t="n"/>
      <c r="I65" s="76" t="n"/>
      <c r="J65" s="78" t="n"/>
      <c r="K65" s="32" t="n"/>
    </row>
    <row r="66" ht="15" customHeight="1" s="53">
      <c r="B66" s="75" t="n"/>
      <c r="C66" s="76" t="n"/>
      <c r="D66" s="76" t="n"/>
      <c r="E66" s="76" t="n"/>
      <c r="F66" s="77" t="n"/>
      <c r="G66" s="76" t="n"/>
      <c r="H66" s="76" t="n"/>
      <c r="I66" s="76" t="n"/>
      <c r="J66" s="78" t="n"/>
      <c r="K66" s="32" t="n"/>
    </row>
    <row r="67" ht="15" customHeight="1" s="53">
      <c r="B67" s="75" t="n"/>
      <c r="C67" s="76" t="n"/>
      <c r="D67" s="76" t="n"/>
      <c r="E67" s="76" t="n"/>
      <c r="F67" s="77" t="n"/>
      <c r="G67" s="76" t="n"/>
      <c r="H67" s="76" t="n"/>
      <c r="I67" s="76" t="n"/>
      <c r="J67" s="78" t="n"/>
      <c r="K67" s="32" t="n"/>
    </row>
    <row r="68" ht="15" customHeight="1" s="53">
      <c r="B68" s="75" t="n"/>
      <c r="C68" s="76" t="n"/>
      <c r="D68" s="76" t="n"/>
      <c r="E68" s="76" t="n"/>
      <c r="F68" s="77" t="n"/>
      <c r="G68" s="76" t="n"/>
      <c r="H68" s="76" t="n"/>
      <c r="I68" s="76" t="n"/>
      <c r="J68" s="78" t="n"/>
      <c r="K68" s="32" t="n"/>
    </row>
    <row r="69" ht="15" customHeight="1" s="53">
      <c r="B69" s="75" t="n"/>
      <c r="C69" s="76" t="n"/>
      <c r="D69" s="76" t="n"/>
      <c r="E69" s="76" t="n"/>
      <c r="F69" s="77" t="n"/>
      <c r="G69" s="76" t="n"/>
      <c r="H69" s="76" t="n"/>
      <c r="I69" s="76" t="n"/>
      <c r="J69" s="78" t="n"/>
      <c r="K69" s="32" t="n"/>
    </row>
    <row r="70" ht="15" customHeight="1" s="53">
      <c r="B70" s="75" t="n"/>
      <c r="C70" s="76" t="n"/>
      <c r="D70" s="76" t="n"/>
      <c r="E70" s="76" t="n"/>
      <c r="F70" s="77" t="n"/>
      <c r="G70" s="76" t="n"/>
      <c r="H70" s="76" t="n"/>
      <c r="I70" s="76" t="n"/>
      <c r="J70" s="78" t="n"/>
      <c r="K70" s="32" t="n"/>
    </row>
    <row r="71" ht="15" customHeight="1" s="53">
      <c r="B71" s="75" t="n"/>
      <c r="C71" s="76" t="n"/>
      <c r="D71" s="76" t="n"/>
      <c r="E71" s="76" t="n"/>
      <c r="F71" s="77" t="n"/>
      <c r="G71" s="76" t="n"/>
      <c r="H71" s="76" t="n"/>
      <c r="I71" s="76" t="n"/>
      <c r="J71" s="78" t="n"/>
      <c r="K71" s="32" t="n"/>
    </row>
    <row r="72" ht="15" customHeight="1" s="53">
      <c r="B72" s="75" t="n"/>
      <c r="C72" s="76" t="n"/>
      <c r="D72" s="76" t="n"/>
      <c r="E72" s="76" t="n"/>
      <c r="F72" s="77" t="n"/>
      <c r="G72" s="76" t="n"/>
      <c r="H72" s="76" t="n"/>
      <c r="I72" s="76" t="n"/>
      <c r="J72" s="78" t="n"/>
      <c r="K72" s="32" t="n"/>
    </row>
    <row r="73" ht="15" customHeight="1" s="53">
      <c r="B73" s="75" t="n"/>
      <c r="C73" s="76" t="n"/>
      <c r="D73" s="76" t="n"/>
      <c r="E73" s="76" t="n"/>
      <c r="F73" s="77" t="n"/>
      <c r="G73" s="76" t="n"/>
      <c r="H73" s="76" t="n"/>
      <c r="I73" s="76" t="n"/>
      <c r="J73" s="78" t="n"/>
      <c r="K73" s="32" t="n"/>
    </row>
    <row r="74" ht="15" customHeight="1" s="53">
      <c r="B74" s="75" t="n"/>
      <c r="C74" s="76" t="n"/>
      <c r="D74" s="76" t="n"/>
      <c r="E74" s="76" t="n"/>
      <c r="F74" s="77" t="n"/>
      <c r="G74" s="76" t="n"/>
      <c r="H74" s="76" t="n"/>
      <c r="I74" s="76" t="n"/>
      <c r="J74" s="78" t="n"/>
      <c r="K74" s="32" t="n"/>
    </row>
    <row r="75" ht="15" customHeight="1" s="53">
      <c r="B75" s="75" t="n"/>
      <c r="C75" s="76" t="n"/>
      <c r="D75" s="76" t="n"/>
      <c r="E75" s="76" t="n"/>
      <c r="F75" s="77" t="n"/>
      <c r="G75" s="76" t="n"/>
      <c r="H75" s="76" t="n"/>
      <c r="I75" s="76" t="n"/>
      <c r="J75" s="78" t="n"/>
      <c r="K75" s="32" t="n"/>
    </row>
    <row r="76" ht="15" customHeight="1" s="53">
      <c r="B76" s="75" t="n"/>
      <c r="C76" s="76" t="n"/>
      <c r="D76" s="76" t="n"/>
      <c r="E76" s="76" t="n"/>
      <c r="F76" s="77" t="n"/>
      <c r="G76" s="76" t="n"/>
      <c r="H76" s="76" t="n"/>
      <c r="I76" s="76" t="n"/>
      <c r="J76" s="78" t="n"/>
      <c r="K76" s="32" t="n"/>
    </row>
    <row r="77" ht="15" customHeight="1" s="53">
      <c r="B77" s="75" t="n"/>
      <c r="C77" s="76" t="n"/>
      <c r="D77" s="76" t="n"/>
      <c r="E77" s="76" t="n"/>
      <c r="F77" s="77" t="n"/>
      <c r="G77" s="76" t="n"/>
      <c r="H77" s="76" t="n"/>
      <c r="I77" s="76" t="n"/>
      <c r="J77" s="78" t="n"/>
      <c r="K77" s="32" t="n"/>
    </row>
    <row r="78" ht="15" customHeight="1" s="53">
      <c r="B78" s="75" t="n"/>
      <c r="C78" s="76" t="n"/>
      <c r="D78" s="76" t="n"/>
      <c r="E78" s="76" t="n"/>
      <c r="F78" s="77" t="n"/>
      <c r="G78" s="76" t="n"/>
      <c r="H78" s="76" t="n"/>
      <c r="I78" s="76" t="n"/>
      <c r="J78" s="78" t="n"/>
      <c r="K78" s="32" t="n"/>
    </row>
    <row r="79" ht="15" customHeight="1" s="53">
      <c r="B79" s="75" t="n"/>
      <c r="C79" s="76" t="n"/>
      <c r="D79" s="76" t="n"/>
      <c r="E79" s="76" t="n"/>
      <c r="F79" s="77" t="n"/>
      <c r="G79" s="76" t="n"/>
      <c r="H79" s="76" t="n"/>
      <c r="I79" s="76" t="n"/>
      <c r="J79" s="78" t="n"/>
      <c r="K79" s="32" t="n"/>
    </row>
    <row r="80" ht="15" customHeight="1" s="53">
      <c r="B80" s="75" t="n"/>
      <c r="C80" s="76" t="n"/>
      <c r="D80" s="76" t="n"/>
      <c r="E80" s="76" t="n"/>
      <c r="F80" s="77" t="n"/>
      <c r="G80" s="76" t="n"/>
      <c r="H80" s="76" t="n"/>
      <c r="I80" s="76" t="n"/>
      <c r="J80" s="78" t="n"/>
      <c r="K80" s="32" t="n"/>
    </row>
    <row r="81" ht="15" customHeight="1" s="53">
      <c r="B81" s="75" t="n"/>
      <c r="C81" s="76" t="n"/>
      <c r="D81" s="76" t="n"/>
      <c r="E81" s="76" t="n"/>
      <c r="F81" s="77" t="n"/>
      <c r="G81" s="76" t="n"/>
      <c r="H81" s="76" t="n"/>
      <c r="I81" s="76" t="n"/>
      <c r="J81" s="78" t="n"/>
      <c r="K81" s="32" t="n"/>
    </row>
    <row r="82" ht="15" customHeight="1" s="53">
      <c r="B82" s="75" t="n"/>
      <c r="C82" s="76" t="n"/>
      <c r="D82" s="76" t="n"/>
      <c r="E82" s="76" t="n"/>
      <c r="F82" s="77" t="n"/>
      <c r="G82" s="76" t="n"/>
      <c r="H82" s="76" t="n"/>
      <c r="I82" s="76" t="n"/>
      <c r="J82" s="78" t="n"/>
      <c r="K82" s="32" t="n"/>
    </row>
    <row r="83" ht="15" customHeight="1" s="53">
      <c r="B83" s="75" t="n"/>
      <c r="C83" s="76" t="n"/>
      <c r="D83" s="76" t="n"/>
      <c r="E83" s="76" t="n"/>
      <c r="F83" s="77" t="n"/>
      <c r="G83" s="76" t="n"/>
      <c r="H83" s="76" t="n"/>
      <c r="I83" s="76" t="n"/>
      <c r="J83" s="78" t="n"/>
      <c r="K83" s="32" t="n"/>
    </row>
    <row r="84" ht="15" customHeight="1" s="53">
      <c r="B84" s="75" t="n"/>
      <c r="C84" s="76" t="n"/>
      <c r="D84" s="76" t="n"/>
      <c r="E84" s="76" t="n"/>
      <c r="F84" s="77" t="n"/>
      <c r="G84" s="76" t="n"/>
      <c r="H84" s="76" t="n"/>
      <c r="I84" s="76" t="n"/>
      <c r="J84" s="78" t="n"/>
      <c r="K84" s="32" t="n"/>
    </row>
    <row r="85" ht="15" customHeight="1" s="53">
      <c r="B85" s="75" t="n"/>
      <c r="C85" s="76" t="n"/>
      <c r="D85" s="76" t="n"/>
      <c r="E85" s="76" t="n"/>
      <c r="F85" s="77" t="n"/>
      <c r="G85" s="76" t="n"/>
      <c r="H85" s="76" t="n"/>
      <c r="I85" s="76" t="n"/>
      <c r="J85" s="78" t="n"/>
      <c r="K85" s="32" t="n"/>
    </row>
    <row r="86" ht="15" customHeight="1" s="53">
      <c r="B86" s="75" t="n"/>
      <c r="C86" s="76" t="n"/>
      <c r="D86" s="76" t="n"/>
      <c r="E86" s="76" t="n"/>
      <c r="F86" s="77" t="n"/>
      <c r="G86" s="76" t="n"/>
      <c r="H86" s="76" t="n"/>
      <c r="I86" s="76" t="n"/>
      <c r="J86" s="78" t="n"/>
      <c r="K86" s="32" t="n"/>
    </row>
    <row r="87" ht="15" customHeight="1" s="53">
      <c r="B87" s="75" t="n"/>
      <c r="C87" s="76" t="n"/>
      <c r="D87" s="76" t="n"/>
      <c r="E87" s="76" t="n"/>
      <c r="F87" s="77" t="n"/>
      <c r="G87" s="76" t="n"/>
      <c r="H87" s="76" t="n"/>
      <c r="I87" s="76" t="n"/>
      <c r="J87" s="78" t="n"/>
      <c r="K87" s="32" t="n"/>
    </row>
    <row r="88" ht="15" customHeight="1" s="53">
      <c r="B88" s="75" t="n"/>
      <c r="C88" s="76" t="n"/>
      <c r="D88" s="76" t="n"/>
      <c r="E88" s="76" t="n"/>
      <c r="F88" s="77" t="n"/>
      <c r="G88" s="76" t="n"/>
      <c r="H88" s="76" t="n"/>
      <c r="I88" s="76" t="n"/>
      <c r="J88" s="78" t="n"/>
      <c r="K88" s="32" t="n"/>
    </row>
    <row r="89" ht="15" customHeight="1" s="53">
      <c r="B89" s="75" t="n"/>
      <c r="C89" s="76" t="n"/>
      <c r="D89" s="76" t="n"/>
      <c r="E89" s="76" t="n"/>
      <c r="F89" s="77" t="n"/>
      <c r="G89" s="76" t="n"/>
      <c r="H89" s="76" t="n"/>
      <c r="I89" s="76" t="n"/>
      <c r="J89" s="78" t="n"/>
      <c r="K89" s="32" t="n"/>
    </row>
    <row r="90" ht="15" customHeight="1" s="53">
      <c r="B90" s="75" t="n"/>
      <c r="C90" s="76" t="n"/>
      <c r="D90" s="76" t="n"/>
      <c r="E90" s="76" t="n"/>
      <c r="F90" s="77" t="n"/>
      <c r="G90" s="76" t="n"/>
      <c r="H90" s="76" t="n"/>
      <c r="I90" s="76" t="n"/>
      <c r="J90" s="78" t="n"/>
      <c r="K90" s="32" t="n"/>
    </row>
    <row r="91" ht="15" customHeight="1" s="53">
      <c r="B91" s="75" t="n"/>
      <c r="C91" s="76" t="n"/>
      <c r="D91" s="76" t="n"/>
      <c r="E91" s="76" t="n"/>
      <c r="F91" s="77" t="n"/>
      <c r="G91" s="76" t="n"/>
      <c r="H91" s="76" t="n"/>
      <c r="I91" s="76" t="n"/>
      <c r="J91" s="78" t="n"/>
      <c r="K91" s="32" t="n"/>
    </row>
    <row r="92" ht="15" customHeight="1" s="53">
      <c r="B92" s="75" t="n"/>
      <c r="C92" s="76" t="n"/>
      <c r="D92" s="76" t="n"/>
      <c r="E92" s="76" t="n"/>
      <c r="F92" s="77" t="n"/>
      <c r="G92" s="76" t="n"/>
      <c r="H92" s="76" t="n"/>
      <c r="I92" s="76" t="n"/>
      <c r="J92" s="78" t="n"/>
      <c r="K92" s="32" t="n"/>
    </row>
    <row r="93" ht="15" customHeight="1" s="53">
      <c r="B93" s="75" t="n"/>
      <c r="C93" s="76" t="n"/>
      <c r="D93" s="76" t="n"/>
      <c r="E93" s="76" t="n"/>
      <c r="F93" s="77" t="n"/>
      <c r="G93" s="76" t="n"/>
      <c r="H93" s="76" t="n"/>
      <c r="I93" s="76" t="n"/>
      <c r="J93" s="78" t="n"/>
      <c r="K93" s="32" t="n"/>
    </row>
    <row r="94" ht="15" customHeight="1" s="53">
      <c r="B94" s="75" t="n"/>
      <c r="C94" s="76" t="n"/>
      <c r="D94" s="76" t="n"/>
      <c r="E94" s="76" t="n"/>
      <c r="F94" s="77" t="n"/>
      <c r="G94" s="76" t="n"/>
      <c r="H94" s="76" t="n"/>
      <c r="I94" s="76" t="n"/>
      <c r="J94" s="78" t="n"/>
      <c r="K94" s="32" t="n"/>
    </row>
    <row r="95" ht="15" customHeight="1" s="53">
      <c r="B95" s="75" t="n"/>
      <c r="C95" s="76" t="n"/>
      <c r="D95" s="76" t="n"/>
      <c r="E95" s="76" t="n"/>
      <c r="F95" s="77" t="n"/>
      <c r="G95" s="76" t="n"/>
      <c r="H95" s="76" t="n"/>
      <c r="I95" s="76" t="n"/>
      <c r="J95" s="78" t="n"/>
      <c r="K95" s="32" t="n"/>
    </row>
    <row r="96" ht="15" customHeight="1" s="53">
      <c r="B96" s="75" t="n"/>
      <c r="C96" s="76" t="n"/>
      <c r="D96" s="76" t="n"/>
      <c r="E96" s="76" t="n"/>
      <c r="F96" s="77" t="n"/>
      <c r="G96" s="76" t="n"/>
      <c r="H96" s="76" t="n"/>
      <c r="I96" s="76" t="n"/>
      <c r="J96" s="78" t="n"/>
      <c r="K96" s="32" t="n"/>
    </row>
    <row r="97" ht="15" customHeight="1" s="53">
      <c r="B97" s="75" t="n"/>
      <c r="C97" s="76" t="n"/>
      <c r="D97" s="76" t="n"/>
      <c r="E97" s="76" t="n"/>
      <c r="F97" s="77" t="n"/>
      <c r="G97" s="76" t="n"/>
      <c r="H97" s="76" t="n"/>
      <c r="I97" s="76" t="n"/>
      <c r="J97" s="78" t="n"/>
      <c r="K97" s="32" t="n"/>
    </row>
    <row r="98" ht="15" customHeight="1" s="53">
      <c r="B98" s="75" t="n"/>
      <c r="C98" s="76" t="n"/>
      <c r="D98" s="76" t="n"/>
      <c r="E98" s="76" t="n"/>
      <c r="F98" s="77" t="n"/>
      <c r="G98" s="76" t="n"/>
      <c r="H98" s="76" t="n"/>
      <c r="I98" s="76" t="n"/>
      <c r="J98" s="78" t="n"/>
      <c r="K98" s="32" t="n"/>
    </row>
    <row r="99" ht="15" customHeight="1" s="53">
      <c r="B99" s="75" t="n"/>
      <c r="C99" s="76" t="n"/>
      <c r="D99" s="76" t="n"/>
      <c r="E99" s="76" t="n"/>
      <c r="F99" s="77" t="n"/>
      <c r="G99" s="76" t="n"/>
      <c r="H99" s="76" t="n"/>
      <c r="I99" s="76" t="n"/>
      <c r="J99" s="78" t="n"/>
      <c r="K99" s="32" t="n"/>
    </row>
    <row r="100" ht="15" customHeight="1" s="53">
      <c r="B100" s="75" t="n"/>
      <c r="C100" s="76" t="n"/>
      <c r="D100" s="76" t="n"/>
      <c r="E100" s="76" t="n"/>
      <c r="F100" s="77" t="n"/>
      <c r="G100" s="76" t="n"/>
      <c r="H100" s="76" t="n"/>
      <c r="I100" s="76" t="n"/>
      <c r="J100" s="78" t="n"/>
      <c r="K100" s="32" t="n"/>
    </row>
    <row r="101" ht="15" customHeight="1" s="53">
      <c r="B101" s="75" t="n"/>
      <c r="C101" s="76" t="n"/>
      <c r="D101" s="76" t="n"/>
      <c r="E101" s="76" t="n"/>
      <c r="F101" s="77" t="n"/>
      <c r="G101" s="76" t="n"/>
      <c r="H101" s="76" t="n"/>
      <c r="I101" s="76" t="n"/>
      <c r="J101" s="78" t="n"/>
      <c r="K101" s="32" t="n"/>
    </row>
    <row r="102" ht="15" customHeight="1" s="53">
      <c r="B102" s="75" t="n"/>
      <c r="C102" s="76" t="n"/>
      <c r="D102" s="76" t="n"/>
      <c r="E102" s="76" t="n"/>
      <c r="F102" s="77" t="n"/>
      <c r="G102" s="76" t="n"/>
      <c r="H102" s="76" t="n"/>
      <c r="I102" s="76" t="n"/>
      <c r="J102" s="78" t="n"/>
      <c r="K102" s="32" t="n"/>
    </row>
    <row r="103" ht="15" customHeight="1" s="53">
      <c r="B103" s="75" t="n"/>
      <c r="C103" s="76" t="n"/>
      <c r="D103" s="76" t="n"/>
      <c r="E103" s="76" t="n"/>
      <c r="F103" s="77" t="n"/>
      <c r="G103" s="76" t="n"/>
      <c r="H103" s="76" t="n"/>
      <c r="I103" s="76" t="n"/>
      <c r="J103" s="78" t="n"/>
      <c r="K103" s="32" t="n"/>
    </row>
    <row r="104" ht="15" customHeight="1" s="53">
      <c r="B104" s="75" t="n"/>
      <c r="C104" s="76" t="n"/>
      <c r="D104" s="76" t="n"/>
      <c r="E104" s="76" t="n"/>
      <c r="F104" s="77" t="n"/>
      <c r="G104" s="76" t="n"/>
      <c r="H104" s="76" t="n"/>
      <c r="I104" s="76" t="n"/>
      <c r="J104" s="78" t="n"/>
      <c r="K104" s="32" t="n"/>
    </row>
    <row r="105" ht="15" customHeight="1" s="53">
      <c r="B105" s="75" t="n"/>
      <c r="C105" s="76" t="n"/>
      <c r="D105" s="76" t="n"/>
      <c r="E105" s="76" t="n"/>
      <c r="F105" s="77" t="n"/>
      <c r="G105" s="76" t="n"/>
      <c r="H105" s="76" t="n"/>
      <c r="I105" s="76" t="n"/>
      <c r="J105" s="78" t="n"/>
      <c r="K105" s="32" t="n"/>
    </row>
    <row r="106" ht="15" customHeight="1" s="53">
      <c r="B106" s="75" t="n"/>
      <c r="C106" s="76" t="n"/>
      <c r="D106" s="76" t="n"/>
      <c r="E106" s="76" t="n"/>
      <c r="F106" s="77" t="n"/>
      <c r="G106" s="76" t="n"/>
      <c r="H106" s="76" t="n"/>
      <c r="I106" s="76" t="n"/>
      <c r="J106" s="78" t="n"/>
      <c r="K106" s="32" t="n"/>
    </row>
    <row r="107" ht="15" customHeight="1" s="53">
      <c r="B107" s="75" t="n"/>
      <c r="C107" s="76" t="n"/>
      <c r="D107" s="76" t="n"/>
      <c r="E107" s="76" t="n"/>
      <c r="F107" s="77" t="n"/>
      <c r="G107" s="76" t="n"/>
      <c r="H107" s="76" t="n"/>
      <c r="I107" s="76" t="n"/>
      <c r="J107" s="78" t="n"/>
      <c r="K107" s="32" t="n"/>
    </row>
    <row r="108" ht="15" customHeight="1" s="53">
      <c r="B108" s="75" t="n"/>
      <c r="C108" s="76" t="n"/>
      <c r="D108" s="76" t="n"/>
      <c r="E108" s="76" t="n"/>
      <c r="F108" s="77" t="n"/>
      <c r="G108" s="76" t="n"/>
      <c r="H108" s="76" t="n"/>
      <c r="I108" s="76" t="n"/>
      <c r="J108" s="78" t="n"/>
      <c r="K108" s="32" t="n"/>
    </row>
    <row r="109" ht="15" customHeight="1" s="53">
      <c r="B109" s="75" t="n"/>
      <c r="C109" s="76" t="n"/>
      <c r="D109" s="76" t="n"/>
      <c r="E109" s="76" t="n"/>
      <c r="F109" s="77" t="n"/>
      <c r="G109" s="76" t="n"/>
      <c r="H109" s="76" t="n"/>
      <c r="I109" s="76" t="n"/>
      <c r="J109" s="78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tabSelected="1" zoomScaleNormal="100" workbookViewId="0">
      <selection activeCell="C7" sqref="C7"/>
    </sheetView>
  </sheetViews>
  <sheetFormatPr baseColWidth="10" defaultColWidth="8.6640625" defaultRowHeight="15"/>
  <cols>
    <col width="3" customWidth="1" style="53" min="1" max="1"/>
    <col width="32" customWidth="1" style="53" min="2" max="2"/>
    <col width="20" customWidth="1" style="53" min="3" max="3"/>
    <col width="70" customWidth="1" style="53" min="4" max="4"/>
  </cols>
  <sheetData>
    <row r="2" ht="30" customHeight="1" s="53">
      <c r="B2" s="57" t="inlineStr">
        <is>
          <t>FX &amp; ASSUMPTIONS</t>
        </is>
      </c>
    </row>
    <row r="4" ht="27.75" customHeight="1" s="53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3">
      <c r="B5" s="9" t="inlineStr">
        <is>
          <t>As-of Date</t>
        </is>
      </c>
      <c r="C5" s="75" t="n">
        <v>46173</v>
      </c>
      <c r="D5" s="59" t="inlineStr">
        <is>
          <t>Reporting date — updated weekly.</t>
        </is>
      </c>
    </row>
    <row r="6" ht="21.75" customHeight="1" s="53">
      <c r="B6" s="9" t="inlineStr">
        <is>
          <t>USD / THB Spot</t>
        </is>
      </c>
      <c r="C6" s="33" t="n">
        <v>32.43</v>
      </c>
      <c r="D6" s="59" t="inlineStr">
        <is>
          <t>Auto-fetched via Yahoo Finance on 2026-05-31</t>
        </is>
      </c>
    </row>
    <row r="7" ht="21.75" customHeight="1" s="53">
      <c r="B7" s="9" t="inlineStr">
        <is>
          <t>Reporting Currency</t>
        </is>
      </c>
      <c r="C7" s="34" t="inlineStr">
        <is>
          <t>THB</t>
        </is>
      </c>
      <c r="D7" s="59" t="inlineStr">
        <is>
          <t>Base currency for all totals.</t>
        </is>
      </c>
    </row>
    <row r="8" ht="21.75" customHeight="1" s="53">
      <c r="B8" s="9" t="inlineStr">
        <is>
          <t>Total Lots (MF / EQ / Crypto)</t>
        </is>
      </c>
      <c r="C8" s="34" t="inlineStr">
        <is>
          <t>160 / 41 / 26</t>
        </is>
      </c>
      <c r="D8" s="59" t="inlineStr">
        <is>
          <t>Record count from source file.</t>
        </is>
      </c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04"/>
  <sheetViews>
    <sheetView showGridLines="0" zoomScaleNormal="100" workbookViewId="0">
      <pane xSplit="1" ySplit="4" topLeftCell="B57" activePane="bottomRight" state="frozen"/>
      <selection pane="topRight" activeCell="B1" sqref="B1"/>
      <selection pane="bottomLeft" activeCell="A55" sqref="A55"/>
      <selection pane="bottomRight" activeCell="G79" sqref="G79"/>
    </sheetView>
  </sheetViews>
  <sheetFormatPr baseColWidth="10" defaultColWidth="8.6640625" defaultRowHeight="15"/>
  <cols>
    <col width="22" customWidth="1" style="53" min="1" max="1"/>
    <col width="8" customWidth="1" style="53" min="2" max="2"/>
    <col width="14" customWidth="1" style="53" min="3" max="3"/>
    <col width="22" customWidth="1" style="53" min="4" max="4"/>
    <col width="16" customWidth="1" style="53" min="5" max="5"/>
    <col width="18" customWidth="1" style="53" min="6" max="6"/>
    <col width="12" customWidth="1" style="53" min="7" max="7"/>
    <col width="16" customWidth="1" style="53" min="8" max="8"/>
  </cols>
  <sheetData>
    <row r="2" ht="30" customHeight="1" s="53">
      <c r="A2" s="57" t="inlineStr">
        <is>
          <t>PRICES — Weekly Update Sheet  (update yellow "Current Price / NAV" column every week)</t>
        </is>
      </c>
    </row>
    <row r="4" ht="31.5" customHeight="1" s="53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53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25.0666</v>
      </c>
      <c r="F5" s="34" t="inlineStr">
        <is>
          <t>THB</t>
        </is>
      </c>
      <c r="G5" s="75" t="n">
        <v>46170</v>
      </c>
      <c r="H5" s="34" t="inlineStr">
        <is>
          <t>OK</t>
        </is>
      </c>
    </row>
    <row r="6" ht="15" customHeight="1" s="53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10.6848</v>
      </c>
      <c r="F6" s="34" t="inlineStr">
        <is>
          <t>THB</t>
        </is>
      </c>
      <c r="G6" s="75" t="n">
        <v>46171</v>
      </c>
      <c r="H6" s="34" t="inlineStr">
        <is>
          <t>OK</t>
        </is>
      </c>
    </row>
    <row r="7" ht="15" customHeight="1" s="53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7.1689</v>
      </c>
      <c r="F7" s="34" t="inlineStr">
        <is>
          <t>THB</t>
        </is>
      </c>
      <c r="G7" s="75" t="n">
        <v>46170</v>
      </c>
      <c r="H7" s="34" t="inlineStr">
        <is>
          <t>OK</t>
        </is>
      </c>
    </row>
    <row r="8" ht="15" customHeight="1" s="53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9.7524</v>
      </c>
      <c r="F8" s="34" t="inlineStr">
        <is>
          <t>THB</t>
        </is>
      </c>
      <c r="G8" s="75" t="n">
        <v>46170</v>
      </c>
      <c r="H8" s="34" t="inlineStr">
        <is>
          <t>OK</t>
        </is>
      </c>
    </row>
    <row r="9" ht="15" customHeight="1" s="53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9.3216</v>
      </c>
      <c r="F9" s="34" t="inlineStr">
        <is>
          <t>THB</t>
        </is>
      </c>
      <c r="G9" s="75" t="n">
        <v>46171</v>
      </c>
      <c r="H9" s="34" t="inlineStr">
        <is>
          <t>OK</t>
        </is>
      </c>
    </row>
    <row r="10" ht="15" customHeight="1" s="53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13.2248</v>
      </c>
      <c r="F10" s="34" t="inlineStr">
        <is>
          <t>THB</t>
        </is>
      </c>
      <c r="G10" s="75" t="n">
        <v>46170</v>
      </c>
      <c r="H10" s="34" t="inlineStr">
        <is>
          <t>OK</t>
        </is>
      </c>
    </row>
    <row r="11" ht="15" customHeight="1" s="53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13.0748</v>
      </c>
      <c r="F11" s="34" t="inlineStr">
        <is>
          <t>THB</t>
        </is>
      </c>
      <c r="G11" s="75" t="n">
        <v>46171</v>
      </c>
      <c r="H11" s="34" t="inlineStr">
        <is>
          <t>OK</t>
        </is>
      </c>
    </row>
    <row r="12" ht="15" customHeight="1" s="53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26.4159</v>
      </c>
      <c r="F12" s="34" t="inlineStr">
        <is>
          <t>THB</t>
        </is>
      </c>
      <c r="G12" s="75" t="n">
        <v>46171</v>
      </c>
      <c r="H12" s="34" t="inlineStr">
        <is>
          <t>OK</t>
        </is>
      </c>
    </row>
    <row r="13" ht="15" customHeight="1" s="53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35.9236</v>
      </c>
      <c r="F13" s="34" t="inlineStr">
        <is>
          <t>THB</t>
        </is>
      </c>
      <c r="G13" s="75" t="n">
        <v>46171</v>
      </c>
      <c r="H13" s="34" t="inlineStr">
        <is>
          <t>OK</t>
        </is>
      </c>
    </row>
    <row r="14" ht="15" customHeight="1" s="53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25.2351</v>
      </c>
      <c r="F14" s="34" t="inlineStr">
        <is>
          <t>THB</t>
        </is>
      </c>
      <c r="G14" s="75" t="n">
        <v>46171</v>
      </c>
      <c r="H14" s="34" t="inlineStr">
        <is>
          <t>OK</t>
        </is>
      </c>
    </row>
    <row r="15" ht="15" customHeight="1" s="53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14.8144</v>
      </c>
      <c r="F15" s="34" t="inlineStr">
        <is>
          <t>THB</t>
        </is>
      </c>
      <c r="G15" s="75" t="n">
        <v>46169</v>
      </c>
      <c r="H15" s="34" t="inlineStr">
        <is>
          <t>OK</t>
        </is>
      </c>
    </row>
    <row r="16" ht="15" customHeight="1" s="53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80.6575</v>
      </c>
      <c r="F16" s="34" t="inlineStr">
        <is>
          <t>THB</t>
        </is>
      </c>
      <c r="G16" s="75" t="n">
        <v>46171</v>
      </c>
      <c r="H16" s="34" t="inlineStr">
        <is>
          <t>OK</t>
        </is>
      </c>
    </row>
    <row r="17" ht="15" customHeight="1" s="53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52.9188</v>
      </c>
      <c r="F17" s="34" t="inlineStr">
        <is>
          <t>THB</t>
        </is>
      </c>
      <c r="G17" s="75" t="n">
        <v>46171</v>
      </c>
      <c r="H17" s="34" t="inlineStr">
        <is>
          <t>OK</t>
        </is>
      </c>
    </row>
    <row r="18" ht="15" customHeight="1" s="53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16.418</v>
      </c>
      <c r="F18" s="34" t="inlineStr">
        <is>
          <t>THB</t>
        </is>
      </c>
      <c r="G18" s="75" t="n">
        <v>46171</v>
      </c>
      <c r="H18" s="34" t="inlineStr">
        <is>
          <t>OK</t>
        </is>
      </c>
    </row>
    <row r="19" ht="15" customHeight="1" s="53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23.3983</v>
      </c>
      <c r="F19" s="34" t="inlineStr">
        <is>
          <t>THB</t>
        </is>
      </c>
      <c r="G19" s="75" t="n">
        <v>46171</v>
      </c>
      <c r="H19" s="34" t="inlineStr">
        <is>
          <t>OK</t>
        </is>
      </c>
    </row>
    <row r="20" ht="15" customHeight="1" s="53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41.5536</v>
      </c>
      <c r="F20" s="34" t="inlineStr">
        <is>
          <t>THB</t>
        </is>
      </c>
      <c r="G20" s="75" t="n">
        <v>46170</v>
      </c>
      <c r="H20" s="34" t="inlineStr">
        <is>
          <t>OK</t>
        </is>
      </c>
    </row>
    <row r="21" ht="15" customHeight="1" s="53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13.3525</v>
      </c>
      <c r="F21" s="34" t="inlineStr">
        <is>
          <t>THB</t>
        </is>
      </c>
      <c r="G21" s="75" t="n">
        <v>46171</v>
      </c>
      <c r="H21" s="34" t="inlineStr">
        <is>
          <t>OK</t>
        </is>
      </c>
    </row>
    <row r="22" ht="15" customHeight="1" s="53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13.1196</v>
      </c>
      <c r="F22" s="34" t="inlineStr">
        <is>
          <t>THB</t>
        </is>
      </c>
      <c r="G22" s="75" t="n">
        <v>46170</v>
      </c>
      <c r="H22" s="34" t="inlineStr">
        <is>
          <t>OK</t>
        </is>
      </c>
    </row>
    <row r="23" ht="15" customHeight="1" s="53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12.2892</v>
      </c>
      <c r="F23" s="34" t="inlineStr">
        <is>
          <t>THB</t>
        </is>
      </c>
      <c r="G23" s="75" t="n">
        <v>46171</v>
      </c>
      <c r="H23" s="34" t="inlineStr">
        <is>
          <t>OK</t>
        </is>
      </c>
    </row>
    <row r="24" ht="15" customHeight="1" s="53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12.123</v>
      </c>
      <c r="F24" s="34" t="inlineStr">
        <is>
          <t>THB</t>
        </is>
      </c>
      <c r="G24" s="75" t="n">
        <v>46170</v>
      </c>
      <c r="H24" s="34" t="inlineStr">
        <is>
          <t>OK</t>
        </is>
      </c>
    </row>
    <row r="25" ht="15" customHeight="1" s="53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9.9961</v>
      </c>
      <c r="F25" s="34" t="inlineStr">
        <is>
          <t>THB</t>
        </is>
      </c>
      <c r="G25" s="75" t="n">
        <v>46171</v>
      </c>
      <c r="H25" s="34" t="inlineStr">
        <is>
          <t>OK</t>
        </is>
      </c>
    </row>
    <row r="26" ht="15" customHeight="1" s="53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14.0272</v>
      </c>
      <c r="F26" s="34" t="inlineStr">
        <is>
          <t>THB</t>
        </is>
      </c>
      <c r="G26" s="75" t="n">
        <v>46171</v>
      </c>
      <c r="H26" s="34" t="inlineStr">
        <is>
          <t>OK</t>
        </is>
      </c>
    </row>
    <row r="27" ht="15" customHeight="1" s="53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16.9636</v>
      </c>
      <c r="F27" s="34" t="inlineStr">
        <is>
          <t>THB</t>
        </is>
      </c>
      <c r="G27" s="75" t="n">
        <v>46171</v>
      </c>
      <c r="H27" s="34" t="inlineStr">
        <is>
          <t>OK</t>
        </is>
      </c>
    </row>
    <row r="28" ht="15" customHeight="1" s="53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20.1019</v>
      </c>
      <c r="F28" s="34" t="inlineStr">
        <is>
          <t>THB</t>
        </is>
      </c>
      <c r="G28" s="75" t="n">
        <v>46171</v>
      </c>
      <c r="H28" s="34" t="inlineStr">
        <is>
          <t>OK</t>
        </is>
      </c>
    </row>
    <row r="29" ht="15" customHeight="1" s="53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28.2028</v>
      </c>
      <c r="F29" s="34" t="inlineStr">
        <is>
          <t>THB</t>
        </is>
      </c>
      <c r="G29" s="75" t="n">
        <v>46170</v>
      </c>
      <c r="H29" s="34" t="inlineStr">
        <is>
          <t>OK</t>
        </is>
      </c>
    </row>
    <row r="30" ht="15" customHeight="1" s="53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37.6341</v>
      </c>
      <c r="F30" s="34" t="inlineStr">
        <is>
          <t>THB</t>
        </is>
      </c>
      <c r="G30" s="75" t="n">
        <v>46170</v>
      </c>
      <c r="H30" s="34" t="inlineStr">
        <is>
          <t>OK</t>
        </is>
      </c>
    </row>
    <row r="31" ht="15" customHeight="1" s="53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12.8153</v>
      </c>
      <c r="F31" s="34" t="inlineStr">
        <is>
          <t>THB</t>
        </is>
      </c>
      <c r="G31" s="75" t="n">
        <v>46171</v>
      </c>
      <c r="H31" s="34" t="inlineStr">
        <is>
          <t>OK</t>
        </is>
      </c>
    </row>
    <row r="32" ht="15" customHeight="1" s="53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21.7034</v>
      </c>
      <c r="F32" s="34" t="inlineStr">
        <is>
          <t>THB</t>
        </is>
      </c>
      <c r="G32" s="75" t="n">
        <v>46171</v>
      </c>
      <c r="H32" s="34" t="inlineStr">
        <is>
          <t>OK</t>
        </is>
      </c>
    </row>
    <row r="33" ht="15" customHeight="1" s="53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12.446</v>
      </c>
      <c r="F33" s="34" t="inlineStr">
        <is>
          <t>THB</t>
        </is>
      </c>
      <c r="G33" s="75" t="n">
        <v>46171</v>
      </c>
      <c r="H33" s="34" t="inlineStr">
        <is>
          <t>OK</t>
        </is>
      </c>
    </row>
    <row r="34" ht="15" customHeight="1" s="53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16.2008</v>
      </c>
      <c r="F34" s="34" t="inlineStr">
        <is>
          <t>THB</t>
        </is>
      </c>
      <c r="G34" s="75" t="n">
        <v>46171</v>
      </c>
      <c r="H34" s="34" t="inlineStr">
        <is>
          <t>OK</t>
        </is>
      </c>
    </row>
    <row r="35" ht="15" customHeight="1" s="53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29.0432</v>
      </c>
      <c r="F35" s="34" t="inlineStr">
        <is>
          <t>THB</t>
        </is>
      </c>
      <c r="G35" s="75" t="n">
        <v>46170</v>
      </c>
      <c r="H35" s="34" t="inlineStr">
        <is>
          <t>OK</t>
        </is>
      </c>
    </row>
    <row r="36" ht="15" customHeight="1" s="53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9.968</v>
      </c>
      <c r="F36" s="34" t="inlineStr">
        <is>
          <t>THB</t>
        </is>
      </c>
      <c r="G36" s="75" t="n">
        <v>46171</v>
      </c>
      <c r="H36" s="34" t="inlineStr">
        <is>
          <t>OK</t>
        </is>
      </c>
    </row>
    <row r="37" ht="15" customHeight="1" s="53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22.387</v>
      </c>
      <c r="F37" s="34" t="inlineStr">
        <is>
          <t>THB</t>
        </is>
      </c>
      <c r="G37" s="75" t="n">
        <v>46171</v>
      </c>
      <c r="H37" s="34" t="inlineStr">
        <is>
          <t>OK</t>
        </is>
      </c>
    </row>
    <row r="38" ht="15" customHeight="1" s="53">
      <c r="A38" s="35">
        <f>B38&amp;"|"&amp;C38&amp;"|"&amp;D38</f>
        <v/>
      </c>
      <c r="B38" s="9" t="inlineStr">
        <is>
          <t>Equity</t>
        </is>
      </c>
      <c r="C38" s="35" t="inlineStr">
        <is>
          <t>BANPU</t>
        </is>
      </c>
      <c r="D38" s="35" t="inlineStr">
        <is>
          <t>Asia Plus Securities</t>
        </is>
      </c>
      <c r="E38" s="33" t="n">
        <v>5.7</v>
      </c>
      <c r="F38" s="34" t="inlineStr">
        <is>
          <t>THB</t>
        </is>
      </c>
      <c r="G38" s="75" t="n">
        <v>46173</v>
      </c>
      <c r="H38" s="34" t="inlineStr">
        <is>
          <t>OK</t>
        </is>
      </c>
    </row>
    <row r="39" ht="15" customHeight="1" s="53">
      <c r="A39" s="35">
        <f>B39&amp;"|"&amp;C39&amp;"|"&amp;D39</f>
        <v/>
      </c>
      <c r="B39" s="9" t="inlineStr">
        <is>
          <t>Equity</t>
        </is>
      </c>
      <c r="C39" s="35" t="inlineStr">
        <is>
          <t>BBL</t>
        </is>
      </c>
      <c r="D39" s="35" t="inlineStr">
        <is>
          <t>Asia Plus Securities</t>
        </is>
      </c>
      <c r="E39" s="33" t="n">
        <v>173</v>
      </c>
      <c r="F39" s="34" t="inlineStr">
        <is>
          <t>THB</t>
        </is>
      </c>
      <c r="G39" s="75" t="n">
        <v>46173</v>
      </c>
      <c r="H39" s="34" t="inlineStr">
        <is>
          <t>OK</t>
        </is>
      </c>
    </row>
    <row r="40" ht="15" customHeight="1" s="53">
      <c r="A40" s="35">
        <f>B40&amp;"|"&amp;C40&amp;"|"&amp;D40</f>
        <v/>
      </c>
      <c r="B40" s="9" t="inlineStr">
        <is>
          <t>Equity</t>
        </is>
      </c>
      <c r="C40" s="35" t="inlineStr">
        <is>
          <t>BLAND</t>
        </is>
      </c>
      <c r="D40" s="35" t="inlineStr">
        <is>
          <t>Asia Plus Securities</t>
        </is>
      </c>
      <c r="E40" s="33" t="n">
        <v>0.44</v>
      </c>
      <c r="F40" s="34" t="inlineStr">
        <is>
          <t>THB</t>
        </is>
      </c>
      <c r="G40" s="75" t="n">
        <v>46173</v>
      </c>
      <c r="H40" s="34" t="inlineStr">
        <is>
          <t>OK</t>
        </is>
      </c>
    </row>
    <row r="41" ht="15" customHeight="1" s="53">
      <c r="A41" s="35">
        <f>B41&amp;"|"&amp;C41&amp;"|"&amp;D41</f>
        <v/>
      </c>
      <c r="B41" s="9" t="inlineStr">
        <is>
          <t>Equity</t>
        </is>
      </c>
      <c r="C41" s="35" t="inlineStr">
        <is>
          <t>BWG</t>
        </is>
      </c>
      <c r="D41" s="35" t="inlineStr">
        <is>
          <t>Asia Plus Securities</t>
        </is>
      </c>
      <c r="E41" s="33" t="n">
        <v>0.32</v>
      </c>
      <c r="F41" s="34" t="inlineStr">
        <is>
          <t>THB</t>
        </is>
      </c>
      <c r="G41" s="75" t="n">
        <v>46173</v>
      </c>
      <c r="H41" s="34" t="inlineStr">
        <is>
          <t>OK</t>
        </is>
      </c>
    </row>
    <row r="42" ht="15" customHeight="1" s="53">
      <c r="A42" s="35">
        <f>B42&amp;"|"&amp;C42&amp;"|"&amp;D42</f>
        <v/>
      </c>
      <c r="B42" s="9" t="inlineStr">
        <is>
          <t>Equity</t>
        </is>
      </c>
      <c r="C42" s="35" t="inlineStr">
        <is>
          <t>BWG-W7</t>
        </is>
      </c>
      <c r="D42" s="35" t="inlineStr">
        <is>
          <t>Asia Plus Securities</t>
        </is>
      </c>
      <c r="E42" s="33" t="n">
        <v>0.05</v>
      </c>
      <c r="F42" s="34" t="inlineStr">
        <is>
          <t>THB</t>
        </is>
      </c>
      <c r="G42" s="75" t="n">
        <v>46165</v>
      </c>
      <c r="H42" s="34" t="inlineStr">
        <is>
          <t>MANUAL</t>
        </is>
      </c>
    </row>
    <row r="43" ht="15" customHeight="1" s="53">
      <c r="A43" s="35">
        <f>B43&amp;"|"&amp;C43&amp;"|"&amp;D43</f>
        <v/>
      </c>
      <c r="B43" s="9" t="inlineStr">
        <is>
          <t>Equity</t>
        </is>
      </c>
      <c r="C43" s="35" t="inlineStr">
        <is>
          <t>GSTEEL</t>
        </is>
      </c>
      <c r="D43" s="35" t="inlineStr">
        <is>
          <t>Asia Plus Securities</t>
        </is>
      </c>
      <c r="E43" s="33" t="n">
        <v>0.09</v>
      </c>
      <c r="F43" s="34" t="inlineStr">
        <is>
          <t>THB</t>
        </is>
      </c>
      <c r="G43" s="75" t="n">
        <v>46173</v>
      </c>
      <c r="H43" s="34" t="inlineStr">
        <is>
          <t>OK</t>
        </is>
      </c>
    </row>
    <row r="44" ht="15" customHeight="1" s="53">
      <c r="A44" s="35">
        <f>B44&amp;"|"&amp;C44&amp;"|"&amp;D44</f>
        <v/>
      </c>
      <c r="B44" s="9" t="inlineStr">
        <is>
          <t>Equity</t>
        </is>
      </c>
      <c r="C44" s="35" t="inlineStr">
        <is>
          <t>GULF</t>
        </is>
      </c>
      <c r="D44" s="35" t="inlineStr">
        <is>
          <t>Asia Plus Securities</t>
        </is>
      </c>
      <c r="E44" s="33" t="n">
        <v>62</v>
      </c>
      <c r="F44" s="34" t="inlineStr">
        <is>
          <t>THB</t>
        </is>
      </c>
      <c r="G44" s="75" t="n">
        <v>46173</v>
      </c>
      <c r="H44" s="34" t="inlineStr">
        <is>
          <t>OK</t>
        </is>
      </c>
    </row>
    <row r="45" ht="15" customHeight="1" s="53">
      <c r="A45" s="35">
        <f>B45&amp;"|"&amp;C45&amp;"|"&amp;D45</f>
        <v/>
      </c>
      <c r="B45" s="9" t="inlineStr">
        <is>
          <t>Equity</t>
        </is>
      </c>
      <c r="C45" s="35" t="inlineStr">
        <is>
          <t>NETBAY</t>
        </is>
      </c>
      <c r="D45" s="35" t="inlineStr">
        <is>
          <t>Asia Plus Securities</t>
        </is>
      </c>
      <c r="E45" s="33" t="n">
        <v>9.5</v>
      </c>
      <c r="F45" s="34" t="inlineStr">
        <is>
          <t>THB</t>
        </is>
      </c>
      <c r="G45" s="75" t="n">
        <v>46173</v>
      </c>
      <c r="H45" s="34" t="inlineStr">
        <is>
          <t>OK</t>
        </is>
      </c>
    </row>
    <row r="46" ht="15" customHeight="1" s="53">
      <c r="A46" s="35">
        <f>B46&amp;"|"&amp;C46&amp;"|"&amp;D46</f>
        <v/>
      </c>
      <c r="B46" s="9" t="inlineStr">
        <is>
          <t>Equity</t>
        </is>
      </c>
      <c r="C46" s="35" t="inlineStr">
        <is>
          <t>OSP</t>
        </is>
      </c>
      <c r="D46" s="35" t="inlineStr">
        <is>
          <t>Asia Plus Securities</t>
        </is>
      </c>
      <c r="E46" s="33" t="n">
        <v>15.3</v>
      </c>
      <c r="F46" s="34" t="inlineStr">
        <is>
          <t>THB</t>
        </is>
      </c>
      <c r="G46" s="75" t="n">
        <v>46173</v>
      </c>
      <c r="H46" s="34" t="inlineStr">
        <is>
          <t>OK</t>
        </is>
      </c>
    </row>
    <row r="47" ht="15" customHeight="1" s="53">
      <c r="A47" s="35">
        <f>B47&amp;"|"&amp;C47&amp;"|"&amp;D47</f>
        <v/>
      </c>
      <c r="B47" s="9" t="inlineStr">
        <is>
          <t>Equity</t>
        </is>
      </c>
      <c r="C47" s="35" t="inlineStr">
        <is>
          <t>RJH</t>
        </is>
      </c>
      <c r="D47" s="35" t="inlineStr">
        <is>
          <t>Asia Plus Securities</t>
        </is>
      </c>
      <c r="E47" s="33" t="n">
        <v>13</v>
      </c>
      <c r="F47" s="34" t="inlineStr">
        <is>
          <t>THB</t>
        </is>
      </c>
      <c r="G47" s="75" t="n">
        <v>46173</v>
      </c>
      <c r="H47" s="34" t="inlineStr">
        <is>
          <t>OK</t>
        </is>
      </c>
    </row>
    <row r="48" ht="15" customHeight="1" s="53">
      <c r="A48" s="35">
        <f>B48&amp;"|"&amp;C48&amp;"|"&amp;D48</f>
        <v/>
      </c>
      <c r="B48" s="9" t="inlineStr">
        <is>
          <t>Equity</t>
        </is>
      </c>
      <c r="C48" s="35" t="inlineStr">
        <is>
          <t>SAMART</t>
        </is>
      </c>
      <c r="D48" s="35" t="inlineStr">
        <is>
          <t>Asia Plus Securities</t>
        </is>
      </c>
      <c r="E48" s="33" t="n">
        <v>5.5</v>
      </c>
      <c r="F48" s="34" t="inlineStr">
        <is>
          <t>THB</t>
        </is>
      </c>
      <c r="G48" s="75" t="n">
        <v>46173</v>
      </c>
      <c r="H48" s="34" t="inlineStr">
        <is>
          <t>OK</t>
        </is>
      </c>
    </row>
    <row r="49" ht="15" customHeight="1" s="53">
      <c r="A49" s="35">
        <f>B49&amp;"|"&amp;C49&amp;"|"&amp;D49</f>
        <v/>
      </c>
      <c r="B49" s="9" t="inlineStr">
        <is>
          <t>Equity</t>
        </is>
      </c>
      <c r="C49" s="35" t="inlineStr">
        <is>
          <t>SAWAD</t>
        </is>
      </c>
      <c r="D49" s="35" t="inlineStr">
        <is>
          <t>Asia Plus Securities</t>
        </is>
      </c>
      <c r="E49" s="33" t="n">
        <v>21.9</v>
      </c>
      <c r="F49" s="34" t="inlineStr">
        <is>
          <t>THB</t>
        </is>
      </c>
      <c r="G49" s="75" t="n">
        <v>46173</v>
      </c>
      <c r="H49" s="34" t="inlineStr">
        <is>
          <t>OK</t>
        </is>
      </c>
    </row>
    <row r="50" ht="15" customHeight="1" s="53">
      <c r="A50" s="35">
        <f>B50&amp;"|"&amp;C50&amp;"|"&amp;D50</f>
        <v/>
      </c>
      <c r="B50" s="9" t="inlineStr">
        <is>
          <t>Equity</t>
        </is>
      </c>
      <c r="C50" s="35" t="inlineStr">
        <is>
          <t>WORK</t>
        </is>
      </c>
      <c r="D50" s="35" t="inlineStr">
        <is>
          <t>Asia Plus Securities</t>
        </is>
      </c>
      <c r="E50" s="33" t="n">
        <v>3.54</v>
      </c>
      <c r="F50" s="34" t="inlineStr">
        <is>
          <t>THB</t>
        </is>
      </c>
      <c r="G50" s="75" t="n">
        <v>46173</v>
      </c>
      <c r="H50" s="34" t="inlineStr">
        <is>
          <t>OK</t>
        </is>
      </c>
    </row>
    <row r="51" ht="15" customHeight="1" s="53">
      <c r="A51" s="35">
        <f>B51&amp;"|"&amp;C51&amp;"|"&amp;D51</f>
        <v/>
      </c>
      <c r="B51" s="9" t="inlineStr">
        <is>
          <t>Equity</t>
        </is>
      </c>
      <c r="C51" s="35" t="inlineStr">
        <is>
          <t>HUMAN</t>
        </is>
      </c>
      <c r="D51" s="35" t="inlineStr">
        <is>
          <t>DBS Vickers</t>
        </is>
      </c>
      <c r="E51" s="33" t="n">
        <v>4.6</v>
      </c>
      <c r="F51" s="34" t="inlineStr">
        <is>
          <t>THB</t>
        </is>
      </c>
      <c r="G51" s="75" t="n">
        <v>46173</v>
      </c>
      <c r="H51" s="34" t="inlineStr">
        <is>
          <t>OK</t>
        </is>
      </c>
    </row>
    <row r="52" ht="15" customHeight="1" s="53">
      <c r="A52" s="35">
        <f>B52&amp;"|"&amp;C52&amp;"|"&amp;D52</f>
        <v/>
      </c>
      <c r="B52" s="9" t="inlineStr">
        <is>
          <t>Equity</t>
        </is>
      </c>
      <c r="C52" s="35" t="inlineStr">
        <is>
          <t>NCAP</t>
        </is>
      </c>
      <c r="D52" s="35" t="inlineStr">
        <is>
          <t>DBS Vickers</t>
        </is>
      </c>
      <c r="E52" s="33" t="n">
        <v>2.76</v>
      </c>
      <c r="F52" s="34" t="inlineStr">
        <is>
          <t>THB</t>
        </is>
      </c>
      <c r="G52" s="75" t="n">
        <v>46173</v>
      </c>
      <c r="H52" s="34" t="inlineStr">
        <is>
          <t>OK</t>
        </is>
      </c>
    </row>
    <row r="53" ht="15" customHeight="1" s="53">
      <c r="A53" s="35">
        <f>B53&amp;"|"&amp;C53&amp;"|"&amp;D53</f>
        <v/>
      </c>
      <c r="B53" s="9" t="inlineStr">
        <is>
          <t>Equity</t>
        </is>
      </c>
      <c r="C53" s="35" t="inlineStr">
        <is>
          <t>OR</t>
        </is>
      </c>
      <c r="D53" s="35" t="inlineStr">
        <is>
          <t>DBS Vickers</t>
        </is>
      </c>
      <c r="E53" s="33" t="n">
        <v>12.4</v>
      </c>
      <c r="F53" s="34" t="inlineStr">
        <is>
          <t>THB</t>
        </is>
      </c>
      <c r="G53" s="75" t="n">
        <v>46173</v>
      </c>
      <c r="H53" s="34" t="inlineStr">
        <is>
          <t>OK</t>
        </is>
      </c>
    </row>
    <row r="54" ht="15" customHeight="1" s="53">
      <c r="A54" s="35">
        <f>B54&amp;"|"&amp;C54&amp;"|"&amp;D54</f>
        <v/>
      </c>
      <c r="B54" s="9" t="inlineStr">
        <is>
          <t>Equity</t>
        </is>
      </c>
      <c r="C54" s="35" t="inlineStr">
        <is>
          <t>TIDLOR</t>
        </is>
      </c>
      <c r="D54" s="35" t="inlineStr">
        <is>
          <t>DBS Vickers</t>
        </is>
      </c>
      <c r="E54" s="33" t="n">
        <v>18.3</v>
      </c>
      <c r="F54" s="34" t="inlineStr">
        <is>
          <t>THB</t>
        </is>
      </c>
      <c r="G54" s="75" t="n">
        <v>46173</v>
      </c>
      <c r="H54" s="34" t="inlineStr">
        <is>
          <t>OK</t>
        </is>
      </c>
    </row>
    <row r="55" ht="15" customHeight="1" s="53">
      <c r="A55" s="35">
        <f>B55&amp;"|"&amp;C55&amp;"|"&amp;D55</f>
        <v/>
      </c>
      <c r="B55" s="9" t="inlineStr">
        <is>
          <t>Equity</t>
        </is>
      </c>
      <c r="C55" s="35" t="inlineStr">
        <is>
          <t>ACLS</t>
        </is>
      </c>
      <c r="D55" s="35" t="inlineStr">
        <is>
          <t>Dime</t>
        </is>
      </c>
      <c r="E55" s="33" t="n">
        <v>150.41</v>
      </c>
      <c r="F55" s="34" t="inlineStr">
        <is>
          <t>USD</t>
        </is>
      </c>
      <c r="G55" s="75" t="n">
        <v>46173</v>
      </c>
      <c r="H55" s="34" t="inlineStr">
        <is>
          <t>OK</t>
        </is>
      </c>
    </row>
    <row r="56" ht="15" customHeight="1" s="53">
      <c r="A56" s="35">
        <f>B56&amp;"|"&amp;C56&amp;"|"&amp;D56</f>
        <v/>
      </c>
      <c r="B56" s="9" t="inlineStr">
        <is>
          <t>Equity</t>
        </is>
      </c>
      <c r="C56" s="35" t="inlineStr">
        <is>
          <t>ADBE</t>
        </is>
      </c>
      <c r="D56" s="35" t="inlineStr">
        <is>
          <t>Dime</t>
        </is>
      </c>
      <c r="E56" s="33" t="n">
        <v>259.21</v>
      </c>
      <c r="F56" s="34" t="inlineStr">
        <is>
          <t>USD</t>
        </is>
      </c>
      <c r="G56" s="75" t="n">
        <v>46173</v>
      </c>
      <c r="H56" s="34" t="inlineStr">
        <is>
          <t>OK</t>
        </is>
      </c>
    </row>
    <row r="57" ht="15" customHeight="1" s="53">
      <c r="A57" s="35">
        <f>B57&amp;"|"&amp;C57&amp;"|"&amp;D57</f>
        <v/>
      </c>
      <c r="B57" s="9" t="inlineStr">
        <is>
          <t>Equity</t>
        </is>
      </c>
      <c r="C57" s="35" t="inlineStr">
        <is>
          <t>AMAT</t>
        </is>
      </c>
      <c r="D57" s="35" t="inlineStr">
        <is>
          <t>Dime</t>
        </is>
      </c>
      <c r="E57" s="33" t="n">
        <v>450.06</v>
      </c>
      <c r="F57" s="34" t="inlineStr">
        <is>
          <t>USD</t>
        </is>
      </c>
      <c r="G57" s="75" t="n">
        <v>46173</v>
      </c>
      <c r="H57" s="34" t="inlineStr">
        <is>
          <t>OK</t>
        </is>
      </c>
    </row>
    <row r="58" ht="15" customHeight="1" s="53">
      <c r="A58" s="35">
        <f>B58&amp;"|"&amp;C58&amp;"|"&amp;D58</f>
        <v/>
      </c>
      <c r="B58" s="9" t="inlineStr">
        <is>
          <t>Equity</t>
        </is>
      </c>
      <c r="C58" s="35" t="inlineStr">
        <is>
          <t>CRUS</t>
        </is>
      </c>
      <c r="D58" s="35" t="inlineStr">
        <is>
          <t>Dime</t>
        </is>
      </c>
      <c r="E58" s="33" t="n">
        <v>169.95</v>
      </c>
      <c r="F58" s="34" t="inlineStr">
        <is>
          <t>USD</t>
        </is>
      </c>
      <c r="G58" s="75" t="n">
        <v>46173</v>
      </c>
      <c r="H58" s="34" t="inlineStr">
        <is>
          <t>OK</t>
        </is>
      </c>
    </row>
    <row r="59" ht="15" customHeight="1" s="53">
      <c r="A59" s="35">
        <f>B59&amp;"|"&amp;C59&amp;"|"&amp;D59</f>
        <v/>
      </c>
      <c r="B59" s="9" t="inlineStr">
        <is>
          <t>Equity</t>
        </is>
      </c>
      <c r="C59" s="35" t="inlineStr">
        <is>
          <t>ENPH</t>
        </is>
      </c>
      <c r="D59" s="35" t="inlineStr">
        <is>
          <t>Dime</t>
        </is>
      </c>
      <c r="E59" s="33" t="n">
        <v>68.36</v>
      </c>
      <c r="F59" s="34" t="inlineStr">
        <is>
          <t>USD</t>
        </is>
      </c>
      <c r="G59" s="75" t="n">
        <v>46173</v>
      </c>
      <c r="H59" s="34" t="inlineStr">
        <is>
          <t>OK</t>
        </is>
      </c>
    </row>
    <row r="60" ht="15" customHeight="1" s="53">
      <c r="A60" s="35">
        <f>B60&amp;"|"&amp;C60&amp;"|"&amp;D60</f>
        <v/>
      </c>
      <c r="B60" s="9" t="inlineStr">
        <is>
          <t>Equity</t>
        </is>
      </c>
      <c r="C60" s="35" t="inlineStr">
        <is>
          <t>EWY</t>
        </is>
      </c>
      <c r="D60" s="35" t="inlineStr">
        <is>
          <t>Dime</t>
        </is>
      </c>
      <c r="E60" s="33" t="n">
        <v>205.83</v>
      </c>
      <c r="F60" s="34" t="inlineStr">
        <is>
          <t>USD</t>
        </is>
      </c>
      <c r="G60" s="75" t="n">
        <v>46173</v>
      </c>
      <c r="H60" s="34" t="inlineStr">
        <is>
          <t>OK</t>
        </is>
      </c>
    </row>
    <row r="61" ht="15" customHeight="1" s="53">
      <c r="A61" s="35">
        <f>B61&amp;"|"&amp;C61&amp;"|"&amp;D61</f>
        <v/>
      </c>
      <c r="B61" s="9" t="inlineStr">
        <is>
          <t>Equity</t>
        </is>
      </c>
      <c r="C61" s="35" t="inlineStr">
        <is>
          <t>FTNT</t>
        </is>
      </c>
      <c r="D61" s="35" t="inlineStr">
        <is>
          <t>Dime</t>
        </is>
      </c>
      <c r="E61" s="33" t="n">
        <v>137.97</v>
      </c>
      <c r="F61" s="34" t="inlineStr">
        <is>
          <t>USD</t>
        </is>
      </c>
      <c r="G61" s="75" t="n">
        <v>46173</v>
      </c>
      <c r="H61" s="34" t="inlineStr">
        <is>
          <t>OK</t>
        </is>
      </c>
    </row>
    <row r="62" ht="15" customHeight="1" s="53">
      <c r="A62" s="35">
        <f>B62&amp;"|"&amp;C62&amp;"|"&amp;D62</f>
        <v/>
      </c>
      <c r="B62" s="9" t="inlineStr">
        <is>
          <t>Equity</t>
        </is>
      </c>
      <c r="C62" s="35" t="inlineStr">
        <is>
          <t>IT</t>
        </is>
      </c>
      <c r="D62" s="35" t="inlineStr">
        <is>
          <t>Dime</t>
        </is>
      </c>
      <c r="E62" s="33" t="n">
        <v>162.2</v>
      </c>
      <c r="F62" s="34" t="inlineStr">
        <is>
          <t>USD</t>
        </is>
      </c>
      <c r="G62" s="75" t="n">
        <v>46173</v>
      </c>
      <c r="H62" s="34" t="inlineStr">
        <is>
          <t>OK</t>
        </is>
      </c>
    </row>
    <row r="63" ht="15" customHeight="1" s="53">
      <c r="A63" s="35">
        <f>B63&amp;"|"&amp;C63&amp;"|"&amp;D63</f>
        <v/>
      </c>
      <c r="B63" s="9" t="inlineStr">
        <is>
          <t>Equity</t>
        </is>
      </c>
      <c r="C63" s="35" t="inlineStr">
        <is>
          <t>KLAC</t>
        </is>
      </c>
      <c r="D63" s="35" t="inlineStr">
        <is>
          <t>Dime</t>
        </is>
      </c>
      <c r="E63" s="33" t="n">
        <v>1921.71</v>
      </c>
      <c r="F63" s="34" t="inlineStr">
        <is>
          <t>USD</t>
        </is>
      </c>
      <c r="G63" s="75" t="n">
        <v>46173</v>
      </c>
      <c r="H63" s="34" t="inlineStr">
        <is>
          <t>OK</t>
        </is>
      </c>
    </row>
    <row r="64" ht="15" customHeight="1" s="53">
      <c r="A64" s="35">
        <f>B64&amp;"|"&amp;C64&amp;"|"&amp;D64</f>
        <v/>
      </c>
      <c r="B64" s="9" t="inlineStr">
        <is>
          <t>Equity</t>
        </is>
      </c>
      <c r="C64" s="35" t="inlineStr">
        <is>
          <t>LLY</t>
        </is>
      </c>
      <c r="D64" s="35" t="inlineStr">
        <is>
          <t>Dime</t>
        </is>
      </c>
      <c r="E64" s="33" t="n">
        <v>1105</v>
      </c>
      <c r="F64" s="34" t="inlineStr">
        <is>
          <t>USD</t>
        </is>
      </c>
      <c r="G64" s="75" t="n">
        <v>46173</v>
      </c>
      <c r="H64" s="34" t="inlineStr">
        <is>
          <t>OK</t>
        </is>
      </c>
    </row>
    <row r="65" ht="15" customHeight="1" s="53">
      <c r="A65" s="35">
        <f>B65&amp;"|"&amp;C65&amp;"|"&amp;D65</f>
        <v/>
      </c>
      <c r="B65" s="9" t="inlineStr">
        <is>
          <t>Equity</t>
        </is>
      </c>
      <c r="C65" s="35" t="inlineStr">
        <is>
          <t>MCHP</t>
        </is>
      </c>
      <c r="D65" s="35" t="inlineStr">
        <is>
          <t>Dime</t>
        </is>
      </c>
      <c r="E65" s="33" t="n">
        <v>94.65000000000001</v>
      </c>
      <c r="F65" s="34" t="inlineStr">
        <is>
          <t>USD</t>
        </is>
      </c>
      <c r="G65" s="75" t="n">
        <v>46173</v>
      </c>
      <c r="H65" s="34" t="inlineStr">
        <is>
          <t>OK</t>
        </is>
      </c>
    </row>
    <row r="66" ht="15" customHeight="1" s="53">
      <c r="A66" s="35">
        <f>B66&amp;"|"&amp;C66&amp;"|"&amp;D66</f>
        <v/>
      </c>
      <c r="B66" s="9" t="inlineStr">
        <is>
          <t>Equity</t>
        </is>
      </c>
      <c r="C66" s="35" t="inlineStr">
        <is>
          <t>MPWR</t>
        </is>
      </c>
      <c r="D66" s="35" t="inlineStr">
        <is>
          <t>Dime</t>
        </is>
      </c>
      <c r="E66" s="33" t="n">
        <v>1566.21</v>
      </c>
      <c r="F66" s="34" t="inlineStr">
        <is>
          <t>USD</t>
        </is>
      </c>
      <c r="G66" s="75" t="n">
        <v>46173</v>
      </c>
      <c r="H66" s="34" t="inlineStr">
        <is>
          <t>OK</t>
        </is>
      </c>
    </row>
    <row r="67" ht="15" customHeight="1" s="53">
      <c r="A67" s="35">
        <f>B67&amp;"|"&amp;C67&amp;"|"&amp;D67</f>
        <v/>
      </c>
      <c r="B67" s="9" t="inlineStr">
        <is>
          <t>Equity</t>
        </is>
      </c>
      <c r="C67" s="35" t="inlineStr">
        <is>
          <t>NSIT</t>
        </is>
      </c>
      <c r="D67" s="35" t="inlineStr">
        <is>
          <t>Dime</t>
        </is>
      </c>
      <c r="E67" s="33" t="n">
        <v>106.38</v>
      </c>
      <c r="F67" s="34" t="inlineStr">
        <is>
          <t>USD</t>
        </is>
      </c>
      <c r="G67" s="75" t="n">
        <v>46173</v>
      </c>
      <c r="H67" s="34" t="inlineStr">
        <is>
          <t>OK</t>
        </is>
      </c>
    </row>
    <row r="68" ht="15" customHeight="1" s="53">
      <c r="A68" s="35">
        <f>B68&amp;"|"&amp;C68&amp;"|"&amp;D68</f>
        <v/>
      </c>
      <c r="B68" s="9" t="inlineStr">
        <is>
          <t>Equity</t>
        </is>
      </c>
      <c r="C68" s="35" t="inlineStr">
        <is>
          <t>NVDA</t>
        </is>
      </c>
      <c r="D68" s="35" t="inlineStr">
        <is>
          <t>Dime</t>
        </is>
      </c>
      <c r="E68" s="33" t="n">
        <v>211.14</v>
      </c>
      <c r="F68" s="34" t="inlineStr">
        <is>
          <t>USD</t>
        </is>
      </c>
      <c r="G68" s="75" t="n">
        <v>46173</v>
      </c>
      <c r="H68" s="34" t="inlineStr">
        <is>
          <t>OK</t>
        </is>
      </c>
    </row>
    <row r="69" ht="15" customHeight="1" s="53">
      <c r="A69" s="35">
        <f>B69&amp;"|"&amp;C69&amp;"|"&amp;D69</f>
        <v/>
      </c>
      <c r="B69" s="9" t="inlineStr">
        <is>
          <t>Equity</t>
        </is>
      </c>
      <c r="C69" s="35" t="inlineStr">
        <is>
          <t>OLED</t>
        </is>
      </c>
      <c r="D69" s="35" t="inlineStr">
        <is>
          <t>Dime</t>
        </is>
      </c>
      <c r="E69" s="33" t="n">
        <v>92.12</v>
      </c>
      <c r="F69" s="34" t="inlineStr">
        <is>
          <t>USD</t>
        </is>
      </c>
      <c r="G69" s="75" t="n">
        <v>46173</v>
      </c>
      <c r="H69" s="34" t="inlineStr">
        <is>
          <t>OK</t>
        </is>
      </c>
    </row>
    <row r="70" ht="15" customHeight="1" s="53">
      <c r="A70" s="35">
        <f>B70&amp;"|"&amp;C70&amp;"|"&amp;D70</f>
        <v/>
      </c>
      <c r="B70" s="9" t="inlineStr">
        <is>
          <t>Equity</t>
        </is>
      </c>
      <c r="C70" s="35" t="inlineStr">
        <is>
          <t>QRVO</t>
        </is>
      </c>
      <c r="D70" s="35" t="inlineStr">
        <is>
          <t>Dime</t>
        </is>
      </c>
      <c r="E70" s="33" t="n">
        <v>103.56</v>
      </c>
      <c r="F70" s="34" t="inlineStr">
        <is>
          <t>USD</t>
        </is>
      </c>
      <c r="G70" s="75" t="n">
        <v>46173</v>
      </c>
      <c r="H70" s="34" t="inlineStr">
        <is>
          <t>OK</t>
        </is>
      </c>
    </row>
    <row r="71" ht="15" customHeight="1" s="53">
      <c r="A71" s="35">
        <f>B71&amp;"|"&amp;C71&amp;"|"&amp;D71</f>
        <v/>
      </c>
      <c r="B71" s="9" t="inlineStr">
        <is>
          <t>Equity</t>
        </is>
      </c>
      <c r="C71" s="35" t="inlineStr">
        <is>
          <t>TER</t>
        </is>
      </c>
      <c r="D71" s="35" t="inlineStr">
        <is>
          <t>Dime</t>
        </is>
      </c>
      <c r="E71" s="33" t="n">
        <v>374.31</v>
      </c>
      <c r="F71" s="34" t="inlineStr">
        <is>
          <t>USD</t>
        </is>
      </c>
      <c r="G71" s="75" t="n">
        <v>46173</v>
      </c>
      <c r="H71" s="34" t="inlineStr">
        <is>
          <t>OK</t>
        </is>
      </c>
    </row>
    <row r="72" ht="15" customHeight="1" s="53">
      <c r="A72" s="35">
        <f>B72&amp;"|"&amp;C72&amp;"|"&amp;D72</f>
        <v/>
      </c>
      <c r="B72" s="9" t="inlineStr">
        <is>
          <t>Equity</t>
        </is>
      </c>
      <c r="C72" s="35" t="inlineStr">
        <is>
          <t>TSLA</t>
        </is>
      </c>
      <c r="D72" s="35" t="inlineStr">
        <is>
          <t>Dime</t>
        </is>
      </c>
      <c r="E72" s="33" t="n">
        <v>435.79</v>
      </c>
      <c r="F72" s="34" t="inlineStr">
        <is>
          <t>USD</t>
        </is>
      </c>
      <c r="G72" s="75" t="n">
        <v>46173</v>
      </c>
      <c r="H72" s="34" t="inlineStr">
        <is>
          <t>OK</t>
        </is>
      </c>
    </row>
    <row r="73" ht="15" customHeight="1" s="53">
      <c r="A73" s="35">
        <f>B73&amp;"|"&amp;C73&amp;"|"&amp;D73</f>
        <v/>
      </c>
      <c r="B73" s="9" t="inlineStr">
        <is>
          <t>Equity</t>
        </is>
      </c>
      <c r="C73" s="35" t="inlineStr">
        <is>
          <t>YOU</t>
        </is>
      </c>
      <c r="D73" s="35" t="inlineStr">
        <is>
          <t>Dime</t>
        </is>
      </c>
      <c r="E73" s="33" t="n">
        <v>55.45</v>
      </c>
      <c r="F73" s="34" t="inlineStr">
        <is>
          <t>USD</t>
        </is>
      </c>
      <c r="G73" s="75" t="n">
        <v>46173</v>
      </c>
      <c r="H73" s="34" t="inlineStr">
        <is>
          <t>OK</t>
        </is>
      </c>
    </row>
    <row r="74" ht="15" customHeight="1" s="53">
      <c r="A74" s="35">
        <f>B74&amp;"|"&amp;C74&amp;"|"&amp;D74</f>
        <v/>
      </c>
      <c r="B74" s="9" t="inlineStr">
        <is>
          <t>Equity</t>
        </is>
      </c>
      <c r="C74" s="35" t="inlineStr">
        <is>
          <t>REMX</t>
        </is>
      </c>
      <c r="D74" s="35" t="inlineStr">
        <is>
          <t>SCB SG</t>
        </is>
      </c>
      <c r="E74" s="33" t="n">
        <v>99.63</v>
      </c>
      <c r="F74" s="34" t="inlineStr">
        <is>
          <t>USD</t>
        </is>
      </c>
      <c r="G74" s="75" t="n">
        <v>46173</v>
      </c>
      <c r="H74" s="34" t="inlineStr">
        <is>
          <t>OK</t>
        </is>
      </c>
    </row>
    <row r="75" ht="15" customHeight="1" s="53">
      <c r="A75" s="35">
        <f>B75&amp;"|"&amp;C75&amp;"|"&amp;D75</f>
        <v/>
      </c>
      <c r="B75" s="9" t="inlineStr">
        <is>
          <t>Equity</t>
        </is>
      </c>
      <c r="C75" s="35" t="inlineStr">
        <is>
          <t>AAPL</t>
        </is>
      </c>
      <c r="D75" s="35" t="inlineStr">
        <is>
          <t>SCB SG</t>
        </is>
      </c>
      <c r="E75" s="33" t="n">
        <v>312.06</v>
      </c>
      <c r="F75" s="34" t="inlineStr">
        <is>
          <t>USD</t>
        </is>
      </c>
      <c r="G75" s="75" t="n">
        <v>46173</v>
      </c>
      <c r="H75" s="34" t="inlineStr">
        <is>
          <t>OK</t>
        </is>
      </c>
    </row>
    <row r="76" ht="15" customHeight="1" s="53">
      <c r="A76" s="35">
        <f>B76&amp;"|"&amp;C76&amp;"|"&amp;D76</f>
        <v/>
      </c>
      <c r="B76" s="9" t="inlineStr">
        <is>
          <t>Equity</t>
        </is>
      </c>
      <c r="C76" s="35" t="inlineStr">
        <is>
          <t>COIN</t>
        </is>
      </c>
      <c r="D76" s="35" t="inlineStr">
        <is>
          <t>SCB SG</t>
        </is>
      </c>
      <c r="E76" s="33" t="n">
        <v>189.03</v>
      </c>
      <c r="F76" s="34" t="inlineStr">
        <is>
          <t>USD</t>
        </is>
      </c>
      <c r="G76" s="75" t="n">
        <v>46173</v>
      </c>
      <c r="H76" s="34" t="inlineStr">
        <is>
          <t>OK</t>
        </is>
      </c>
    </row>
    <row r="77" ht="15" customHeight="1" s="53">
      <c r="A77" s="35">
        <f>B77&amp;"|"&amp;C77&amp;"|"&amp;D77</f>
        <v/>
      </c>
      <c r="B77" s="9" t="inlineStr">
        <is>
          <t>Equity</t>
        </is>
      </c>
      <c r="C77" s="35" t="inlineStr">
        <is>
          <t>META</t>
        </is>
      </c>
      <c r="D77" s="35" t="inlineStr">
        <is>
          <t>SCB SG</t>
        </is>
      </c>
      <c r="E77" s="33" t="n">
        <v>632.51</v>
      </c>
      <c r="F77" s="34" t="inlineStr">
        <is>
          <t>USD</t>
        </is>
      </c>
      <c r="G77" s="75" t="n">
        <v>46173</v>
      </c>
      <c r="H77" s="34" t="inlineStr">
        <is>
          <t>OK</t>
        </is>
      </c>
    </row>
    <row r="78" ht="15" customHeight="1" s="53">
      <c r="A78" s="35">
        <f>B78&amp;"|"&amp;C78&amp;"|"&amp;D78</f>
        <v/>
      </c>
      <c r="B78" s="9" t="inlineStr">
        <is>
          <t>Equity</t>
        </is>
      </c>
      <c r="C78" s="35" t="inlineStr">
        <is>
          <t>VCX</t>
        </is>
      </c>
      <c r="D78" s="35" t="inlineStr">
        <is>
          <t>SCB SG</t>
        </is>
      </c>
      <c r="E78" s="33" t="n">
        <v>211</v>
      </c>
      <c r="F78" s="34" t="inlineStr">
        <is>
          <t>USD</t>
        </is>
      </c>
      <c r="G78" s="75" t="n">
        <v>46173</v>
      </c>
      <c r="H78" s="34" t="inlineStr">
        <is>
          <t>OK</t>
        </is>
      </c>
    </row>
    <row r="79" ht="15" customHeight="1" s="53">
      <c r="A79" s="35">
        <f>B79&amp;"|"&amp;C79&amp;"|"&amp;D79</f>
        <v/>
      </c>
      <c r="B79" s="9" t="inlineStr">
        <is>
          <t>Crypto</t>
        </is>
      </c>
      <c r="C79" s="35" t="inlineStr">
        <is>
          <t>AAVE</t>
        </is>
      </c>
      <c r="D79" s="35" t="inlineStr">
        <is>
          <t>Binance</t>
        </is>
      </c>
      <c r="E79" s="33" t="n">
        <v>82.64</v>
      </c>
      <c r="F79" s="34" t="inlineStr">
        <is>
          <t>USD</t>
        </is>
      </c>
      <c r="G79" s="75" t="n">
        <v>46173</v>
      </c>
      <c r="H79" s="34" t="inlineStr">
        <is>
          <t>OK</t>
        </is>
      </c>
    </row>
    <row r="80" ht="15" customHeight="1" s="53">
      <c r="A80" s="35">
        <f>B80&amp;"|"&amp;C80&amp;"|"&amp;D80</f>
        <v/>
      </c>
      <c r="B80" s="9" t="inlineStr">
        <is>
          <t>Crypto</t>
        </is>
      </c>
      <c r="C80" s="35" t="inlineStr">
        <is>
          <t>BNB</t>
        </is>
      </c>
      <c r="D80" s="35" t="inlineStr">
        <is>
          <t>Binance</t>
        </is>
      </c>
      <c r="E80" s="33" t="n">
        <v>722.73</v>
      </c>
      <c r="F80" s="34" t="inlineStr">
        <is>
          <t>USD</t>
        </is>
      </c>
      <c r="G80" s="75" t="n">
        <v>46173</v>
      </c>
      <c r="H80" s="34" t="inlineStr">
        <is>
          <t>OK</t>
        </is>
      </c>
    </row>
    <row r="81" ht="15" customHeight="1" s="53">
      <c r="A81" s="35">
        <f>B81&amp;"|"&amp;C81&amp;"|"&amp;D81</f>
        <v/>
      </c>
      <c r="B81" s="9" t="inlineStr">
        <is>
          <t>Crypto</t>
        </is>
      </c>
      <c r="C81" s="35" t="inlineStr">
        <is>
          <t>BTC</t>
        </is>
      </c>
      <c r="D81" s="35" t="inlineStr">
        <is>
          <t>Binance</t>
        </is>
      </c>
      <c r="E81" s="33" t="n">
        <v>73849</v>
      </c>
      <c r="F81" s="34" t="inlineStr">
        <is>
          <t>USD</t>
        </is>
      </c>
      <c r="G81" s="75" t="n">
        <v>46173</v>
      </c>
      <c r="H81" s="34" t="inlineStr">
        <is>
          <t>OK</t>
        </is>
      </c>
    </row>
    <row r="82" ht="15" customHeight="1" s="53">
      <c r="A82" s="35">
        <f>B82&amp;"|"&amp;C82&amp;"|"&amp;D82</f>
        <v/>
      </c>
      <c r="B82" s="9" t="inlineStr">
        <is>
          <t>Crypto</t>
        </is>
      </c>
      <c r="C82" s="35" t="inlineStr">
        <is>
          <t>PENGU</t>
        </is>
      </c>
      <c r="D82" s="35" t="inlineStr">
        <is>
          <t>Binance</t>
        </is>
      </c>
      <c r="E82" s="33" t="n">
        <v>0.007998</v>
      </c>
      <c r="F82" s="34" t="inlineStr">
        <is>
          <t>USD</t>
        </is>
      </c>
      <c r="G82" s="75" t="n">
        <v>46173</v>
      </c>
      <c r="H82" s="34" t="inlineStr">
        <is>
          <t>OK</t>
        </is>
      </c>
    </row>
    <row r="83" ht="15" customHeight="1" s="53">
      <c r="A83" s="35">
        <f>B83&amp;"|"&amp;C83&amp;"|"&amp;D83</f>
        <v/>
      </c>
      <c r="B83" s="9" t="inlineStr">
        <is>
          <t>Crypto</t>
        </is>
      </c>
      <c r="C83" s="35" t="inlineStr">
        <is>
          <t>PLUME</t>
        </is>
      </c>
      <c r="D83" s="35" t="inlineStr">
        <is>
          <t>Binance</t>
        </is>
      </c>
      <c r="E83" s="33" t="n">
        <v>0.012894</v>
      </c>
      <c r="F83" s="34" t="inlineStr">
        <is>
          <t>USD</t>
        </is>
      </c>
      <c r="G83" s="75" t="n">
        <v>46173</v>
      </c>
      <c r="H83" s="34" t="inlineStr">
        <is>
          <t>OK</t>
        </is>
      </c>
    </row>
    <row r="84" ht="15" customHeight="1" s="53">
      <c r="A84" s="35">
        <f>B84&amp;"|"&amp;C84&amp;"|"&amp;D84</f>
        <v/>
      </c>
      <c r="B84" s="9" t="inlineStr">
        <is>
          <t>Crypto</t>
        </is>
      </c>
      <c r="C84" s="35" t="inlineStr">
        <is>
          <t>SOL</t>
        </is>
      </c>
      <c r="D84" s="35" t="inlineStr">
        <is>
          <t>Binance</t>
        </is>
      </c>
      <c r="E84" s="33" t="n">
        <v>82.58</v>
      </c>
      <c r="F84" s="34" t="inlineStr">
        <is>
          <t>USD</t>
        </is>
      </c>
      <c r="G84" s="75" t="n">
        <v>46173</v>
      </c>
      <c r="H84" s="34" t="inlineStr">
        <is>
          <t>OK</t>
        </is>
      </c>
    </row>
    <row r="85" ht="15" customHeight="1" s="53">
      <c r="A85" s="35">
        <f>B85&amp;"|"&amp;C85&amp;"|"&amp;D85</f>
        <v/>
      </c>
      <c r="B85" s="9" t="inlineStr">
        <is>
          <t>Crypto</t>
        </is>
      </c>
      <c r="C85" s="35" t="inlineStr">
        <is>
          <t>TRUMP</t>
        </is>
      </c>
      <c r="D85" s="35" t="inlineStr">
        <is>
          <t>Binance</t>
        </is>
      </c>
      <c r="E85" s="33" t="n">
        <v>2.01</v>
      </c>
      <c r="F85" s="34" t="inlineStr">
        <is>
          <t>USD</t>
        </is>
      </c>
      <c r="G85" s="75" t="n">
        <v>46173</v>
      </c>
      <c r="H85" s="34" t="inlineStr">
        <is>
          <t>OK</t>
        </is>
      </c>
    </row>
    <row r="86" ht="15" customHeight="1" s="53">
      <c r="A86" s="35">
        <f>B86&amp;"|"&amp;C86&amp;"|"&amp;D86</f>
        <v/>
      </c>
      <c r="B86" s="9" t="inlineStr">
        <is>
          <t>Crypto</t>
        </is>
      </c>
      <c r="C86" s="35" t="inlineStr">
        <is>
          <t>USDT</t>
        </is>
      </c>
      <c r="D86" s="35" t="inlineStr">
        <is>
          <t>Binance</t>
        </is>
      </c>
      <c r="E86" s="33" t="n">
        <v>1</v>
      </c>
      <c r="F86" s="34" t="inlineStr">
        <is>
          <t>USD</t>
        </is>
      </c>
      <c r="G86" s="75" t="n">
        <v>46173</v>
      </c>
      <c r="H86" s="34" t="inlineStr">
        <is>
          <t>OK</t>
        </is>
      </c>
    </row>
    <row r="87" ht="15" customHeight="1" s="53">
      <c r="A87" s="35">
        <f>B87&amp;"|"&amp;C87&amp;"|"&amp;D87</f>
        <v/>
      </c>
      <c r="B87" s="9" t="inlineStr">
        <is>
          <t>Crypto</t>
        </is>
      </c>
      <c r="C87" s="35" t="inlineStr">
        <is>
          <t>VELODROME</t>
        </is>
      </c>
      <c r="D87" s="35" t="inlineStr">
        <is>
          <t>Binance</t>
        </is>
      </c>
      <c r="E87" s="33" t="n">
        <v>0.015837</v>
      </c>
      <c r="F87" s="34" t="inlineStr">
        <is>
          <t>USD</t>
        </is>
      </c>
      <c r="G87" s="75" t="n">
        <v>46173</v>
      </c>
      <c r="H87" s="34" t="inlineStr">
        <is>
          <t>OK</t>
        </is>
      </c>
    </row>
    <row r="88" ht="15" customHeight="1" s="53">
      <c r="A88" s="35">
        <f>B88&amp;"|"&amp;C88&amp;"|"&amp;D88</f>
        <v/>
      </c>
      <c r="B88" s="9" t="inlineStr">
        <is>
          <t>Crypto</t>
        </is>
      </c>
      <c r="C88" s="35" t="inlineStr">
        <is>
          <t>ARB</t>
        </is>
      </c>
      <c r="D88" s="35" t="inlineStr">
        <is>
          <t>Bitazza</t>
        </is>
      </c>
      <c r="E88" s="33" t="n">
        <v>3.334582</v>
      </c>
      <c r="F88" s="34" t="inlineStr">
        <is>
          <t>THB</t>
        </is>
      </c>
      <c r="G88" s="75" t="n">
        <v>46173</v>
      </c>
      <c r="H88" s="34" t="inlineStr">
        <is>
          <t>OK</t>
        </is>
      </c>
    </row>
    <row r="89" ht="15" customHeight="1" s="53">
      <c r="A89" s="35">
        <f>B89&amp;"|"&amp;C89&amp;"|"&amp;D89</f>
        <v/>
      </c>
      <c r="B89" s="9" t="inlineStr">
        <is>
          <t>Crypto</t>
        </is>
      </c>
      <c r="C89" s="35" t="inlineStr">
        <is>
          <t>SUI</t>
        </is>
      </c>
      <c r="D89" s="35" t="inlineStr">
        <is>
          <t>Bitazza</t>
        </is>
      </c>
      <c r="E89" s="33" t="n">
        <v>29.21609</v>
      </c>
      <c r="F89" s="34" t="inlineStr">
        <is>
          <t>THB</t>
        </is>
      </c>
      <c r="G89" s="75" t="n">
        <v>46173</v>
      </c>
      <c r="H89" s="34" t="inlineStr">
        <is>
          <t>OK</t>
        </is>
      </c>
    </row>
    <row r="90" ht="15" customHeight="1" s="53">
      <c r="A90" s="35">
        <f>B90&amp;"|"&amp;C90&amp;"|"&amp;D90</f>
        <v/>
      </c>
      <c r="B90" s="9" t="inlineStr">
        <is>
          <t>Crypto</t>
        </is>
      </c>
      <c r="C90" s="35" t="inlineStr">
        <is>
          <t>VELO</t>
        </is>
      </c>
      <c r="D90" s="35" t="inlineStr">
        <is>
          <t>Bitazza</t>
        </is>
      </c>
      <c r="E90" s="33" t="n">
        <v>0.133364</v>
      </c>
      <c r="F90" s="34" t="inlineStr">
        <is>
          <t>THB</t>
        </is>
      </c>
      <c r="G90" s="75" t="n">
        <v>46173</v>
      </c>
      <c r="H90" s="34" t="inlineStr">
        <is>
          <t>OK</t>
        </is>
      </c>
    </row>
    <row r="91" ht="15" customHeight="1" s="53">
      <c r="A91" s="35">
        <f>B91&amp;"|"&amp;C91&amp;"|"&amp;D91</f>
        <v/>
      </c>
      <c r="B91" s="9" t="inlineStr">
        <is>
          <t>Crypto</t>
        </is>
      </c>
      <c r="C91" s="35" t="inlineStr">
        <is>
          <t>BNB</t>
        </is>
      </c>
      <c r="D91" s="35" t="inlineStr">
        <is>
          <t>Bitkub</t>
        </is>
      </c>
      <c r="E91" s="33" t="n">
        <v>23438.1339</v>
      </c>
      <c r="F91" s="34" t="inlineStr">
        <is>
          <t>THB</t>
        </is>
      </c>
      <c r="G91" s="75" t="n">
        <v>46173</v>
      </c>
      <c r="H91" s="34" t="inlineStr">
        <is>
          <t>OK</t>
        </is>
      </c>
    </row>
    <row r="92" ht="15" customHeight="1" s="53">
      <c r="A92" s="35">
        <f>B92&amp;"|"&amp;C92&amp;"|"&amp;D92</f>
        <v/>
      </c>
      <c r="B92" s="9" t="inlineStr">
        <is>
          <t>Crypto</t>
        </is>
      </c>
      <c r="C92" s="35" t="inlineStr">
        <is>
          <t>BTC</t>
        </is>
      </c>
      <c r="D92" s="35" t="inlineStr">
        <is>
          <t>Bitkub</t>
        </is>
      </c>
      <c r="E92" s="33" t="n">
        <v>2394923.07</v>
      </c>
      <c r="F92" s="34" t="inlineStr">
        <is>
          <t>THB</t>
        </is>
      </c>
      <c r="G92" s="75" t="n">
        <v>46173</v>
      </c>
      <c r="H92" s="34" t="inlineStr">
        <is>
          <t>OK</t>
        </is>
      </c>
    </row>
    <row r="93" ht="15" customHeight="1" s="53">
      <c r="A93" s="35">
        <f>B93&amp;"|"&amp;C93&amp;"|"&amp;D93</f>
        <v/>
      </c>
      <c r="B93" s="9" t="inlineStr">
        <is>
          <t>Crypto</t>
        </is>
      </c>
      <c r="C93" s="35" t="inlineStr">
        <is>
          <t>DOGE</t>
        </is>
      </c>
      <c r="D93" s="35" t="inlineStr">
        <is>
          <t>Bitkub</t>
        </is>
      </c>
      <c r="E93" s="33" t="n">
        <v>3.263269</v>
      </c>
      <c r="F93" s="34" t="inlineStr">
        <is>
          <t>THB</t>
        </is>
      </c>
      <c r="G93" s="75" t="n">
        <v>46173</v>
      </c>
      <c r="H93" s="34" t="inlineStr">
        <is>
          <t>OK</t>
        </is>
      </c>
    </row>
    <row r="94" ht="15" customHeight="1" s="53">
      <c r="A94" s="35">
        <f>B94&amp;"|"&amp;C94&amp;"|"&amp;D94</f>
        <v/>
      </c>
      <c r="B94" s="9" t="inlineStr">
        <is>
          <t>Crypto</t>
        </is>
      </c>
      <c r="C94" s="35" t="inlineStr">
        <is>
          <t>ETH</t>
        </is>
      </c>
      <c r="D94" s="35" t="inlineStr">
        <is>
          <t>Bitkub</t>
        </is>
      </c>
      <c r="E94" s="33" t="n">
        <v>65518.0047</v>
      </c>
      <c r="F94" s="34" t="inlineStr">
        <is>
          <t>THB</t>
        </is>
      </c>
      <c r="G94" s="75" t="n">
        <v>46173</v>
      </c>
      <c r="H94" s="34" t="inlineStr">
        <is>
          <t>OK</t>
        </is>
      </c>
    </row>
    <row r="95" ht="15" customHeight="1" s="53">
      <c r="A95" s="35">
        <f>B95&amp;"|"&amp;C95&amp;"|"&amp;D95</f>
        <v/>
      </c>
      <c r="B95" s="9" t="inlineStr">
        <is>
          <t>Crypto</t>
        </is>
      </c>
      <c r="C95" s="35" t="inlineStr">
        <is>
          <t>KUB</t>
        </is>
      </c>
      <c r="D95" s="35" t="inlineStr">
        <is>
          <t>Bitkub</t>
        </is>
      </c>
      <c r="E95" s="33" t="n">
        <v>26.150482</v>
      </c>
      <c r="F95" s="34" t="inlineStr">
        <is>
          <t>THB</t>
        </is>
      </c>
      <c r="G95" s="75" t="n">
        <v>46173</v>
      </c>
      <c r="H95" s="34" t="inlineStr">
        <is>
          <t>OK</t>
        </is>
      </c>
    </row>
    <row r="96" ht="15" customHeight="1" s="53">
      <c r="A96" s="35">
        <f>B96&amp;"|"&amp;C96&amp;"|"&amp;D96</f>
        <v/>
      </c>
      <c r="B96" s="9" t="inlineStr">
        <is>
          <t>Crypto</t>
        </is>
      </c>
      <c r="C96" s="35" t="inlineStr">
        <is>
          <t>BTC</t>
        </is>
      </c>
      <c r="D96" s="35" t="inlineStr">
        <is>
          <t>OKX</t>
        </is>
      </c>
      <c r="E96" s="33" t="n">
        <v>73849</v>
      </c>
      <c r="F96" s="34" t="inlineStr">
        <is>
          <t>USD</t>
        </is>
      </c>
      <c r="G96" s="75" t="n">
        <v>46173</v>
      </c>
      <c r="H96" s="34" t="inlineStr">
        <is>
          <t>OK</t>
        </is>
      </c>
    </row>
    <row r="97" ht="15" customHeight="1" s="53">
      <c r="A97" s="35">
        <f>B97&amp;"|"&amp;C97&amp;"|"&amp;D97</f>
        <v/>
      </c>
      <c r="B97" s="9" t="inlineStr">
        <is>
          <t>Crypto</t>
        </is>
      </c>
      <c r="C97" s="35" t="inlineStr">
        <is>
          <t>COMP</t>
        </is>
      </c>
      <c r="D97" s="35" t="inlineStr">
        <is>
          <t>OKX</t>
        </is>
      </c>
      <c r="E97" s="33" t="n">
        <v>18.44</v>
      </c>
      <c r="F97" s="34" t="inlineStr">
        <is>
          <t>USD</t>
        </is>
      </c>
      <c r="G97" s="75" t="n">
        <v>46173</v>
      </c>
      <c r="H97" s="34" t="inlineStr">
        <is>
          <t>OK</t>
        </is>
      </c>
    </row>
    <row r="98" ht="15" customHeight="1" s="53">
      <c r="A98" s="35">
        <f>B98&amp;"|"&amp;C98&amp;"|"&amp;D98</f>
        <v/>
      </c>
      <c r="B98" s="9" t="inlineStr">
        <is>
          <t>Crypto</t>
        </is>
      </c>
      <c r="C98" s="35" t="inlineStr">
        <is>
          <t>NIGHT</t>
        </is>
      </c>
      <c r="D98" s="35" t="inlineStr">
        <is>
          <t>OKX</t>
        </is>
      </c>
      <c r="E98" s="33" t="n">
        <v>7.25e-06</v>
      </c>
      <c r="F98" s="34" t="inlineStr">
        <is>
          <t>USD</t>
        </is>
      </c>
      <c r="G98" s="75" t="n">
        <v>46172</v>
      </c>
      <c r="H98" s="34" t="inlineStr">
        <is>
          <t>MANUAL</t>
        </is>
      </c>
    </row>
    <row r="99" ht="15" customHeight="1" s="53">
      <c r="A99" s="35">
        <f>B99&amp;"|"&amp;C99&amp;"|"&amp;D99</f>
        <v/>
      </c>
      <c r="B99" s="9" t="inlineStr">
        <is>
          <t>Crypto</t>
        </is>
      </c>
      <c r="C99" s="35" t="inlineStr">
        <is>
          <t>OKSOL</t>
        </is>
      </c>
      <c r="D99" s="35" t="inlineStr">
        <is>
          <t>OKX</t>
        </is>
      </c>
      <c r="E99" s="33" t="n">
        <v>82.67</v>
      </c>
      <c r="F99" s="34" t="inlineStr">
        <is>
          <t>USD</t>
        </is>
      </c>
      <c r="G99" s="75" t="n">
        <v>46172</v>
      </c>
      <c r="H99" s="34" t="inlineStr">
        <is>
          <t>MANUAL</t>
        </is>
      </c>
    </row>
    <row r="100" ht="15" customHeight="1" s="53">
      <c r="A100" s="35">
        <f>B100&amp;"|"&amp;C100&amp;"|"&amp;D100</f>
        <v/>
      </c>
      <c r="B100" s="9" t="inlineStr">
        <is>
          <t>Crypto</t>
        </is>
      </c>
      <c r="C100" s="35" t="inlineStr">
        <is>
          <t>PENGU</t>
        </is>
      </c>
      <c r="D100" s="35" t="inlineStr">
        <is>
          <t>OKX</t>
        </is>
      </c>
      <c r="E100" s="33" t="n">
        <v>0.007998</v>
      </c>
      <c r="F100" s="34" t="inlineStr">
        <is>
          <t>USD</t>
        </is>
      </c>
      <c r="G100" s="75" t="n">
        <v>46173</v>
      </c>
      <c r="H100" s="34" t="inlineStr">
        <is>
          <t>OK</t>
        </is>
      </c>
    </row>
    <row r="101" ht="15" customHeight="1" s="53">
      <c r="A101" s="35">
        <f>B101&amp;"|"&amp;C101&amp;"|"&amp;D101</f>
        <v/>
      </c>
      <c r="B101" s="9" t="inlineStr">
        <is>
          <t>Crypto</t>
        </is>
      </c>
      <c r="C101" s="35" t="inlineStr">
        <is>
          <t>SOL</t>
        </is>
      </c>
      <c r="D101" s="35" t="inlineStr">
        <is>
          <t>OKX</t>
        </is>
      </c>
      <c r="E101" s="33" t="n">
        <v>82.58</v>
      </c>
      <c r="F101" s="34" t="inlineStr">
        <is>
          <t>USD</t>
        </is>
      </c>
      <c r="G101" s="75" t="n">
        <v>46173</v>
      </c>
      <c r="H101" s="34" t="inlineStr">
        <is>
          <t>OK</t>
        </is>
      </c>
    </row>
    <row r="102" ht="15" customHeight="1" s="53">
      <c r="A102" s="35">
        <f>B102&amp;"|"&amp;C102&amp;"|"&amp;D102</f>
        <v/>
      </c>
      <c r="B102" s="9" t="inlineStr">
        <is>
          <t>Crypto</t>
        </is>
      </c>
      <c r="C102" s="35" t="inlineStr">
        <is>
          <t>USDT</t>
        </is>
      </c>
      <c r="D102" s="35" t="inlineStr">
        <is>
          <t>OKX</t>
        </is>
      </c>
      <c r="E102" s="33" t="n">
        <v>1</v>
      </c>
      <c r="F102" s="34" t="inlineStr">
        <is>
          <t>USD</t>
        </is>
      </c>
      <c r="G102" s="75" t="n">
        <v>46173</v>
      </c>
      <c r="H102" s="34" t="inlineStr">
        <is>
          <t>OK</t>
        </is>
      </c>
    </row>
    <row r="103">
      <c r="A103">
        <f>B103&amp;"|"&amp;C103&amp;"|"&amp;D103</f>
        <v/>
      </c>
      <c r="G103" s="48" t="n"/>
    </row>
    <row r="104">
      <c r="A104">
        <f>B104&amp;"|"&amp;C104&amp;"|"&amp;D104</f>
        <v/>
      </c>
      <c r="G104" s="48" t="n"/>
    </row>
  </sheetData>
  <mergeCells count="1">
    <mergeCell ref="A2:H2"/>
  </mergeCells>
  <conditionalFormatting sqref="H5:H102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R167" sqref="R167"/>
    </sheetView>
  </sheetViews>
  <sheetFormatPr baseColWidth="10" defaultColWidth="8.6640625" defaultRowHeight="15"/>
  <cols>
    <col width="5" customWidth="1" style="53" min="1" max="1"/>
    <col width="14" customWidth="1" style="53" min="2" max="2"/>
    <col width="20" customWidth="1" style="53" min="3" max="3"/>
    <col width="16" customWidth="1" style="53" min="4" max="4"/>
    <col width="22" customWidth="1" style="53" min="5" max="5"/>
    <col width="16" customWidth="1" style="53" min="6" max="6"/>
    <col width="14" customWidth="1" style="53" min="7" max="9"/>
    <col width="10" customWidth="1" style="53" min="10" max="11"/>
    <col width="12" customWidth="1" style="53" min="12" max="13"/>
    <col width="14" customWidth="1" style="53" min="14" max="14"/>
    <col width="16" customWidth="1" style="53" min="15" max="17"/>
    <col width="12" customWidth="1" style="53" min="18" max="18"/>
    <col width="26" customWidth="1" style="53" min="19" max="19"/>
  </cols>
  <sheetData>
    <row r="2" ht="30" customHeight="1" s="53">
      <c r="A2" s="57" t="inlineStr">
        <is>
          <t>MUTUAL FUND HOLDINGS — LOT LEVEL</t>
        </is>
      </c>
    </row>
    <row r="4" ht="42" customHeight="1" s="53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3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79" t="n">
        <v>44006</v>
      </c>
      <c r="I5" s="37" t="n">
        <v>2020</v>
      </c>
      <c r="J5" s="38" t="inlineStr">
        <is>
          <t>N/A</t>
        </is>
      </c>
      <c r="K5" s="80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65">
        <f>IFERROR(Q5/O5,0)</f>
        <v/>
      </c>
      <c r="S5" s="35" t="n"/>
    </row>
    <row r="6" ht="15" customHeight="1" s="53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79" t="n">
        <v>44371</v>
      </c>
      <c r="I6" s="37" t="n">
        <v>2021</v>
      </c>
      <c r="J6" s="38" t="inlineStr">
        <is>
          <t>N/A</t>
        </is>
      </c>
      <c r="K6" s="80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65">
        <f>IFERROR(Q6/O6,0)</f>
        <v/>
      </c>
      <c r="S6" s="35" t="n"/>
    </row>
    <row r="7" ht="15" customHeight="1" s="53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79" t="n">
        <v>44735</v>
      </c>
      <c r="I7" s="37" t="n">
        <v>2022</v>
      </c>
      <c r="J7" s="38" t="inlineStr">
        <is>
          <t>N/A</t>
        </is>
      </c>
      <c r="K7" s="80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65">
        <f>IFERROR(Q7/O7,0)</f>
        <v/>
      </c>
      <c r="S7" s="35" t="n"/>
    </row>
    <row r="8" ht="15" customHeight="1" s="53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79" t="n">
        <v>45897</v>
      </c>
      <c r="I8" s="37" t="n">
        <v>2025</v>
      </c>
      <c r="J8" s="38" t="inlineStr">
        <is>
          <t>N/A</t>
        </is>
      </c>
      <c r="K8" s="80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65">
        <f>IFERROR(Q8/O8,0)</f>
        <v/>
      </c>
      <c r="S8" s="35" t="n"/>
    </row>
    <row r="9" ht="15" customHeight="1" s="53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79" t="n">
        <v>45685</v>
      </c>
      <c r="I9" s="37" t="n">
        <v>2025</v>
      </c>
      <c r="J9" s="38" t="inlineStr">
        <is>
          <t>N/A</t>
        </is>
      </c>
      <c r="K9" s="80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65">
        <f>IFERROR(Q9/O9,0)</f>
        <v/>
      </c>
      <c r="S9" s="35" t="n"/>
    </row>
    <row r="10" ht="15" customHeight="1" s="53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79" t="n">
        <v>45777</v>
      </c>
      <c r="I10" s="37" t="n">
        <v>2025</v>
      </c>
      <c r="J10" s="38" t="inlineStr">
        <is>
          <t>N/A</t>
        </is>
      </c>
      <c r="K10" s="80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65">
        <f>IFERROR(Q10/O10,0)</f>
        <v/>
      </c>
      <c r="S10" s="35" t="n"/>
    </row>
    <row r="11" ht="15" customHeight="1" s="53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79" t="n">
        <v>42948</v>
      </c>
      <c r="I11" s="37" t="n">
        <v>2017</v>
      </c>
      <c r="J11" s="38" t="inlineStr">
        <is>
          <t>N/A</t>
        </is>
      </c>
      <c r="K11" s="80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65">
        <f>IFERROR(Q11/O11,0)</f>
        <v/>
      </c>
      <c r="S11" s="35" t="n"/>
    </row>
    <row r="12" ht="15" customHeight="1" s="53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79" t="n">
        <v>42948</v>
      </c>
      <c r="I12" s="37" t="n">
        <v>2017</v>
      </c>
      <c r="J12" s="38" t="inlineStr">
        <is>
          <t>N/A</t>
        </is>
      </c>
      <c r="K12" s="80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65">
        <f>IFERROR(Q12/O12,0)</f>
        <v/>
      </c>
      <c r="S12" s="35" t="n"/>
    </row>
    <row r="13" ht="15" customHeight="1" s="53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79" t="n">
        <v>44223</v>
      </c>
      <c r="I13" s="37" t="n">
        <v>2021</v>
      </c>
      <c r="J13" s="38" t="inlineStr">
        <is>
          <t>N/A</t>
        </is>
      </c>
      <c r="K13" s="80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65">
        <f>IFERROR(Q13/O13,0)</f>
        <v/>
      </c>
      <c r="S13" s="35" t="n"/>
    </row>
    <row r="14" ht="15" customHeight="1" s="53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79" t="n">
        <v>44557</v>
      </c>
      <c r="I14" s="37" t="n">
        <v>2021</v>
      </c>
      <c r="J14" s="38" t="inlineStr">
        <is>
          <t>N/A</t>
        </is>
      </c>
      <c r="K14" s="80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65">
        <f>IFERROR(Q14/O14,0)</f>
        <v/>
      </c>
      <c r="S14" s="35" t="n"/>
    </row>
    <row r="15" ht="15" customHeight="1" s="53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79" t="n">
        <v>42979</v>
      </c>
      <c r="I15" s="37" t="n">
        <v>2017</v>
      </c>
      <c r="J15" s="38" t="inlineStr">
        <is>
          <t>N/A</t>
        </is>
      </c>
      <c r="K15" s="80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65">
        <f>IFERROR(Q15/O15,0)</f>
        <v/>
      </c>
      <c r="S15" s="35" t="n"/>
    </row>
    <row r="16" ht="15" customHeight="1" s="53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79" t="n">
        <v>44224</v>
      </c>
      <c r="I16" s="37" t="n">
        <v>2021</v>
      </c>
      <c r="J16" s="38" t="inlineStr">
        <is>
          <t>N/A</t>
        </is>
      </c>
      <c r="K16" s="80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65">
        <f>IFERROR(Q16/O16,0)</f>
        <v/>
      </c>
      <c r="S16" s="35" t="n"/>
    </row>
    <row r="17" ht="15" customHeight="1" s="53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79" t="n">
        <v>44224</v>
      </c>
      <c r="I17" s="37" t="n">
        <v>2021</v>
      </c>
      <c r="J17" s="38" t="inlineStr">
        <is>
          <t>N/A</t>
        </is>
      </c>
      <c r="K17" s="80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65">
        <f>IFERROR(Q17/O17,0)</f>
        <v/>
      </c>
      <c r="S17" s="35" t="n"/>
    </row>
    <row r="18" ht="15" customHeight="1" s="53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79" t="n">
        <v>44223</v>
      </c>
      <c r="I18" s="37" t="n">
        <v>2021</v>
      </c>
      <c r="J18" s="38" t="inlineStr">
        <is>
          <t>N/A</t>
        </is>
      </c>
      <c r="K18" s="80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65">
        <f>IFERROR(Q18/O18,0)</f>
        <v/>
      </c>
      <c r="S18" s="35" t="n"/>
    </row>
    <row r="19" ht="15" customHeight="1" s="53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79" t="n">
        <v>43847</v>
      </c>
      <c r="I19" s="37" t="n">
        <v>2020</v>
      </c>
      <c r="J19" s="38" t="inlineStr">
        <is>
          <t>N/A</t>
        </is>
      </c>
      <c r="K19" s="80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65">
        <f>IFERROR(Q19/O19,0)</f>
        <v/>
      </c>
      <c r="S19" s="35" t="n"/>
    </row>
    <row r="20" ht="15" customHeight="1" s="53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79" t="n">
        <v>44203</v>
      </c>
      <c r="I20" s="37" t="n">
        <v>2021</v>
      </c>
      <c r="J20" s="38" t="inlineStr">
        <is>
          <t>N/A</t>
        </is>
      </c>
      <c r="K20" s="80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65">
        <f>IFERROR(Q20/O20,0)</f>
        <v/>
      </c>
      <c r="S20" s="35" t="n"/>
    </row>
    <row r="21" ht="15" customHeight="1" s="53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79" t="n">
        <v>45329</v>
      </c>
      <c r="I21" s="37" t="n">
        <v>2024</v>
      </c>
      <c r="J21" s="38" t="inlineStr">
        <is>
          <t>N/A</t>
        </is>
      </c>
      <c r="K21" s="80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65">
        <f>IFERROR(Q21/O21,0)</f>
        <v/>
      </c>
      <c r="S21" s="35" t="n"/>
    </row>
    <row r="22" ht="15" customHeight="1" s="53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79" t="n">
        <v>46028</v>
      </c>
      <c r="I22" s="37" t="n">
        <v>2026</v>
      </c>
      <c r="J22" s="38" t="inlineStr">
        <is>
          <t>N/A</t>
        </is>
      </c>
      <c r="K22" s="80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65">
        <f>IFERROR(Q22/O22,0)</f>
        <v/>
      </c>
      <c r="S22" s="35" t="n"/>
    </row>
    <row r="23" ht="15" customHeight="1" s="53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79" t="n">
        <v>44069</v>
      </c>
      <c r="I23" s="37" t="n">
        <v>2020</v>
      </c>
      <c r="J23" s="38" t="inlineStr">
        <is>
          <t>N/A</t>
        </is>
      </c>
      <c r="K23" s="80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65">
        <f>IFERROR(Q23/O23,0)</f>
        <v/>
      </c>
      <c r="S23" s="35" t="n"/>
    </row>
    <row r="24" ht="15" customHeight="1" s="53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79" t="n">
        <v>45288</v>
      </c>
      <c r="I24" s="37" t="n">
        <v>2023</v>
      </c>
      <c r="J24" s="38" t="inlineStr">
        <is>
          <t>N/A</t>
        </is>
      </c>
      <c r="K24" s="80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65">
        <f>IFERROR(Q24/O24,0)</f>
        <v/>
      </c>
      <c r="S24" s="35" t="inlineStr">
        <is>
          <t>For Raywin</t>
        </is>
      </c>
    </row>
    <row r="25" ht="15" customHeight="1" s="53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79" t="n">
        <v>45414</v>
      </c>
      <c r="I25" s="37" t="n">
        <v>2024</v>
      </c>
      <c r="J25" s="38" t="inlineStr">
        <is>
          <t>N/A</t>
        </is>
      </c>
      <c r="K25" s="80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65">
        <f>IFERROR(Q25/O25,0)</f>
        <v/>
      </c>
      <c r="S25" s="35" t="inlineStr">
        <is>
          <t>For Raywin</t>
        </is>
      </c>
    </row>
    <row r="26" ht="15" customHeight="1" s="53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79" t="n">
        <v>45887</v>
      </c>
      <c r="I26" s="37" t="n">
        <v>2025</v>
      </c>
      <c r="J26" s="38" t="inlineStr">
        <is>
          <t>N/A</t>
        </is>
      </c>
      <c r="K26" s="80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65">
        <f>IFERROR(Q26/O26,0)</f>
        <v/>
      </c>
      <c r="S26" s="35" t="inlineStr">
        <is>
          <t>For Raywin</t>
        </is>
      </c>
    </row>
    <row r="27" ht="15" customHeight="1" s="53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79" t="n">
        <v>45964</v>
      </c>
      <c r="I27" s="37" t="n">
        <v>2025</v>
      </c>
      <c r="J27" s="38" t="inlineStr">
        <is>
          <t>N/A</t>
        </is>
      </c>
      <c r="K27" s="80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65">
        <f>IFERROR(Q27/O27,0)</f>
        <v/>
      </c>
      <c r="S27" s="35" t="inlineStr">
        <is>
          <t>For Raywin</t>
        </is>
      </c>
    </row>
    <row r="28" ht="15" customHeight="1" s="53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79" t="n">
        <v>45964</v>
      </c>
      <c r="I28" s="37" t="n">
        <v>2025</v>
      </c>
      <c r="J28" s="38" t="inlineStr">
        <is>
          <t>N/A</t>
        </is>
      </c>
      <c r="K28" s="80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65">
        <f>IFERROR(Q28/O28,0)</f>
        <v/>
      </c>
      <c r="S28" s="35" t="n"/>
    </row>
    <row r="29" ht="15" customHeight="1" s="53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79" t="n">
        <v>46055</v>
      </c>
      <c r="I29" s="37" t="n">
        <v>2026</v>
      </c>
      <c r="J29" s="38" t="inlineStr">
        <is>
          <t>N/A</t>
        </is>
      </c>
      <c r="K29" s="80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65">
        <f>IFERROR(Q29/O29,0)</f>
        <v/>
      </c>
      <c r="S29" s="35" t="inlineStr">
        <is>
          <t>For Raywin</t>
        </is>
      </c>
    </row>
    <row r="30" ht="15" customHeight="1" s="53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79" t="n">
        <v>46071</v>
      </c>
      <c r="I30" s="37" t="n">
        <v>2026</v>
      </c>
      <c r="J30" s="38" t="inlineStr">
        <is>
          <t>N/A</t>
        </is>
      </c>
      <c r="K30" s="80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65">
        <f>IFERROR(Q30/O30,0)</f>
        <v/>
      </c>
      <c r="S30" s="35" t="n"/>
    </row>
    <row r="31" ht="15" customHeight="1" s="53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79" t="n">
        <v>46121</v>
      </c>
      <c r="I31" s="37" t="n">
        <v>2026</v>
      </c>
      <c r="J31" s="38" t="inlineStr">
        <is>
          <t>N/A</t>
        </is>
      </c>
      <c r="K31" s="80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65">
        <f>IFERROR(Q31/O31,0)</f>
        <v/>
      </c>
      <c r="S31" s="35" t="inlineStr">
        <is>
          <t>For Raywin</t>
        </is>
      </c>
    </row>
    <row r="32" ht="15" customHeight="1" s="53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79" t="n">
        <v>43052</v>
      </c>
      <c r="I32" s="37" t="n">
        <v>2017</v>
      </c>
      <c r="J32" s="37" t="n">
        <v>2023</v>
      </c>
      <c r="K32" s="80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65">
        <f>IFERROR(Q32/O32,0)</f>
        <v/>
      </c>
      <c r="S32" s="35" t="n"/>
    </row>
    <row r="33" ht="15" customHeight="1" s="53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79" t="n">
        <v>43095</v>
      </c>
      <c r="I33" s="37" t="n">
        <v>2017</v>
      </c>
      <c r="J33" s="37" t="n">
        <v>2023</v>
      </c>
      <c r="K33" s="80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65">
        <f>IFERROR(Q33/O33,0)</f>
        <v/>
      </c>
      <c r="S33" s="35" t="n"/>
    </row>
    <row r="34" ht="15" customHeight="1" s="53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79" t="n">
        <v>43097</v>
      </c>
      <c r="I34" s="37" t="n">
        <v>2017</v>
      </c>
      <c r="J34" s="37" t="n">
        <v>2023</v>
      </c>
      <c r="K34" s="80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65">
        <f>IFERROR(Q34/O34,0)</f>
        <v/>
      </c>
      <c r="S34" s="35" t="n"/>
    </row>
    <row r="35" ht="15" customHeight="1" s="53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79" t="n">
        <v>43384</v>
      </c>
      <c r="I35" s="37" t="n">
        <v>2018</v>
      </c>
      <c r="J35" s="37" t="n">
        <v>2024</v>
      </c>
      <c r="K35" s="80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65">
        <f>IFERROR(Q35/O35,0)</f>
        <v/>
      </c>
      <c r="S35" s="35" t="n"/>
    </row>
    <row r="36" ht="15" customHeight="1" s="53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79" t="n">
        <v>43440</v>
      </c>
      <c r="I36" s="37" t="n">
        <v>2018</v>
      </c>
      <c r="J36" s="37" t="n">
        <v>2024</v>
      </c>
      <c r="K36" s="80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65">
        <f>IFERROR(Q36/O36,0)</f>
        <v/>
      </c>
      <c r="S36" s="35" t="n"/>
    </row>
    <row r="37" ht="15" customHeight="1" s="53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79" t="n">
        <v>41968</v>
      </c>
      <c r="I37" s="37" t="n">
        <v>2014</v>
      </c>
      <c r="J37" s="37" t="n">
        <v>2018</v>
      </c>
      <c r="K37" s="80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65">
        <f>IFERROR(Q37/O37,0)</f>
        <v/>
      </c>
      <c r="S37" s="35" t="n"/>
    </row>
    <row r="38" ht="15" customHeight="1" s="53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79" t="n">
        <v>42255</v>
      </c>
      <c r="I38" s="37" t="n">
        <v>2015</v>
      </c>
      <c r="J38" s="37" t="n">
        <v>2019</v>
      </c>
      <c r="K38" s="80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65">
        <f>IFERROR(Q38/O38,0)</f>
        <v/>
      </c>
      <c r="S38" s="35" t="n"/>
    </row>
    <row r="39" ht="15" customHeight="1" s="53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79" t="n">
        <v>42545</v>
      </c>
      <c r="I39" s="37" t="n">
        <v>2016</v>
      </c>
      <c r="J39" s="37" t="n">
        <v>2022</v>
      </c>
      <c r="K39" s="80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65">
        <f>IFERROR(Q39/O39,0)</f>
        <v/>
      </c>
      <c r="S39" s="35" t="n"/>
    </row>
    <row r="40" ht="15" customHeight="1" s="53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79" t="n">
        <v>42683</v>
      </c>
      <c r="I40" s="37" t="n">
        <v>2016</v>
      </c>
      <c r="J40" s="37" t="n">
        <v>2022</v>
      </c>
      <c r="K40" s="80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65">
        <f>IFERROR(Q40/O40,0)</f>
        <v/>
      </c>
      <c r="S40" s="35" t="n"/>
    </row>
    <row r="41" ht="15" customHeight="1" s="53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79" t="n">
        <v>42688</v>
      </c>
      <c r="I41" s="37" t="n">
        <v>2016</v>
      </c>
      <c r="J41" s="37" t="n">
        <v>2022</v>
      </c>
      <c r="K41" s="80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65">
        <f>IFERROR(Q41/O41,0)</f>
        <v/>
      </c>
      <c r="S41" s="35" t="n"/>
    </row>
    <row r="42" ht="15" customHeight="1" s="53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79" t="n">
        <v>41968</v>
      </c>
      <c r="I42" s="37" t="n">
        <v>2014</v>
      </c>
      <c r="J42" s="37" t="n">
        <v>2018</v>
      </c>
      <c r="K42" s="80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65">
        <f>IFERROR(Q42/O42,0)</f>
        <v/>
      </c>
      <c r="S42" s="35" t="n"/>
    </row>
    <row r="43" ht="15" customHeight="1" s="53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79" t="n">
        <v>42191</v>
      </c>
      <c r="I43" s="37" t="n">
        <v>2015</v>
      </c>
      <c r="J43" s="37" t="n">
        <v>2019</v>
      </c>
      <c r="K43" s="80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65">
        <f>IFERROR(Q43/O43,0)</f>
        <v/>
      </c>
      <c r="S43" s="35" t="n"/>
    </row>
    <row r="44" ht="15" customHeight="1" s="53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79" t="n">
        <v>42545</v>
      </c>
      <c r="I44" s="37" t="n">
        <v>2016</v>
      </c>
      <c r="J44" s="37" t="n">
        <v>2022</v>
      </c>
      <c r="K44" s="80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65">
        <f>IFERROR(Q44/O44,0)</f>
        <v/>
      </c>
      <c r="S44" s="35" t="n"/>
    </row>
    <row r="45" ht="15" customHeight="1" s="53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79" t="n">
        <v>42621</v>
      </c>
      <c r="I45" s="37" t="n">
        <v>2016</v>
      </c>
      <c r="J45" s="37" t="n">
        <v>2022</v>
      </c>
      <c r="K45" s="80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65">
        <f>IFERROR(Q45/O45,0)</f>
        <v/>
      </c>
      <c r="S45" s="35" t="n"/>
    </row>
    <row r="46" ht="15" customHeight="1" s="53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79" t="n">
        <v>42683</v>
      </c>
      <c r="I46" s="37" t="n">
        <v>2016</v>
      </c>
      <c r="J46" s="37" t="n">
        <v>2022</v>
      </c>
      <c r="K46" s="80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65">
        <f>IFERROR(Q46/O46,0)</f>
        <v/>
      </c>
      <c r="S46" s="35" t="n"/>
    </row>
    <row r="47" ht="15" customHeight="1" s="53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79" t="n">
        <v>42688</v>
      </c>
      <c r="I47" s="37" t="n">
        <v>2016</v>
      </c>
      <c r="J47" s="37" t="n">
        <v>2022</v>
      </c>
      <c r="K47" s="80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65">
        <f>IFERROR(Q47/O47,0)</f>
        <v/>
      </c>
      <c r="S47" s="35" t="n"/>
    </row>
    <row r="48" ht="15" customHeight="1" s="53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79" t="n">
        <v>42726</v>
      </c>
      <c r="I48" s="37" t="n">
        <v>2016</v>
      </c>
      <c r="J48" s="37" t="n">
        <v>2022</v>
      </c>
      <c r="K48" s="80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65">
        <f>IFERROR(Q48/O48,0)</f>
        <v/>
      </c>
      <c r="S48" s="35" t="n"/>
    </row>
    <row r="49" ht="15" customHeight="1" s="53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79" t="n">
        <v>43280</v>
      </c>
      <c r="I49" s="37" t="n">
        <v>2018</v>
      </c>
      <c r="J49" s="37" t="n">
        <v>2024</v>
      </c>
      <c r="K49" s="80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65">
        <f>IFERROR(Q49/O49,0)</f>
        <v/>
      </c>
      <c r="S49" s="35" t="n"/>
    </row>
    <row r="50" ht="15" customHeight="1" s="53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79" t="n">
        <v>45281</v>
      </c>
      <c r="I50" s="37" t="n">
        <v>2023</v>
      </c>
      <c r="J50" s="37" t="n">
        <v>2031</v>
      </c>
      <c r="K50" s="80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65">
        <f>IFERROR(Q50/O50,0)</f>
        <v/>
      </c>
      <c r="S50" s="35" t="n"/>
    </row>
    <row r="51" ht="15" customHeight="1" s="53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79" t="n">
        <v>45639</v>
      </c>
      <c r="I51" s="37" t="n">
        <v>2024</v>
      </c>
      <c r="J51" s="37" t="n">
        <v>2029</v>
      </c>
      <c r="K51" s="80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65">
        <f>IFERROR(Q51/O51,0)</f>
        <v/>
      </c>
      <c r="S51" s="35" t="n"/>
    </row>
    <row r="52" ht="15" customHeight="1" s="53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79" t="n">
        <v>45653</v>
      </c>
      <c r="I52" s="37" t="n">
        <v>2024</v>
      </c>
      <c r="J52" s="37" t="n">
        <v>2029</v>
      </c>
      <c r="K52" s="80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65">
        <f>IFERROR(Q52/O52,0)</f>
        <v/>
      </c>
      <c r="S52" s="35" t="n"/>
    </row>
    <row r="53" ht="15" customHeight="1" s="53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79" t="n">
        <v>42303</v>
      </c>
      <c r="I53" s="37" t="n">
        <v>2015</v>
      </c>
      <c r="J53" s="37" t="n">
        <v>2019</v>
      </c>
      <c r="K53" s="80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65">
        <f>IFERROR(Q53/O53,0)</f>
        <v/>
      </c>
      <c r="S53" s="35" t="n"/>
    </row>
    <row r="54" ht="15" customHeight="1" s="53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79" t="n">
        <v>43129</v>
      </c>
      <c r="I54" s="37" t="n">
        <v>2018</v>
      </c>
      <c r="J54" s="37" t="n">
        <v>2024</v>
      </c>
      <c r="K54" s="80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65">
        <f>IFERROR(Q54/O54,0)</f>
        <v/>
      </c>
      <c r="S54" s="35" t="n"/>
    </row>
    <row r="55" ht="15" customHeight="1" s="53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79" t="n">
        <v>43166</v>
      </c>
      <c r="I55" s="37" t="n">
        <v>2018</v>
      </c>
      <c r="J55" s="37" t="n">
        <v>2024</v>
      </c>
      <c r="K55" s="80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65">
        <f>IFERROR(Q55/O55,0)</f>
        <v/>
      </c>
      <c r="S55" s="35" t="n"/>
    </row>
    <row r="56" ht="15" customHeight="1" s="53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79" t="n">
        <v>46016</v>
      </c>
      <c r="I56" s="37" t="n">
        <v>2025</v>
      </c>
      <c r="J56" s="37" t="n">
        <v>2030</v>
      </c>
      <c r="K56" s="80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65">
        <f>IFERROR(Q56/O56,0)</f>
        <v/>
      </c>
      <c r="S56" s="35" t="n"/>
    </row>
    <row r="57" ht="15" customHeight="1" s="53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79" t="n">
        <v>46027</v>
      </c>
      <c r="I57" s="37" t="n">
        <v>2026</v>
      </c>
      <c r="J57" s="37" t="n">
        <v>2031</v>
      </c>
      <c r="K57" s="80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65">
        <f>IFERROR(Q57/O57,0)</f>
        <v/>
      </c>
      <c r="S57" s="35" t="n"/>
    </row>
    <row r="58" ht="15" customHeight="1" s="53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79" t="n">
        <v>46142</v>
      </c>
      <c r="I58" s="37" t="n">
        <v>2026</v>
      </c>
      <c r="J58" s="38" t="inlineStr">
        <is>
          <t>N/A</t>
        </is>
      </c>
      <c r="K58" s="80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65">
        <f>IFERROR(Q58/O58,0)</f>
        <v/>
      </c>
      <c r="S58" s="35" t="n"/>
    </row>
    <row r="59" ht="15" customHeight="1" s="53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79" t="n">
        <v>42697</v>
      </c>
      <c r="I59" s="37" t="n">
        <v>2016</v>
      </c>
      <c r="J59" s="37" t="n">
        <v>2022</v>
      </c>
      <c r="K59" s="80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65">
        <f>IFERROR(Q59/O59,0)</f>
        <v/>
      </c>
      <c r="S59" s="35" t="n"/>
    </row>
    <row r="60" ht="15" customHeight="1" s="53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79" t="n">
        <v>42965</v>
      </c>
      <c r="I60" s="37" t="n">
        <v>2017</v>
      </c>
      <c r="J60" s="37" t="n">
        <v>2023</v>
      </c>
      <c r="K60" s="80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65">
        <f>IFERROR(Q60/O60,0)</f>
        <v/>
      </c>
      <c r="S60" s="35" t="n"/>
    </row>
    <row r="61" ht="15" customHeight="1" s="53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79" t="n">
        <v>43049</v>
      </c>
      <c r="I61" s="37" t="n">
        <v>2017</v>
      </c>
      <c r="J61" s="37" t="n">
        <v>2023</v>
      </c>
      <c r="K61" s="80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65">
        <f>IFERROR(Q61/O61,0)</f>
        <v/>
      </c>
      <c r="S61" s="35" t="n"/>
    </row>
    <row r="62" ht="15" customHeight="1" s="53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79" t="n">
        <v>44004</v>
      </c>
      <c r="I62" s="37" t="n">
        <v>2020</v>
      </c>
      <c r="J62" s="37" t="n">
        <v>2030</v>
      </c>
      <c r="K62" s="80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65">
        <f>IFERROR(Q62/O62,0)</f>
        <v/>
      </c>
      <c r="S62" s="35" t="n"/>
    </row>
    <row r="63" ht="15" customHeight="1" s="53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79" t="n">
        <v>44007</v>
      </c>
      <c r="I63" s="37" t="n">
        <v>2020</v>
      </c>
      <c r="J63" s="37" t="n">
        <v>2030</v>
      </c>
      <c r="K63" s="80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65">
        <f>IFERROR(Q63/O63,0)</f>
        <v/>
      </c>
      <c r="S63" s="35" t="n"/>
    </row>
    <row r="64" ht="15" customHeight="1" s="53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79" t="n">
        <v>45835</v>
      </c>
      <c r="I64" s="37" t="n">
        <v>2025</v>
      </c>
      <c r="J64" s="37" t="n">
        <v>2030</v>
      </c>
      <c r="K64" s="80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65">
        <f>IFERROR(Q64/O64,0)</f>
        <v/>
      </c>
      <c r="S64" s="35" t="n"/>
    </row>
    <row r="65" ht="15" customHeight="1" s="53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79" t="n">
        <v>45838</v>
      </c>
      <c r="I65" s="37" t="n">
        <v>2025</v>
      </c>
      <c r="J65" s="37" t="n">
        <v>2030</v>
      </c>
      <c r="K65" s="80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65">
        <f>IFERROR(Q65/O65,0)</f>
        <v/>
      </c>
      <c r="S65" s="35" t="n"/>
    </row>
    <row r="66" ht="15" customHeight="1" s="53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79" t="n">
        <v>41968</v>
      </c>
      <c r="I66" s="37" t="n">
        <v>2014</v>
      </c>
      <c r="J66" s="37" t="n">
        <v>2037</v>
      </c>
      <c r="K66" s="80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65">
        <f>IFERROR(Q66/O66,0)</f>
        <v/>
      </c>
      <c r="S66" s="35" t="n"/>
    </row>
    <row r="67" ht="15" customHeight="1" s="53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79" t="n">
        <v>41988</v>
      </c>
      <c r="I67" s="37" t="n">
        <v>2014</v>
      </c>
      <c r="J67" s="37" t="n">
        <v>2037</v>
      </c>
      <c r="K67" s="80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65">
        <f>IFERROR(Q67/O67,0)</f>
        <v/>
      </c>
      <c r="S67" s="35" t="n"/>
    </row>
    <row r="68" ht="15" customHeight="1" s="53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79" t="n">
        <v>42719</v>
      </c>
      <c r="I68" s="37" t="n">
        <v>2016</v>
      </c>
      <c r="J68" s="37" t="n">
        <v>2037</v>
      </c>
      <c r="K68" s="80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65">
        <f>IFERROR(Q68/O68,0)</f>
        <v/>
      </c>
      <c r="S68" s="35" t="n"/>
    </row>
    <row r="69" ht="15" customHeight="1" s="53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79" t="n">
        <v>43087</v>
      </c>
      <c r="I69" s="37" t="n">
        <v>2017</v>
      </c>
      <c r="J69" s="37" t="n">
        <v>2037</v>
      </c>
      <c r="K69" s="80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65">
        <f>IFERROR(Q69/O69,0)</f>
        <v/>
      </c>
      <c r="S69" s="35" t="n"/>
    </row>
    <row r="70" ht="15" customHeight="1" s="53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79" t="n">
        <v>43445</v>
      </c>
      <c r="I70" s="37" t="n">
        <v>2018</v>
      </c>
      <c r="J70" s="37" t="n">
        <v>2037</v>
      </c>
      <c r="K70" s="80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65">
        <f>IFERROR(Q70/O70,0)</f>
        <v/>
      </c>
      <c r="S70" s="35" t="n"/>
    </row>
    <row r="71" ht="15" customHeight="1" s="53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79" t="n">
        <v>43528</v>
      </c>
      <c r="I71" s="37" t="n">
        <v>2019</v>
      </c>
      <c r="J71" s="37" t="n">
        <v>2037</v>
      </c>
      <c r="K71" s="80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65">
        <f>IFERROR(Q71/O71,0)</f>
        <v/>
      </c>
      <c r="S71" s="35" t="n"/>
    </row>
    <row r="72" ht="15" customHeight="1" s="53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79" t="n">
        <v>44186</v>
      </c>
      <c r="I72" s="37" t="n">
        <v>2020</v>
      </c>
      <c r="J72" s="37" t="n">
        <v>2037</v>
      </c>
      <c r="K72" s="80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65">
        <f>IFERROR(Q72/O72,0)</f>
        <v/>
      </c>
      <c r="S72" s="35" t="n"/>
    </row>
    <row r="73" ht="15" customHeight="1" s="53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79" t="n">
        <v>44363</v>
      </c>
      <c r="I73" s="37" t="n">
        <v>2021</v>
      </c>
      <c r="J73" s="37" t="n">
        <v>2037</v>
      </c>
      <c r="K73" s="80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65">
        <f>IFERROR(Q73/O73,0)</f>
        <v/>
      </c>
      <c r="S73" s="35" t="n"/>
    </row>
    <row r="74" ht="15" customHeight="1" s="53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79" t="n">
        <v>44382</v>
      </c>
      <c r="I74" s="37" t="n">
        <v>2021</v>
      </c>
      <c r="J74" s="37" t="n">
        <v>2037</v>
      </c>
      <c r="K74" s="80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65">
        <f>IFERROR(Q74/O74,0)</f>
        <v/>
      </c>
      <c r="S74" s="35" t="n"/>
    </row>
    <row r="75" ht="15" customHeight="1" s="53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79" t="n">
        <v>44592</v>
      </c>
      <c r="I75" s="37" t="n">
        <v>2022</v>
      </c>
      <c r="J75" s="37" t="n">
        <v>2037</v>
      </c>
      <c r="K75" s="80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65">
        <f>IFERROR(Q75/O75,0)</f>
        <v/>
      </c>
      <c r="S75" s="35" t="n"/>
    </row>
    <row r="76" ht="15" customHeight="1" s="53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79" t="n">
        <v>44967</v>
      </c>
      <c r="I76" s="37" t="n">
        <v>2023</v>
      </c>
      <c r="J76" s="37" t="n">
        <v>2037</v>
      </c>
      <c r="K76" s="80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65">
        <f>IFERROR(Q76/O76,0)</f>
        <v/>
      </c>
      <c r="S76" s="35" t="n"/>
    </row>
    <row r="77" ht="15" customHeight="1" s="53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79" t="n">
        <v>45327</v>
      </c>
      <c r="I77" s="37" t="n">
        <v>2024</v>
      </c>
      <c r="J77" s="37" t="n">
        <v>2037</v>
      </c>
      <c r="K77" s="80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65">
        <f>IFERROR(Q77/O77,0)</f>
        <v/>
      </c>
      <c r="S77" s="35" t="n"/>
    </row>
    <row r="78" ht="15" customHeight="1" s="53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79" t="n">
        <v>45887</v>
      </c>
      <c r="I78" s="37" t="n">
        <v>2025</v>
      </c>
      <c r="J78" s="37" t="n">
        <v>2037</v>
      </c>
      <c r="K78" s="80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65">
        <f>IFERROR(Q78/O78,0)</f>
        <v/>
      </c>
      <c r="S78" s="35" t="n"/>
    </row>
    <row r="79" ht="15" customHeight="1" s="53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79" t="n">
        <v>41968</v>
      </c>
      <c r="I79" s="37" t="n">
        <v>2014</v>
      </c>
      <c r="J79" s="37" t="n">
        <v>2037</v>
      </c>
      <c r="K79" s="80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65">
        <f>IFERROR(Q79/O79,0)</f>
        <v/>
      </c>
      <c r="S79" s="35" t="n"/>
    </row>
    <row r="80" ht="15" customHeight="1" s="53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79" t="n">
        <v>41982</v>
      </c>
      <c r="I80" s="37" t="n">
        <v>2014</v>
      </c>
      <c r="J80" s="37" t="n">
        <v>2037</v>
      </c>
      <c r="K80" s="80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65">
        <f>IFERROR(Q80/O80,0)</f>
        <v/>
      </c>
      <c r="S80" s="35" t="n"/>
    </row>
    <row r="81" ht="15" customHeight="1" s="53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79" t="n">
        <v>41988</v>
      </c>
      <c r="I81" s="37" t="n">
        <v>2014</v>
      </c>
      <c r="J81" s="37" t="n">
        <v>2037</v>
      </c>
      <c r="K81" s="80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65">
        <f>IFERROR(Q81/O81,0)</f>
        <v/>
      </c>
      <c r="S81" s="35" t="n"/>
    </row>
    <row r="82" ht="15" customHeight="1" s="53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79" t="n">
        <v>41989</v>
      </c>
      <c r="I82" s="37" t="n">
        <v>2014</v>
      </c>
      <c r="J82" s="37" t="n">
        <v>2037</v>
      </c>
      <c r="K82" s="80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65">
        <f>IFERROR(Q82/O82,0)</f>
        <v/>
      </c>
      <c r="S82" s="35" t="n"/>
    </row>
    <row r="83" ht="15" customHeight="1" s="53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79" t="n">
        <v>41998</v>
      </c>
      <c r="I83" s="37" t="n">
        <v>2014</v>
      </c>
      <c r="J83" s="37" t="n">
        <v>2037</v>
      </c>
      <c r="K83" s="80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65">
        <f>IFERROR(Q83/O83,0)</f>
        <v/>
      </c>
      <c r="S83" s="35" t="n"/>
    </row>
    <row r="84" ht="15" customHeight="1" s="53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79" t="n">
        <v>42270</v>
      </c>
      <c r="I84" s="37" t="n">
        <v>2015</v>
      </c>
      <c r="J84" s="37" t="n">
        <v>2037</v>
      </c>
      <c r="K84" s="80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65">
        <f>IFERROR(Q84/O84,0)</f>
        <v/>
      </c>
      <c r="S84" s="35" t="n"/>
    </row>
    <row r="85" ht="15" customHeight="1" s="53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79" t="n">
        <v>42356</v>
      </c>
      <c r="I85" s="37" t="n">
        <v>2015</v>
      </c>
      <c r="J85" s="37" t="n">
        <v>2037</v>
      </c>
      <c r="K85" s="80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65">
        <f>IFERROR(Q85/O85,0)</f>
        <v/>
      </c>
      <c r="S85" s="35" t="n"/>
    </row>
    <row r="86" ht="15" customHeight="1" s="53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79" t="n">
        <v>42367</v>
      </c>
      <c r="I86" s="37" t="n">
        <v>2015</v>
      </c>
      <c r="J86" s="37" t="n">
        <v>2037</v>
      </c>
      <c r="K86" s="80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65">
        <f>IFERROR(Q86/O86,0)</f>
        <v/>
      </c>
      <c r="S86" s="35" t="n"/>
    </row>
    <row r="87" ht="15" customHeight="1" s="53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79" t="n">
        <v>42621</v>
      </c>
      <c r="I87" s="37" t="n">
        <v>2016</v>
      </c>
      <c r="J87" s="37" t="n">
        <v>2037</v>
      </c>
      <c r="K87" s="80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65">
        <f>IFERROR(Q87/O87,0)</f>
        <v/>
      </c>
      <c r="S87" s="35" t="n"/>
    </row>
    <row r="88" ht="15" customHeight="1" s="53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79" t="n">
        <v>42655</v>
      </c>
      <c r="I88" s="37" t="n">
        <v>2016</v>
      </c>
      <c r="J88" s="37" t="n">
        <v>2037</v>
      </c>
      <c r="K88" s="80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65">
        <f>IFERROR(Q88/O88,0)</f>
        <v/>
      </c>
      <c r="S88" s="35" t="n"/>
    </row>
    <row r="89" ht="15" customHeight="1" s="53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79" t="n">
        <v>42723</v>
      </c>
      <c r="I89" s="37" t="n">
        <v>2016</v>
      </c>
      <c r="J89" s="37" t="n">
        <v>2037</v>
      </c>
      <c r="K89" s="80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65">
        <f>IFERROR(Q89/O89,0)</f>
        <v/>
      </c>
      <c r="S89" s="35" t="n"/>
    </row>
    <row r="90" ht="15" customHeight="1" s="53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79" t="n">
        <v>42724</v>
      </c>
      <c r="I90" s="37" t="n">
        <v>2016</v>
      </c>
      <c r="J90" s="37" t="n">
        <v>2037</v>
      </c>
      <c r="K90" s="80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65">
        <f>IFERROR(Q90/O90,0)</f>
        <v/>
      </c>
      <c r="S90" s="35" t="n"/>
    </row>
    <row r="91" ht="15" customHeight="1" s="53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79" t="n">
        <v>43087</v>
      </c>
      <c r="I91" s="37" t="n">
        <v>2017</v>
      </c>
      <c r="J91" s="37" t="n">
        <v>2037</v>
      </c>
      <c r="K91" s="80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65">
        <f>IFERROR(Q91/O91,0)</f>
        <v/>
      </c>
      <c r="S91" s="35" t="n"/>
    </row>
    <row r="92" ht="15" customHeight="1" s="53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79" t="n">
        <v>43445</v>
      </c>
      <c r="I92" s="37" t="n">
        <v>2018</v>
      </c>
      <c r="J92" s="37" t="n">
        <v>2037</v>
      </c>
      <c r="K92" s="80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65">
        <f>IFERROR(Q92/O92,0)</f>
        <v/>
      </c>
      <c r="S92" s="35" t="n"/>
    </row>
    <row r="93" ht="15" customHeight="1" s="53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79" t="n">
        <v>43824</v>
      </c>
      <c r="I93" s="37" t="n">
        <v>2019</v>
      </c>
      <c r="J93" s="37" t="n">
        <v>2037</v>
      </c>
      <c r="K93" s="80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65">
        <f>IFERROR(Q93/O93,0)</f>
        <v/>
      </c>
      <c r="S93" s="35" t="n"/>
    </row>
    <row r="94" ht="15" customHeight="1" s="53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79" t="n">
        <v>44186</v>
      </c>
      <c r="I94" s="37" t="n">
        <v>2020</v>
      </c>
      <c r="J94" s="37" t="n">
        <v>2037</v>
      </c>
      <c r="K94" s="80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65">
        <f>IFERROR(Q94/O94,0)</f>
        <v/>
      </c>
      <c r="S94" s="35" t="n"/>
    </row>
    <row r="95" ht="15" customHeight="1" s="53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79" t="n">
        <v>44363</v>
      </c>
      <c r="I95" s="37" t="n">
        <v>2021</v>
      </c>
      <c r="J95" s="37" t="n">
        <v>2037</v>
      </c>
      <c r="K95" s="80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65">
        <f>IFERROR(Q95/O95,0)</f>
        <v/>
      </c>
      <c r="S95" s="35" t="n"/>
    </row>
    <row r="96" ht="15" customHeight="1" s="53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79" t="n">
        <v>44592</v>
      </c>
      <c r="I96" s="37" t="n">
        <v>2022</v>
      </c>
      <c r="J96" s="37" t="n">
        <v>2037</v>
      </c>
      <c r="K96" s="80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65">
        <f>IFERROR(Q96/O96,0)</f>
        <v/>
      </c>
      <c r="S96" s="35" t="n"/>
    </row>
    <row r="97" ht="15" customHeight="1" s="53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79" t="n">
        <v>44970</v>
      </c>
      <c r="I97" s="37" t="n">
        <v>2023</v>
      </c>
      <c r="J97" s="37" t="n">
        <v>2037</v>
      </c>
      <c r="K97" s="80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65">
        <f>IFERROR(Q97/O97,0)</f>
        <v/>
      </c>
      <c r="S97" s="35" t="n"/>
    </row>
    <row r="98" ht="15" customHeight="1" s="53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79" t="n">
        <v>45355</v>
      </c>
      <c r="I98" s="37" t="n">
        <v>2024</v>
      </c>
      <c r="J98" s="37" t="n">
        <v>2037</v>
      </c>
      <c r="K98" s="80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65">
        <f>IFERROR(Q98/O98,0)</f>
        <v/>
      </c>
      <c r="S98" s="35" t="n"/>
    </row>
    <row r="99" ht="15" customHeight="1" s="53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79" t="n">
        <v>45887</v>
      </c>
      <c r="I99" s="37" t="n">
        <v>2025</v>
      </c>
      <c r="J99" s="37" t="n">
        <v>2037</v>
      </c>
      <c r="K99" s="80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65">
        <f>IFERROR(Q99/O99,0)</f>
        <v/>
      </c>
      <c r="S99" s="35" t="n"/>
    </row>
    <row r="100" ht="15" customHeight="1" s="53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79" t="n">
        <v>41968</v>
      </c>
      <c r="I100" s="37" t="n">
        <v>2014</v>
      </c>
      <c r="J100" s="37" t="n">
        <v>2037</v>
      </c>
      <c r="K100" s="80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65">
        <f>IFERROR(Q100/O100,0)</f>
        <v/>
      </c>
      <c r="S100" s="35" t="n"/>
    </row>
    <row r="101" ht="15" customHeight="1" s="53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79" t="n">
        <v>42621</v>
      </c>
      <c r="I101" s="37" t="n">
        <v>2016</v>
      </c>
      <c r="J101" s="37" t="n">
        <v>2037</v>
      </c>
      <c r="K101" s="80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65">
        <f>IFERROR(Q101/O101,0)</f>
        <v/>
      </c>
      <c r="S101" s="35" t="n"/>
    </row>
    <row r="102" ht="15" customHeight="1" s="53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79" t="n">
        <v>43087</v>
      </c>
      <c r="I102" s="37" t="n">
        <v>2017</v>
      </c>
      <c r="J102" s="37" t="n">
        <v>2037</v>
      </c>
      <c r="K102" s="80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65">
        <f>IFERROR(Q102/O102,0)</f>
        <v/>
      </c>
      <c r="S102" s="35" t="n"/>
    </row>
    <row r="103" ht="15" customHeight="1" s="53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79" t="n">
        <v>43445</v>
      </c>
      <c r="I103" s="37" t="n">
        <v>2018</v>
      </c>
      <c r="J103" s="37" t="n">
        <v>2037</v>
      </c>
      <c r="K103" s="80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65">
        <f>IFERROR(Q103/O103,0)</f>
        <v/>
      </c>
      <c r="S103" s="35" t="n"/>
    </row>
    <row r="104" ht="15" customHeight="1" s="53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79" t="n">
        <v>43679</v>
      </c>
      <c r="I104" s="37" t="n">
        <v>2019</v>
      </c>
      <c r="J104" s="37" t="n">
        <v>2037</v>
      </c>
      <c r="K104" s="80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65">
        <f>IFERROR(Q104/O104,0)</f>
        <v/>
      </c>
      <c r="S104" s="35" t="n"/>
    </row>
    <row r="105" ht="15" customHeight="1" s="53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79" t="n">
        <v>44186</v>
      </c>
      <c r="I105" s="37" t="n">
        <v>2020</v>
      </c>
      <c r="J105" s="37" t="n">
        <v>2037</v>
      </c>
      <c r="K105" s="80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65">
        <f>IFERROR(Q105/O105,0)</f>
        <v/>
      </c>
      <c r="S105" s="35" t="n"/>
    </row>
    <row r="106" ht="15" customHeight="1" s="53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79" t="n">
        <v>44382</v>
      </c>
      <c r="I106" s="37" t="n">
        <v>2021</v>
      </c>
      <c r="J106" s="37" t="n">
        <v>2037</v>
      </c>
      <c r="K106" s="80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65">
        <f>IFERROR(Q106/O106,0)</f>
        <v/>
      </c>
      <c r="S106" s="35" t="n"/>
    </row>
    <row r="107" ht="15" customHeight="1" s="53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79" t="n">
        <v>44410</v>
      </c>
      <c r="I107" s="37" t="n">
        <v>2021</v>
      </c>
      <c r="J107" s="37" t="n">
        <v>2037</v>
      </c>
      <c r="K107" s="80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65">
        <f>IFERROR(Q107/O107,0)</f>
        <v/>
      </c>
      <c r="S107" s="35" t="n"/>
    </row>
    <row r="108" ht="15" customHeight="1" s="53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79" t="n">
        <v>44592</v>
      </c>
      <c r="I108" s="37" t="n">
        <v>2022</v>
      </c>
      <c r="J108" s="37" t="n">
        <v>2037</v>
      </c>
      <c r="K108" s="80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65">
        <f>IFERROR(Q108/O108,0)</f>
        <v/>
      </c>
      <c r="S108" s="35" t="n"/>
    </row>
    <row r="109" ht="15" customHeight="1" s="53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79" t="n">
        <v>44967</v>
      </c>
      <c r="I109" s="37" t="n">
        <v>2023</v>
      </c>
      <c r="J109" s="37" t="n">
        <v>2037</v>
      </c>
      <c r="K109" s="80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65">
        <f>IFERROR(Q109/O109,0)</f>
        <v/>
      </c>
      <c r="S109" s="35" t="n"/>
    </row>
    <row r="110" ht="15" customHeight="1" s="53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79" t="n">
        <v>45355</v>
      </c>
      <c r="I110" s="37" t="n">
        <v>2024</v>
      </c>
      <c r="J110" s="37" t="n">
        <v>2037</v>
      </c>
      <c r="K110" s="80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65">
        <f>IFERROR(Q110/O110,0)</f>
        <v/>
      </c>
      <c r="S110" s="35" t="n"/>
    </row>
    <row r="111" ht="15" customHeight="1" s="53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79" t="n">
        <v>45887</v>
      </c>
      <c r="I111" s="37" t="n">
        <v>2025</v>
      </c>
      <c r="J111" s="37" t="n">
        <v>2037</v>
      </c>
      <c r="K111" s="80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65">
        <f>IFERROR(Q111/O111,0)</f>
        <v/>
      </c>
      <c r="S111" s="35" t="n"/>
    </row>
    <row r="112" ht="15" customHeight="1" s="53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79" t="n">
        <v>42270</v>
      </c>
      <c r="I112" s="37" t="n">
        <v>2015</v>
      </c>
      <c r="J112" s="37" t="n">
        <v>2037</v>
      </c>
      <c r="K112" s="80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65">
        <f>IFERROR(Q112/O112,0)</f>
        <v/>
      </c>
      <c r="S112" s="35" t="n"/>
    </row>
    <row r="113" ht="15" customHeight="1" s="53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79" t="n">
        <v>42621</v>
      </c>
      <c r="I113" s="37" t="n">
        <v>2016</v>
      </c>
      <c r="J113" s="37" t="n">
        <v>2037</v>
      </c>
      <c r="K113" s="80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65">
        <f>IFERROR(Q113/O113,0)</f>
        <v/>
      </c>
      <c r="S113" s="35" t="n"/>
    </row>
    <row r="114" ht="15" customHeight="1" s="53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79" t="n">
        <v>43087</v>
      </c>
      <c r="I114" s="37" t="n">
        <v>2017</v>
      </c>
      <c r="J114" s="37" t="n">
        <v>2037</v>
      </c>
      <c r="K114" s="80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65">
        <f>IFERROR(Q114/O114,0)</f>
        <v/>
      </c>
      <c r="S114" s="35" t="n"/>
    </row>
    <row r="115" ht="15" customHeight="1" s="53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79" t="n">
        <v>43445</v>
      </c>
      <c r="I115" s="37" t="n">
        <v>2018</v>
      </c>
      <c r="J115" s="37" t="n">
        <v>2037</v>
      </c>
      <c r="K115" s="80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65">
        <f>IFERROR(Q115/O115,0)</f>
        <v/>
      </c>
      <c r="S115" s="35" t="n"/>
    </row>
    <row r="116" ht="15" customHeight="1" s="53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79" t="n">
        <v>43556</v>
      </c>
      <c r="I116" s="37" t="n">
        <v>2019</v>
      </c>
      <c r="J116" s="37" t="n">
        <v>2037</v>
      </c>
      <c r="K116" s="80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65">
        <f>IFERROR(Q116/O116,0)</f>
        <v/>
      </c>
      <c r="S116" s="35" t="n"/>
    </row>
    <row r="117" ht="15" customHeight="1" s="53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79" t="n">
        <v>44187</v>
      </c>
      <c r="I117" s="37" t="n">
        <v>2020</v>
      </c>
      <c r="J117" s="37" t="n">
        <v>2037</v>
      </c>
      <c r="K117" s="80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65">
        <f>IFERROR(Q117/O117,0)</f>
        <v/>
      </c>
      <c r="S117" s="35" t="n"/>
    </row>
    <row r="118" ht="15" customHeight="1" s="53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79" t="n">
        <v>44307</v>
      </c>
      <c r="I118" s="37" t="n">
        <v>2021</v>
      </c>
      <c r="J118" s="37" t="n">
        <v>2037</v>
      </c>
      <c r="K118" s="80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65">
        <f>IFERROR(Q118/O118,0)</f>
        <v/>
      </c>
      <c r="S118" s="35" t="n"/>
    </row>
    <row r="119" ht="15" customHeight="1" s="53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79" t="n">
        <v>44316</v>
      </c>
      <c r="I119" s="37" t="n">
        <v>2021</v>
      </c>
      <c r="J119" s="37" t="n">
        <v>2037</v>
      </c>
      <c r="K119" s="80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65">
        <f>IFERROR(Q119/O119,0)</f>
        <v/>
      </c>
      <c r="S119" s="35" t="n"/>
    </row>
    <row r="120" ht="15" customHeight="1" s="53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79" t="n">
        <v>44592</v>
      </c>
      <c r="I120" s="37" t="n">
        <v>2022</v>
      </c>
      <c r="J120" s="37" t="n">
        <v>2037</v>
      </c>
      <c r="K120" s="80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65">
        <f>IFERROR(Q120/O120,0)</f>
        <v/>
      </c>
      <c r="S120" s="35" t="n"/>
    </row>
    <row r="121" ht="15" customHeight="1" s="53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79" t="n">
        <v>44620</v>
      </c>
      <c r="I121" s="37" t="n">
        <v>2022</v>
      </c>
      <c r="J121" s="37" t="n">
        <v>2037</v>
      </c>
      <c r="K121" s="80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65">
        <f>IFERROR(Q121/O121,0)</f>
        <v/>
      </c>
      <c r="S121" s="35" t="n"/>
    </row>
    <row r="122" ht="15" customHeight="1" s="53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79" t="n">
        <v>44967</v>
      </c>
      <c r="I122" s="37" t="n">
        <v>2023</v>
      </c>
      <c r="J122" s="37" t="n">
        <v>2037</v>
      </c>
      <c r="K122" s="80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65">
        <f>IFERROR(Q122/O122,0)</f>
        <v/>
      </c>
      <c r="S122" s="35" t="n"/>
    </row>
    <row r="123" ht="15" customHeight="1" s="53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79" t="n">
        <v>45020</v>
      </c>
      <c r="I123" s="37" t="n">
        <v>2023</v>
      </c>
      <c r="J123" s="37" t="n">
        <v>2037</v>
      </c>
      <c r="K123" s="80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65">
        <f>IFERROR(Q123/O123,0)</f>
        <v/>
      </c>
      <c r="S123" s="35" t="n"/>
    </row>
    <row r="124" ht="15" customHeight="1" s="53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79" t="n">
        <v>45327</v>
      </c>
      <c r="I124" s="37" t="n">
        <v>2024</v>
      </c>
      <c r="J124" s="37" t="n">
        <v>2037</v>
      </c>
      <c r="K124" s="80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65">
        <f>IFERROR(Q124/O124,0)</f>
        <v/>
      </c>
      <c r="S124" s="35" t="n"/>
    </row>
    <row r="125" ht="15" customHeight="1" s="53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79" t="n">
        <v>45887</v>
      </c>
      <c r="I125" s="37" t="n">
        <v>2025</v>
      </c>
      <c r="J125" s="37" t="n">
        <v>2037</v>
      </c>
      <c r="K125" s="80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65">
        <f>IFERROR(Q125/O125,0)</f>
        <v/>
      </c>
      <c r="S125" s="35" t="n"/>
    </row>
    <row r="126" ht="15" customHeight="1" s="53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79" t="n">
        <v>43283</v>
      </c>
      <c r="I126" s="37" t="n">
        <v>2018</v>
      </c>
      <c r="J126" s="37" t="n">
        <v>2037</v>
      </c>
      <c r="K126" s="80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65">
        <f>IFERROR(Q126/O126,0)</f>
        <v/>
      </c>
      <c r="S126" s="35" t="n"/>
    </row>
    <row r="127" ht="15" customHeight="1" s="53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79" t="n">
        <v>43298</v>
      </c>
      <c r="I127" s="37" t="n">
        <v>2018</v>
      </c>
      <c r="J127" s="37" t="n">
        <v>2037</v>
      </c>
      <c r="K127" s="80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65">
        <f>IFERROR(Q127/O127,0)</f>
        <v/>
      </c>
      <c r="S127" s="35" t="n"/>
    </row>
    <row r="128" ht="15" customHeight="1" s="53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79" t="n">
        <v>43455</v>
      </c>
      <c r="I128" s="37" t="n">
        <v>2018</v>
      </c>
      <c r="J128" s="37" t="n">
        <v>2037</v>
      </c>
      <c r="K128" s="80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65">
        <f>IFERROR(Q128/O128,0)</f>
        <v/>
      </c>
      <c r="S128" s="35" t="n"/>
    </row>
    <row r="129" ht="15" customHeight="1" s="53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79" t="n">
        <v>43460</v>
      </c>
      <c r="I129" s="37" t="n">
        <v>2018</v>
      </c>
      <c r="J129" s="37" t="n">
        <v>2037</v>
      </c>
      <c r="K129" s="80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65">
        <f>IFERROR(Q129/O129,0)</f>
        <v/>
      </c>
      <c r="S129" s="35" t="n"/>
    </row>
    <row r="130" ht="15" customHeight="1" s="53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79" t="n">
        <v>43825</v>
      </c>
      <c r="I130" s="37" t="n">
        <v>2019</v>
      </c>
      <c r="J130" s="37" t="n">
        <v>2037</v>
      </c>
      <c r="K130" s="80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65">
        <f>IFERROR(Q130/O130,0)</f>
        <v/>
      </c>
      <c r="S130" s="35" t="n"/>
    </row>
    <row r="131" ht="15" customHeight="1" s="53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79" t="n">
        <v>44189</v>
      </c>
      <c r="I131" s="37" t="n">
        <v>2020</v>
      </c>
      <c r="J131" s="37" t="n">
        <v>2037</v>
      </c>
      <c r="K131" s="80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65">
        <f>IFERROR(Q131/O131,0)</f>
        <v/>
      </c>
      <c r="S131" s="35" t="n"/>
    </row>
    <row r="132" ht="15" customHeight="1" s="53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79" t="n">
        <v>44410</v>
      </c>
      <c r="I132" s="37" t="n">
        <v>2021</v>
      </c>
      <c r="J132" s="37" t="n">
        <v>2037</v>
      </c>
      <c r="K132" s="80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65">
        <f>IFERROR(Q132/O132,0)</f>
        <v/>
      </c>
      <c r="S132" s="35" t="n"/>
    </row>
    <row r="133" ht="15" customHeight="1" s="53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79" t="n">
        <v>44441</v>
      </c>
      <c r="I133" s="37" t="n">
        <v>2021</v>
      </c>
      <c r="J133" s="37" t="n">
        <v>2037</v>
      </c>
      <c r="K133" s="80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65">
        <f>IFERROR(Q133/O133,0)</f>
        <v/>
      </c>
      <c r="S133" s="35" t="n"/>
    </row>
    <row r="134" ht="15" customHeight="1" s="53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79" t="n">
        <v>44508</v>
      </c>
      <c r="I134" s="37" t="n">
        <v>2021</v>
      </c>
      <c r="J134" s="37" t="n">
        <v>2037</v>
      </c>
      <c r="K134" s="80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65">
        <f>IFERROR(Q134/O134,0)</f>
        <v/>
      </c>
      <c r="S134" s="35" t="n"/>
    </row>
    <row r="135" ht="15" customHeight="1" s="53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79" t="n">
        <v>44620</v>
      </c>
      <c r="I135" s="37" t="n">
        <v>2022</v>
      </c>
      <c r="J135" s="37" t="n">
        <v>2037</v>
      </c>
      <c r="K135" s="80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65">
        <f>IFERROR(Q135/O135,0)</f>
        <v/>
      </c>
      <c r="S135" s="35" t="n"/>
    </row>
    <row r="136" ht="15" customHeight="1" s="53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79" t="n">
        <v>45187</v>
      </c>
      <c r="I136" s="37" t="n">
        <v>2023</v>
      </c>
      <c r="J136" s="37" t="n">
        <v>2037</v>
      </c>
      <c r="K136" s="80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65">
        <f>IFERROR(Q136/O136,0)</f>
        <v/>
      </c>
      <c r="S136" s="35" t="n"/>
    </row>
    <row r="137" ht="15" customHeight="1" s="53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79" t="n">
        <v>45355</v>
      </c>
      <c r="I137" s="37" t="n">
        <v>2024</v>
      </c>
      <c r="J137" s="37" t="n">
        <v>2037</v>
      </c>
      <c r="K137" s="80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65">
        <f>IFERROR(Q137/O137,0)</f>
        <v/>
      </c>
      <c r="S137" s="35" t="n"/>
    </row>
    <row r="138" ht="15" customHeight="1" s="53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79" t="n">
        <v>45887</v>
      </c>
      <c r="I138" s="37" t="n">
        <v>2025</v>
      </c>
      <c r="J138" s="37" t="n">
        <v>2037</v>
      </c>
      <c r="K138" s="80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65">
        <f>IFERROR(Q138/O138,0)</f>
        <v/>
      </c>
      <c r="S138" s="35" t="n"/>
    </row>
    <row r="139" ht="15" customHeight="1" s="53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79" t="n">
        <v>43462</v>
      </c>
      <c r="I139" s="37" t="n">
        <v>2018</v>
      </c>
      <c r="J139" s="37" t="n">
        <v>2037</v>
      </c>
      <c r="K139" s="80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65">
        <f>IFERROR(Q139/O139,0)</f>
        <v/>
      </c>
      <c r="S139" s="35" t="n"/>
    </row>
    <row r="140" ht="15" customHeight="1" s="53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79" t="n">
        <v>43682</v>
      </c>
      <c r="I140" s="37" t="n">
        <v>2019</v>
      </c>
      <c r="J140" s="37" t="n">
        <v>2037</v>
      </c>
      <c r="K140" s="80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65">
        <f>IFERROR(Q140/O140,0)</f>
        <v/>
      </c>
      <c r="S140" s="35" t="n"/>
    </row>
    <row r="141" ht="15" customHeight="1" s="53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79" t="n">
        <v>43815</v>
      </c>
      <c r="I141" s="37" t="n">
        <v>2019</v>
      </c>
      <c r="J141" s="37" t="n">
        <v>2037</v>
      </c>
      <c r="K141" s="80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65">
        <f>IFERROR(Q141/O141,0)</f>
        <v/>
      </c>
      <c r="S141" s="35" t="n"/>
    </row>
    <row r="142" ht="15" customHeight="1" s="53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79" t="n">
        <v>43859</v>
      </c>
      <c r="I142" s="37" t="n">
        <v>2020</v>
      </c>
      <c r="J142" s="37" t="n">
        <v>2037</v>
      </c>
      <c r="K142" s="80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65">
        <f>IFERROR(Q142/O142,0)</f>
        <v/>
      </c>
      <c r="S142" s="35" t="n"/>
    </row>
    <row r="143" ht="15" customHeight="1" s="53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79" t="n">
        <v>44046</v>
      </c>
      <c r="I143" s="37" t="n">
        <v>2020</v>
      </c>
      <c r="J143" s="37" t="n">
        <v>2037</v>
      </c>
      <c r="K143" s="80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65">
        <f>IFERROR(Q143/O143,0)</f>
        <v/>
      </c>
      <c r="S143" s="35" t="n"/>
    </row>
    <row r="144" ht="15" customHeight="1" s="53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79" t="n">
        <v>44186</v>
      </c>
      <c r="I144" s="37" t="n">
        <v>2020</v>
      </c>
      <c r="J144" s="37" t="n">
        <v>2037</v>
      </c>
      <c r="K144" s="80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65">
        <f>IFERROR(Q144/O144,0)</f>
        <v/>
      </c>
      <c r="S144" s="35" t="n"/>
    </row>
    <row r="145" ht="15" customHeight="1" s="53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79" t="n">
        <v>44225</v>
      </c>
      <c r="I145" s="37" t="n">
        <v>2021</v>
      </c>
      <c r="J145" s="37" t="n">
        <v>2037</v>
      </c>
      <c r="K145" s="80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65">
        <f>IFERROR(Q145/O145,0)</f>
        <v/>
      </c>
      <c r="S145" s="35" t="n"/>
    </row>
    <row r="146" ht="15" customHeight="1" s="53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79" t="n">
        <v>44256</v>
      </c>
      <c r="I146" s="37" t="n">
        <v>2021</v>
      </c>
      <c r="J146" s="37" t="n">
        <v>2037</v>
      </c>
      <c r="K146" s="80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65">
        <f>IFERROR(Q146/O146,0)</f>
        <v/>
      </c>
      <c r="S146" s="35" t="n"/>
    </row>
    <row r="147" ht="15" customHeight="1" s="53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79" t="n">
        <v>44501</v>
      </c>
      <c r="I147" s="37" t="n">
        <v>2021</v>
      </c>
      <c r="J147" s="37" t="n">
        <v>2037</v>
      </c>
      <c r="K147" s="80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65">
        <f>IFERROR(Q147/O147,0)</f>
        <v/>
      </c>
      <c r="S147" s="35" t="n"/>
    </row>
    <row r="148" ht="15" customHeight="1" s="53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79" t="n">
        <v>44532</v>
      </c>
      <c r="I148" s="37" t="n">
        <v>2021</v>
      </c>
      <c r="J148" s="37" t="n">
        <v>2037</v>
      </c>
      <c r="K148" s="80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65">
        <f>IFERROR(Q148/O148,0)</f>
        <v/>
      </c>
      <c r="S148" s="35" t="n"/>
    </row>
    <row r="149" ht="15" customHeight="1" s="53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79" t="n">
        <v>44553</v>
      </c>
      <c r="I149" s="37" t="n">
        <v>2021</v>
      </c>
      <c r="J149" s="37" t="n">
        <v>2037</v>
      </c>
      <c r="K149" s="80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65">
        <f>IFERROR(Q149/O149,0)</f>
        <v/>
      </c>
      <c r="S149" s="35" t="n"/>
    </row>
    <row r="150" ht="15" customHeight="1" s="53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79" t="n">
        <v>44658</v>
      </c>
      <c r="I150" s="37" t="n">
        <v>2022</v>
      </c>
      <c r="J150" s="37" t="n">
        <v>2037</v>
      </c>
      <c r="K150" s="80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65">
        <f>IFERROR(Q150/O150,0)</f>
        <v/>
      </c>
      <c r="S150" s="35" t="n"/>
    </row>
    <row r="151" ht="15" customHeight="1" s="53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79" t="n">
        <v>44894</v>
      </c>
      <c r="I151" s="37" t="n">
        <v>2022</v>
      </c>
      <c r="J151" s="37" t="n">
        <v>2037</v>
      </c>
      <c r="K151" s="80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65">
        <f>IFERROR(Q151/O151,0)</f>
        <v/>
      </c>
      <c r="S151" s="35" t="n"/>
    </row>
    <row r="152" ht="15" customHeight="1" s="53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79" t="n">
        <v>45145</v>
      </c>
      <c r="I152" s="37" t="n">
        <v>2023</v>
      </c>
      <c r="J152" s="37" t="n">
        <v>2037</v>
      </c>
      <c r="K152" s="80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65">
        <f>IFERROR(Q152/O152,0)</f>
        <v/>
      </c>
      <c r="S152" s="35" t="n"/>
    </row>
    <row r="153" ht="15" customHeight="1" s="53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79" t="n">
        <v>45391</v>
      </c>
      <c r="I153" s="37" t="n">
        <v>2024</v>
      </c>
      <c r="J153" s="37" t="n">
        <v>2037</v>
      </c>
      <c r="K153" s="80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65">
        <f>IFERROR(Q153/O153,0)</f>
        <v/>
      </c>
      <c r="S153" s="35" t="n"/>
    </row>
    <row r="154" ht="15" customHeight="1" s="53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79" t="n">
        <v>45414</v>
      </c>
      <c r="I154" s="37" t="n">
        <v>2024</v>
      </c>
      <c r="J154" s="37" t="n">
        <v>2037</v>
      </c>
      <c r="K154" s="80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65">
        <f>IFERROR(Q154/O154,0)</f>
        <v/>
      </c>
      <c r="S154" s="35" t="n"/>
    </row>
    <row r="155" ht="15" customHeight="1" s="53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79" t="n">
        <v>46002</v>
      </c>
      <c r="I155" s="37" t="n">
        <v>2025</v>
      </c>
      <c r="J155" s="37" t="n">
        <v>2037</v>
      </c>
      <c r="K155" s="80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65">
        <f>IFERROR(Q155/O155,0)</f>
        <v/>
      </c>
      <c r="S155" s="35" t="n"/>
    </row>
    <row r="156" ht="15" customHeight="1" s="53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79" t="n">
        <v>44922</v>
      </c>
      <c r="I156" s="37" t="n">
        <v>2022</v>
      </c>
      <c r="J156" s="37" t="n">
        <v>2037</v>
      </c>
      <c r="K156" s="80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65">
        <f>IFERROR(Q156/O156,0)</f>
        <v/>
      </c>
      <c r="S156" s="35" t="n"/>
    </row>
    <row r="157" ht="15" customHeight="1" s="53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79" t="n">
        <v>45145</v>
      </c>
      <c r="I157" s="37" t="n">
        <v>2023</v>
      </c>
      <c r="J157" s="37" t="n">
        <v>2037</v>
      </c>
      <c r="K157" s="80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65">
        <f>IFERROR(Q157/O157,0)</f>
        <v/>
      </c>
      <c r="S157" s="35" t="n"/>
    </row>
    <row r="158" ht="15" customHeight="1" s="53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79" t="n">
        <v>45174</v>
      </c>
      <c r="I158" s="37" t="n">
        <v>2023</v>
      </c>
      <c r="J158" s="37" t="n">
        <v>2037</v>
      </c>
      <c r="K158" s="80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65">
        <f>IFERROR(Q158/O158,0)</f>
        <v/>
      </c>
      <c r="S158" s="35" t="n"/>
    </row>
    <row r="159" ht="15" customHeight="1" s="53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79" t="n">
        <v>45261</v>
      </c>
      <c r="I159" s="37" t="n">
        <v>2023</v>
      </c>
      <c r="J159" s="37" t="n">
        <v>2037</v>
      </c>
      <c r="K159" s="80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65">
        <f>IFERROR(Q159/O159,0)</f>
        <v/>
      </c>
      <c r="S159" s="35" t="n"/>
    </row>
    <row r="160" ht="15" customHeight="1" s="53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79" t="n">
        <v>45475</v>
      </c>
      <c r="I160" s="37" t="n">
        <v>2024</v>
      </c>
      <c r="J160" s="37" t="n">
        <v>2037</v>
      </c>
      <c r="K160" s="80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65">
        <f>IFERROR(Q160/O160,0)</f>
        <v/>
      </c>
      <c r="S160" s="35" t="n"/>
    </row>
    <row r="161" ht="15" customHeight="1" s="53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79" t="n">
        <v>45539</v>
      </c>
      <c r="I161" s="37" t="n">
        <v>2024</v>
      </c>
      <c r="J161" s="37" t="n">
        <v>2037</v>
      </c>
      <c r="K161" s="80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65">
        <f>IFERROR(Q161/O161,0)</f>
        <v/>
      </c>
      <c r="S161" s="35" t="n"/>
    </row>
    <row r="162" ht="15" customHeight="1" s="53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79" t="n">
        <v>45597</v>
      </c>
      <c r="I162" s="37" t="n">
        <v>2024</v>
      </c>
      <c r="J162" s="37" t="n">
        <v>2037</v>
      </c>
      <c r="K162" s="80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65">
        <f>IFERROR(Q162/O162,0)</f>
        <v/>
      </c>
      <c r="S162" s="35" t="n"/>
    </row>
    <row r="163" ht="15" customHeight="1" s="53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79" t="n">
        <v>45903</v>
      </c>
      <c r="I163" s="37" t="n">
        <v>2025</v>
      </c>
      <c r="J163" s="37" t="n">
        <v>2037</v>
      </c>
      <c r="K163" s="80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65">
        <f>IFERROR(Q163/O163,0)</f>
        <v/>
      </c>
      <c r="S163" s="35" t="n"/>
    </row>
    <row r="164" ht="15" customHeight="1" s="53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79" t="n">
        <v>45932</v>
      </c>
      <c r="I164" s="37" t="n">
        <v>2025</v>
      </c>
      <c r="J164" s="37" t="n">
        <v>2037</v>
      </c>
      <c r="K164" s="80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65">
        <f>IFERROR(Q164/O164,0)</f>
        <v/>
      </c>
      <c r="S164" s="35" t="n"/>
    </row>
    <row r="165" ht="15" customHeight="1" s="53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79" t="n">
        <v>46002</v>
      </c>
      <c r="I165" s="37" t="n">
        <v>2025</v>
      </c>
      <c r="J165" s="37" t="n">
        <v>2037</v>
      </c>
      <c r="K165" s="80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65">
        <f>IFERROR(Q165/O165,0)</f>
        <v/>
      </c>
      <c r="S165" s="35" t="n"/>
    </row>
    <row r="166" ht="15" customHeight="1" s="53">
      <c r="A166" s="35" t="n"/>
      <c r="B166" s="35" t="n"/>
      <c r="C166" s="35" t="n"/>
      <c r="D166" s="18" t="n"/>
      <c r="E166" s="18" t="n"/>
      <c r="F166" s="18" t="n"/>
      <c r="G166" s="18" t="n"/>
      <c r="H166" s="79" t="n"/>
      <c r="I166" s="37" t="n"/>
      <c r="J166" s="37" t="n"/>
      <c r="K166" s="80" t="n"/>
      <c r="L166" s="40" t="n"/>
      <c r="M166" s="40" t="n"/>
      <c r="N166" s="41" t="n"/>
      <c r="O166" s="42" t="n"/>
      <c r="P166" s="42" t="n"/>
      <c r="Q166" s="42" t="n"/>
      <c r="R166" s="65" t="n"/>
      <c r="S166" s="35" t="n"/>
    </row>
    <row r="167" ht="15" customHeight="1" s="53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67">
        <f>SUM(O5:O166)</f>
        <v/>
      </c>
      <c r="P167" s="67">
        <f>SUM(P5:P166)</f>
        <v/>
      </c>
      <c r="Q167" s="67">
        <f>SUM(Q5:Q166)</f>
        <v/>
      </c>
      <c r="R167" s="68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6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3" min="1" max="1"/>
    <col width="22" customWidth="1" style="53" min="2" max="2"/>
    <col width="16" customWidth="1" style="53" min="3" max="3"/>
    <col width="20" customWidth="1" style="53" min="4" max="4"/>
    <col width="26" customWidth="1" style="53" min="5" max="5"/>
    <col width="16" customWidth="1" style="53" min="6" max="6"/>
    <col width="14" customWidth="1" style="53" min="7" max="7"/>
    <col width="12" customWidth="1" style="53" min="8" max="8"/>
    <col width="16" customWidth="1" style="53" min="9" max="11"/>
    <col width="12" customWidth="1" style="53" min="12" max="13"/>
  </cols>
  <sheetData>
    <row r="2" ht="30" customHeight="1" s="53">
      <c r="A2" s="57" t="inlineStr">
        <is>
          <t>MUTUAL FUND — ROLLUP BY FUND</t>
        </is>
      </c>
    </row>
    <row r="4" ht="36" customHeight="1" s="53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3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64">
        <f>SUMIFS('MF - Lots'!$O:$O,'MF - Lots'!$C:$C,B5)</f>
        <v/>
      </c>
      <c r="K5" s="64">
        <f>SUMIFS('MF - Lots'!$P:$P,'MF - Lots'!$C:$C,B5)</f>
        <v/>
      </c>
      <c r="L5" s="66">
        <f>K5-J5</f>
        <v/>
      </c>
      <c r="M5" s="65">
        <f>IFERROR(L5/J5,0)</f>
        <v/>
      </c>
    </row>
    <row r="6" ht="15" customHeight="1" s="53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64">
        <f>SUMIFS('MF - Lots'!$O:$O,'MF - Lots'!$C:$C,B6)</f>
        <v/>
      </c>
      <c r="K6" s="64">
        <f>SUMIFS('MF - Lots'!$P:$P,'MF - Lots'!$C:$C,B6)</f>
        <v/>
      </c>
      <c r="L6" s="66">
        <f>K6-J6</f>
        <v/>
      </c>
      <c r="M6" s="65">
        <f>IFERROR(L6/J6,0)</f>
        <v/>
      </c>
    </row>
    <row r="7" ht="15" customHeight="1" s="53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64">
        <f>SUMIFS('MF - Lots'!$O:$O,'MF - Lots'!$C:$C,B7)</f>
        <v/>
      </c>
      <c r="K7" s="64">
        <f>SUMIFS('MF - Lots'!$P:$P,'MF - Lots'!$C:$C,B7)</f>
        <v/>
      </c>
      <c r="L7" s="66">
        <f>K7-J7</f>
        <v/>
      </c>
      <c r="M7" s="65">
        <f>IFERROR(L7/J7,0)</f>
        <v/>
      </c>
    </row>
    <row r="8" ht="15" customHeight="1" s="53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64">
        <f>SUMIFS('MF - Lots'!$O:$O,'MF - Lots'!$C:$C,B8)</f>
        <v/>
      </c>
      <c r="K8" s="64">
        <f>SUMIFS('MF - Lots'!$P:$P,'MF - Lots'!$C:$C,B8)</f>
        <v/>
      </c>
      <c r="L8" s="66">
        <f>K8-J8</f>
        <v/>
      </c>
      <c r="M8" s="65">
        <f>IFERROR(L8/J8,0)</f>
        <v/>
      </c>
    </row>
    <row r="9" ht="15" customHeight="1" s="53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64">
        <f>SUMIFS('MF - Lots'!$O:$O,'MF - Lots'!$C:$C,B9)</f>
        <v/>
      </c>
      <c r="K9" s="64">
        <f>SUMIFS('MF - Lots'!$P:$P,'MF - Lots'!$C:$C,B9)</f>
        <v/>
      </c>
      <c r="L9" s="66">
        <f>K9-J9</f>
        <v/>
      </c>
      <c r="M9" s="65">
        <f>IFERROR(L9/J9,0)</f>
        <v/>
      </c>
    </row>
    <row r="10" ht="15" customHeight="1" s="53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64">
        <f>SUMIFS('MF - Lots'!$O:$O,'MF - Lots'!$C:$C,B10)</f>
        <v/>
      </c>
      <c r="K10" s="64">
        <f>SUMIFS('MF - Lots'!$P:$P,'MF - Lots'!$C:$C,B10)</f>
        <v/>
      </c>
      <c r="L10" s="66">
        <f>K10-J10</f>
        <v/>
      </c>
      <c r="M10" s="65">
        <f>IFERROR(L10/J10,0)</f>
        <v/>
      </c>
    </row>
    <row r="11" ht="15" customHeight="1" s="53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64">
        <f>SUMIFS('MF - Lots'!$O:$O,'MF - Lots'!$C:$C,B11)</f>
        <v/>
      </c>
      <c r="K11" s="64">
        <f>SUMIFS('MF - Lots'!$P:$P,'MF - Lots'!$C:$C,B11)</f>
        <v/>
      </c>
      <c r="L11" s="66">
        <f>K11-J11</f>
        <v/>
      </c>
      <c r="M11" s="65">
        <f>IFERROR(L11/J11,0)</f>
        <v/>
      </c>
    </row>
    <row r="12" ht="15" customHeight="1" s="53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64">
        <f>SUMIFS('MF - Lots'!$O:$O,'MF - Lots'!$C:$C,B12)</f>
        <v/>
      </c>
      <c r="K12" s="64">
        <f>SUMIFS('MF - Lots'!$P:$P,'MF - Lots'!$C:$C,B12)</f>
        <v/>
      </c>
      <c r="L12" s="66">
        <f>K12-J12</f>
        <v/>
      </c>
      <c r="M12" s="65">
        <f>IFERROR(L12/J12,0)</f>
        <v/>
      </c>
    </row>
    <row r="13" ht="15" customHeight="1" s="53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64">
        <f>SUMIFS('MF - Lots'!$O:$O,'MF - Lots'!$C:$C,B13)</f>
        <v/>
      </c>
      <c r="K13" s="64">
        <f>SUMIFS('MF - Lots'!$P:$P,'MF - Lots'!$C:$C,B13)</f>
        <v/>
      </c>
      <c r="L13" s="66">
        <f>K13-J13</f>
        <v/>
      </c>
      <c r="M13" s="65">
        <f>IFERROR(L13/J13,0)</f>
        <v/>
      </c>
    </row>
    <row r="14" ht="15" customHeight="1" s="53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64">
        <f>SUMIFS('MF - Lots'!$O:$O,'MF - Lots'!$C:$C,B14)</f>
        <v/>
      </c>
      <c r="K14" s="64">
        <f>SUMIFS('MF - Lots'!$P:$P,'MF - Lots'!$C:$C,B14)</f>
        <v/>
      </c>
      <c r="L14" s="66">
        <f>K14-J14</f>
        <v/>
      </c>
      <c r="M14" s="65">
        <f>IFERROR(L14/J14,0)</f>
        <v/>
      </c>
    </row>
    <row r="15" ht="15" customHeight="1" s="53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64">
        <f>SUMIFS('MF - Lots'!$O:$O,'MF - Lots'!$C:$C,B15)</f>
        <v/>
      </c>
      <c r="K15" s="64">
        <f>SUMIFS('MF - Lots'!$P:$P,'MF - Lots'!$C:$C,B15)</f>
        <v/>
      </c>
      <c r="L15" s="66">
        <f>K15-J15</f>
        <v/>
      </c>
      <c r="M15" s="65">
        <f>IFERROR(L15/J15,0)</f>
        <v/>
      </c>
    </row>
    <row r="16" ht="15" customHeight="1" s="53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64">
        <f>SUMIFS('MF - Lots'!$O:$O,'MF - Lots'!$C:$C,B16)</f>
        <v/>
      </c>
      <c r="K16" s="64">
        <f>SUMIFS('MF - Lots'!$P:$P,'MF - Lots'!$C:$C,B16)</f>
        <v/>
      </c>
      <c r="L16" s="66">
        <f>K16-J16</f>
        <v/>
      </c>
      <c r="M16" s="65">
        <f>IFERROR(L16/J16,0)</f>
        <v/>
      </c>
    </row>
    <row r="17" ht="15" customHeight="1" s="53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64">
        <f>SUMIFS('MF - Lots'!$O:$O,'MF - Lots'!$C:$C,B17)</f>
        <v/>
      </c>
      <c r="K17" s="64">
        <f>SUMIFS('MF - Lots'!$P:$P,'MF - Lots'!$C:$C,B17)</f>
        <v/>
      </c>
      <c r="L17" s="66">
        <f>K17-J17</f>
        <v/>
      </c>
      <c r="M17" s="65">
        <f>IFERROR(L17/J17,0)</f>
        <v/>
      </c>
    </row>
    <row r="18" ht="15" customHeight="1" s="53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64">
        <f>SUMIFS('MF - Lots'!$O:$O,'MF - Lots'!$C:$C,B18)</f>
        <v/>
      </c>
      <c r="K18" s="64">
        <f>SUMIFS('MF - Lots'!$P:$P,'MF - Lots'!$C:$C,B18)</f>
        <v/>
      </c>
      <c r="L18" s="66">
        <f>K18-J18</f>
        <v/>
      </c>
      <c r="M18" s="65">
        <f>IFERROR(L18/J18,0)</f>
        <v/>
      </c>
    </row>
    <row r="19" ht="15" customHeight="1" s="53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64">
        <f>SUMIFS('MF - Lots'!$O:$O,'MF - Lots'!$C:$C,B19)</f>
        <v/>
      </c>
      <c r="K19" s="64">
        <f>SUMIFS('MF - Lots'!$P:$P,'MF - Lots'!$C:$C,B19)</f>
        <v/>
      </c>
      <c r="L19" s="66">
        <f>K19-J19</f>
        <v/>
      </c>
      <c r="M19" s="65">
        <f>IFERROR(L19/J19,0)</f>
        <v/>
      </c>
    </row>
    <row r="20" ht="15" customHeight="1" s="53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64">
        <f>SUMIFS('MF - Lots'!$O:$O,'MF - Lots'!$C:$C,B20)</f>
        <v/>
      </c>
      <c r="K20" s="64">
        <f>SUMIFS('MF - Lots'!$P:$P,'MF - Lots'!$C:$C,B20)</f>
        <v/>
      </c>
      <c r="L20" s="66">
        <f>K20-J20</f>
        <v/>
      </c>
      <c r="M20" s="65">
        <f>IFERROR(L20/J20,0)</f>
        <v/>
      </c>
    </row>
    <row r="21" ht="15" customHeight="1" s="53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64">
        <f>SUMIFS('MF - Lots'!$O:$O,'MF - Lots'!$C:$C,B21)</f>
        <v/>
      </c>
      <c r="K21" s="64">
        <f>SUMIFS('MF - Lots'!$P:$P,'MF - Lots'!$C:$C,B21)</f>
        <v/>
      </c>
      <c r="L21" s="66">
        <f>K21-J21</f>
        <v/>
      </c>
      <c r="M21" s="65">
        <f>IFERROR(L21/J21,0)</f>
        <v/>
      </c>
    </row>
    <row r="22" ht="15" customHeight="1" s="53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64">
        <f>SUMIFS('MF - Lots'!$O:$O,'MF - Lots'!$C:$C,B22)</f>
        <v/>
      </c>
      <c r="K22" s="64">
        <f>SUMIFS('MF - Lots'!$P:$P,'MF - Lots'!$C:$C,B22)</f>
        <v/>
      </c>
      <c r="L22" s="66">
        <f>K22-J22</f>
        <v/>
      </c>
      <c r="M22" s="65">
        <f>IFERROR(L22/J22,0)</f>
        <v/>
      </c>
    </row>
    <row r="23" ht="15" customHeight="1" s="53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64">
        <f>SUMIFS('MF - Lots'!$O:$O,'MF - Lots'!$C:$C,B23)</f>
        <v/>
      </c>
      <c r="K23" s="64">
        <f>SUMIFS('MF - Lots'!$P:$P,'MF - Lots'!$C:$C,B23)</f>
        <v/>
      </c>
      <c r="L23" s="66">
        <f>K23-J23</f>
        <v/>
      </c>
      <c r="M23" s="65">
        <f>IFERROR(L23/J23,0)</f>
        <v/>
      </c>
    </row>
    <row r="24" ht="15" customHeight="1" s="53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64">
        <f>SUMIFS('MF - Lots'!$O:$O,'MF - Lots'!$C:$C,B24)</f>
        <v/>
      </c>
      <c r="K24" s="64">
        <f>SUMIFS('MF - Lots'!$P:$P,'MF - Lots'!$C:$C,B24)</f>
        <v/>
      </c>
      <c r="L24" s="66">
        <f>K24-J24</f>
        <v/>
      </c>
      <c r="M24" s="65">
        <f>IFERROR(L24/J24,0)</f>
        <v/>
      </c>
    </row>
    <row r="25" ht="15" customHeight="1" s="53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64">
        <f>SUMIFS('MF - Lots'!$O:$O,'MF - Lots'!$C:$C,B25)</f>
        <v/>
      </c>
      <c r="K25" s="64">
        <f>SUMIFS('MF - Lots'!$P:$P,'MF - Lots'!$C:$C,B25)</f>
        <v/>
      </c>
      <c r="L25" s="66">
        <f>K25-J25</f>
        <v/>
      </c>
      <c r="M25" s="65">
        <f>IFERROR(L25/J25,0)</f>
        <v/>
      </c>
    </row>
    <row r="26" ht="15" customHeight="1" s="53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64">
        <f>SUMIFS('MF - Lots'!$O:$O,'MF - Lots'!$C:$C,B26)</f>
        <v/>
      </c>
      <c r="K26" s="64">
        <f>SUMIFS('MF - Lots'!$P:$P,'MF - Lots'!$C:$C,B26)</f>
        <v/>
      </c>
      <c r="L26" s="66">
        <f>K26-J26</f>
        <v/>
      </c>
      <c r="M26" s="65">
        <f>IFERROR(L26/J26,0)</f>
        <v/>
      </c>
    </row>
    <row r="27" ht="15" customHeight="1" s="53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64">
        <f>SUMIFS('MF - Lots'!$O:$O,'MF - Lots'!$C:$C,B27)</f>
        <v/>
      </c>
      <c r="K27" s="64">
        <f>SUMIFS('MF - Lots'!$P:$P,'MF - Lots'!$C:$C,B27)</f>
        <v/>
      </c>
      <c r="L27" s="66">
        <f>K27-J27</f>
        <v/>
      </c>
      <c r="M27" s="65">
        <f>IFERROR(L27/J27,0)</f>
        <v/>
      </c>
    </row>
    <row r="28" ht="15" customHeight="1" s="53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64">
        <f>SUMIFS('MF - Lots'!$O:$O,'MF - Lots'!$C:$C,B28)</f>
        <v/>
      </c>
      <c r="K28" s="64">
        <f>SUMIFS('MF - Lots'!$P:$P,'MF - Lots'!$C:$C,B28)</f>
        <v/>
      </c>
      <c r="L28" s="66">
        <f>K28-J28</f>
        <v/>
      </c>
      <c r="M28" s="65">
        <f>IFERROR(L28/J28,0)</f>
        <v/>
      </c>
    </row>
    <row r="29" ht="15" customHeight="1" s="53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64">
        <f>SUMIFS('MF - Lots'!$O:$O,'MF - Lots'!$C:$C,B29)</f>
        <v/>
      </c>
      <c r="K29" s="64">
        <f>SUMIFS('MF - Lots'!$P:$P,'MF - Lots'!$C:$C,B29)</f>
        <v/>
      </c>
      <c r="L29" s="66">
        <f>K29-J29</f>
        <v/>
      </c>
      <c r="M29" s="65">
        <f>IFERROR(L29/J29,0)</f>
        <v/>
      </c>
    </row>
    <row r="30" ht="15" customHeight="1" s="53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64">
        <f>SUMIFS('MF - Lots'!$O:$O,'MF - Lots'!$C:$C,B30)</f>
        <v/>
      </c>
      <c r="K30" s="64">
        <f>SUMIFS('MF - Lots'!$P:$P,'MF - Lots'!$C:$C,B30)</f>
        <v/>
      </c>
      <c r="L30" s="66">
        <f>K30-J30</f>
        <v/>
      </c>
      <c r="M30" s="65">
        <f>IFERROR(L30/J30,0)</f>
        <v/>
      </c>
    </row>
    <row r="31" ht="15" customHeight="1" s="53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64">
        <f>SUMIFS('MF - Lots'!$O:$O,'MF - Lots'!$C:$C,B31)</f>
        <v/>
      </c>
      <c r="K31" s="64">
        <f>SUMIFS('MF - Lots'!$P:$P,'MF - Lots'!$C:$C,B31)</f>
        <v/>
      </c>
      <c r="L31" s="66">
        <f>K31-J31</f>
        <v/>
      </c>
      <c r="M31" s="65">
        <f>IFERROR(L31/J31,0)</f>
        <v/>
      </c>
    </row>
    <row r="32" ht="15" customHeight="1" s="53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64">
        <f>SUMIFS('MF - Lots'!$O:$O,'MF - Lots'!$C:$C,B32)</f>
        <v/>
      </c>
      <c r="K32" s="64">
        <f>SUMIFS('MF - Lots'!$P:$P,'MF - Lots'!$C:$C,B32)</f>
        <v/>
      </c>
      <c r="L32" s="66">
        <f>K32-J32</f>
        <v/>
      </c>
      <c r="M32" s="65">
        <f>IFERROR(L32/J32,0)</f>
        <v/>
      </c>
    </row>
    <row r="33" ht="15" customHeight="1" s="53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64">
        <f>SUMIFS('MF - Lots'!$O:$O,'MF - Lots'!$C:$C,B33)</f>
        <v/>
      </c>
      <c r="K33" s="64">
        <f>SUMIFS('MF - Lots'!$P:$P,'MF - Lots'!$C:$C,B33)</f>
        <v/>
      </c>
      <c r="L33" s="66">
        <f>K33-J33</f>
        <v/>
      </c>
      <c r="M33" s="65">
        <f>IFERROR(L33/J33,0)</f>
        <v/>
      </c>
    </row>
    <row r="34" ht="15" customHeight="1" s="53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64">
        <f>SUMIFS('MF - Lots'!$O:$O,'MF - Lots'!$C:$C,B34)</f>
        <v/>
      </c>
      <c r="K34" s="64">
        <f>SUMIFS('MF - Lots'!$P:$P,'MF - Lots'!$C:$C,B34)</f>
        <v/>
      </c>
      <c r="L34" s="66">
        <f>K34-J34</f>
        <v/>
      </c>
      <c r="M34" s="65">
        <f>IFERROR(L34/J34,0)</f>
        <v/>
      </c>
    </row>
    <row r="35" ht="15" customHeight="1" s="53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64">
        <f>SUMIFS('MF - Lots'!$O:$O,'MF - Lots'!$C:$C,B35)</f>
        <v/>
      </c>
      <c r="K35" s="64">
        <f>SUMIFS('MF - Lots'!$P:$P,'MF - Lots'!$C:$C,B35)</f>
        <v/>
      </c>
      <c r="L35" s="66">
        <f>K35-J35</f>
        <v/>
      </c>
      <c r="M35" s="65">
        <f>IFERROR(L35/J35,0)</f>
        <v/>
      </c>
    </row>
    <row r="36" ht="15" customHeight="1" s="53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64">
        <f>SUMIFS('MF - Lots'!$O:$O,'MF - Lots'!$C:$C,B36)</f>
        <v/>
      </c>
      <c r="K36" s="64">
        <f>SUMIFS('MF - Lots'!$P:$P,'MF - Lots'!$C:$C,B36)</f>
        <v/>
      </c>
      <c r="L36" s="66">
        <f>K36-J36</f>
        <v/>
      </c>
      <c r="M36" s="65">
        <f>IFERROR(L36/J36,0)</f>
        <v/>
      </c>
    </row>
    <row r="37" ht="15" customHeight="1" s="53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64">
        <f>SUMIFS('MF - Lots'!$O:$O,'MF - Lots'!$C:$C,B37)</f>
        <v/>
      </c>
      <c r="K37" s="64">
        <f>SUMIFS('MF - Lots'!$P:$P,'MF - Lots'!$C:$C,B37)</f>
        <v/>
      </c>
      <c r="L37" s="66">
        <f>K37-J37</f>
        <v/>
      </c>
      <c r="M37" s="65">
        <f>IFERROR(L37/J37,0)</f>
        <v/>
      </c>
    </row>
    <row r="38" ht="15" customHeight="1" s="53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64" t="n"/>
      <c r="K38" s="64" t="n"/>
      <c r="L38" s="66" t="n"/>
      <c r="M38" s="65" t="n"/>
    </row>
    <row r="39" ht="15" customHeight="1" s="53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67">
        <f>SUM(J5:J38)</f>
        <v/>
      </c>
      <c r="K39" s="67">
        <f>SUM(K5:K38)</f>
        <v/>
      </c>
      <c r="L39" s="67">
        <f>SUM(L5:L38)</f>
        <v/>
      </c>
      <c r="M39" s="68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G30" activePane="bottomRight" state="frozen"/>
      <selection pane="topRight" activeCell="D1" sqref="D1"/>
      <selection pane="bottomLeft" activeCell="A28" sqref="A28"/>
      <selection pane="bottomRight" activeCell="N51" sqref="N51"/>
    </sheetView>
  </sheetViews>
  <sheetFormatPr baseColWidth="10" defaultColWidth="8.6640625" defaultRowHeight="15"/>
  <cols>
    <col width="5" customWidth="1" style="53" min="1" max="1"/>
    <col width="22" customWidth="1" style="53" min="2" max="2"/>
    <col width="14" customWidth="1" style="53" min="3" max="3"/>
    <col width="10" customWidth="1" style="53" min="4" max="4"/>
    <col width="20" customWidth="1" style="53" min="5" max="5"/>
    <col width="18" customWidth="1" style="53" min="6" max="6"/>
    <col width="22" customWidth="1" style="53" min="7" max="7"/>
    <col width="14" customWidth="1" style="53" min="8" max="8"/>
    <col width="16" customWidth="1" style="53" min="9" max="10"/>
    <col width="10" customWidth="1" style="53" min="11" max="11"/>
    <col width="16" customWidth="1" style="53" min="12" max="14"/>
    <col width="10" customWidth="1" style="53" min="15" max="15"/>
    <col width="26" customWidth="1" style="53" min="16" max="16"/>
  </cols>
  <sheetData>
    <row r="2" ht="30" customHeight="1" s="53">
      <c r="A2" s="57" t="inlineStr">
        <is>
          <t>EQUITIES — LOT LEVEL  (Thai + US + ETF)</t>
        </is>
      </c>
    </row>
    <row r="4" ht="42" customHeight="1" s="53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3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80">
        <f>IF(D5="THB",1,FXRate)</f>
        <v/>
      </c>
      <c r="L5" s="66">
        <f>IFERROR(H5*I5*K5,0)</f>
        <v/>
      </c>
      <c r="M5" s="66">
        <f>IFERROR(H5*J5*K5,0)</f>
        <v/>
      </c>
      <c r="N5" s="66">
        <f>M5-L5</f>
        <v/>
      </c>
      <c r="O5" s="65">
        <f>IFERROR(N5/L5,0)</f>
        <v/>
      </c>
      <c r="P5" s="35" t="n"/>
    </row>
    <row r="6" ht="15" customHeight="1" s="53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80">
        <f>IF(D6="THB",1,FXRate)</f>
        <v/>
      </c>
      <c r="L6" s="66">
        <f>IFERROR(H6*I6*K6,0)</f>
        <v/>
      </c>
      <c r="M6" s="66">
        <f>IFERROR(H6*J6*K6,0)</f>
        <v/>
      </c>
      <c r="N6" s="66">
        <f>M6-L6</f>
        <v/>
      </c>
      <c r="O6" s="65">
        <f>IFERROR(N6/L6,0)</f>
        <v/>
      </c>
      <c r="P6" s="35" t="n"/>
    </row>
    <row r="7" ht="15" customHeight="1" s="53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80">
        <f>IF(D7="THB",1,FXRate)</f>
        <v/>
      </c>
      <c r="L7" s="66">
        <f>IFERROR(H7*I7*K7,0)</f>
        <v/>
      </c>
      <c r="M7" s="66">
        <f>IFERROR(H7*J7*K7,0)</f>
        <v/>
      </c>
      <c r="N7" s="66">
        <f>M7-L7</f>
        <v/>
      </c>
      <c r="O7" s="65">
        <f>IFERROR(N7/L7,0)</f>
        <v/>
      </c>
      <c r="P7" s="35" t="n"/>
    </row>
    <row r="8" ht="15" customHeight="1" s="53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80">
        <f>IF(D8="THB",1,FXRate)</f>
        <v/>
      </c>
      <c r="L8" s="66">
        <f>IFERROR(H8*I8*K8,0)</f>
        <v/>
      </c>
      <c r="M8" s="66">
        <f>IFERROR(H8*J8*K8,0)</f>
        <v/>
      </c>
      <c r="N8" s="66">
        <f>M8-L8</f>
        <v/>
      </c>
      <c r="O8" s="65">
        <f>IFERROR(N8/L8,0)</f>
        <v/>
      </c>
      <c r="P8" s="35" t="n"/>
    </row>
    <row r="9" ht="15" customHeight="1" s="53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80">
        <f>IF(D9="THB",1,FXRate)</f>
        <v/>
      </c>
      <c r="L9" s="66">
        <f>IFERROR(H9*I9*K9,0)</f>
        <v/>
      </c>
      <c r="M9" s="66">
        <f>IFERROR(H9*J9*K9,0)</f>
        <v/>
      </c>
      <c r="N9" s="66">
        <f>M9-L9</f>
        <v/>
      </c>
      <c r="O9" s="65">
        <f>IFERROR(N9/L9,0)</f>
        <v/>
      </c>
      <c r="P9" s="35" t="n"/>
    </row>
    <row r="10" ht="15" customHeight="1" s="53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80">
        <f>IF(D10="THB",1,FXRate)</f>
        <v/>
      </c>
      <c r="L10" s="66">
        <f>IFERROR(H10*I10*K10,0)</f>
        <v/>
      </c>
      <c r="M10" s="66">
        <f>IFERROR(H10*J10*K10,0)</f>
        <v/>
      </c>
      <c r="N10" s="66">
        <f>M10-L10</f>
        <v/>
      </c>
      <c r="O10" s="65">
        <f>IFERROR(N10/L10,0)</f>
        <v/>
      </c>
      <c r="P10" s="35" t="n"/>
    </row>
    <row r="11" ht="15" customHeight="1" s="53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80">
        <f>IF(D11="THB",1,FXRate)</f>
        <v/>
      </c>
      <c r="L11" s="66">
        <f>IFERROR(H11*I11*K11,0)</f>
        <v/>
      </c>
      <c r="M11" s="66">
        <f>IFERROR(H11*J11*K11,0)</f>
        <v/>
      </c>
      <c r="N11" s="66">
        <f>M11-L11</f>
        <v/>
      </c>
      <c r="O11" s="65">
        <f>IFERROR(N11/L11,0)</f>
        <v/>
      </c>
      <c r="P11" s="35" t="n"/>
    </row>
    <row r="12" ht="15" customHeight="1" s="53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80">
        <f>IF(D12="THB",1,FXRate)</f>
        <v/>
      </c>
      <c r="L12" s="66">
        <f>IFERROR(H12*I12*K12,0)</f>
        <v/>
      </c>
      <c r="M12" s="66">
        <f>IFERROR(H12*J12*K12,0)</f>
        <v/>
      </c>
      <c r="N12" s="66">
        <f>M12-L12</f>
        <v/>
      </c>
      <c r="O12" s="65">
        <f>IFERROR(N12/L12,0)</f>
        <v/>
      </c>
      <c r="P12" s="35" t="n"/>
    </row>
    <row r="13" ht="15" customHeight="1" s="53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80">
        <f>IF(D13="THB",1,FXRate)</f>
        <v/>
      </c>
      <c r="L13" s="66">
        <f>IFERROR(H13*I13*K13,0)</f>
        <v/>
      </c>
      <c r="M13" s="66">
        <f>IFERROR(H13*J13*K13,0)</f>
        <v/>
      </c>
      <c r="N13" s="66">
        <f>M13-L13</f>
        <v/>
      </c>
      <c r="O13" s="65">
        <f>IFERROR(N13/L13,0)</f>
        <v/>
      </c>
      <c r="P13" s="35" t="n"/>
    </row>
    <row r="14" ht="15" customHeight="1" s="53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80">
        <f>IF(D14="THB",1,FXRate)</f>
        <v/>
      </c>
      <c r="L14" s="66">
        <f>IFERROR(H14*I14*K14,0)</f>
        <v/>
      </c>
      <c r="M14" s="66">
        <f>IFERROR(H14*J14*K14,0)</f>
        <v/>
      </c>
      <c r="N14" s="66">
        <f>M14-L14</f>
        <v/>
      </c>
      <c r="O14" s="65">
        <f>IFERROR(N14/L14,0)</f>
        <v/>
      </c>
      <c r="P14" s="35" t="n"/>
    </row>
    <row r="15" ht="15" customHeight="1" s="53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80">
        <f>IF(D15="THB",1,FXRate)</f>
        <v/>
      </c>
      <c r="L15" s="66">
        <f>IFERROR(H15*I15*K15,0)</f>
        <v/>
      </c>
      <c r="M15" s="66">
        <f>IFERROR(H15*J15*K15,0)</f>
        <v/>
      </c>
      <c r="N15" s="66">
        <f>M15-L15</f>
        <v/>
      </c>
      <c r="O15" s="65">
        <f>IFERROR(N15/L15,0)</f>
        <v/>
      </c>
      <c r="P15" s="35" t="n"/>
    </row>
    <row r="16" ht="15" customHeight="1" s="53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80">
        <f>IF(D16="THB",1,FXRate)</f>
        <v/>
      </c>
      <c r="L16" s="66">
        <f>IFERROR(H16*I16*K16,0)</f>
        <v/>
      </c>
      <c r="M16" s="66">
        <f>IFERROR(H16*J16*K16,0)</f>
        <v/>
      </c>
      <c r="N16" s="66">
        <f>M16-L16</f>
        <v/>
      </c>
      <c r="O16" s="65">
        <f>IFERROR(N16/L16,0)</f>
        <v/>
      </c>
      <c r="P16" s="35" t="n"/>
    </row>
    <row r="17" ht="15" customHeight="1" s="53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80">
        <f>IF(D17="THB",1,FXRate)</f>
        <v/>
      </c>
      <c r="L17" s="66">
        <f>IFERROR(H17*I17*K17,0)</f>
        <v/>
      </c>
      <c r="M17" s="66">
        <f>IFERROR(H17*J17*K17,0)</f>
        <v/>
      </c>
      <c r="N17" s="66">
        <f>M17-L17</f>
        <v/>
      </c>
      <c r="O17" s="65">
        <f>IFERROR(N17/L17,0)</f>
        <v/>
      </c>
      <c r="P17" s="35" t="n"/>
    </row>
    <row r="18" ht="15" customHeight="1" s="53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80">
        <f>IF(D18="THB",1,FXRate)</f>
        <v/>
      </c>
      <c r="L18" s="66">
        <f>IFERROR(H18*I18*K18,0)</f>
        <v/>
      </c>
      <c r="M18" s="66">
        <f>IFERROR(H18*J18*K18,0)</f>
        <v/>
      </c>
      <c r="N18" s="66">
        <f>M18-L18</f>
        <v/>
      </c>
      <c r="O18" s="65">
        <f>IFERROR(N18/L18,0)</f>
        <v/>
      </c>
      <c r="P18" s="35" t="n"/>
    </row>
    <row r="19" ht="15" customHeight="1" s="53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80">
        <f>IF(D19="THB",1,FXRate)</f>
        <v/>
      </c>
      <c r="L19" s="66">
        <f>IFERROR(H19*I19*K19,0)</f>
        <v/>
      </c>
      <c r="M19" s="66">
        <f>IFERROR(H19*J19*K19,0)</f>
        <v/>
      </c>
      <c r="N19" s="66">
        <f>M19-L19</f>
        <v/>
      </c>
      <c r="O19" s="65">
        <f>IFERROR(N19/L19,0)</f>
        <v/>
      </c>
      <c r="P19" s="35" t="n"/>
    </row>
    <row r="20" ht="15" customHeight="1" s="53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80">
        <f>IF(D20="THB",1,FXRate)</f>
        <v/>
      </c>
      <c r="L20" s="66">
        <f>IFERROR(H20*I20*K20,0)</f>
        <v/>
      </c>
      <c r="M20" s="66">
        <f>IFERROR(H20*J20*K20,0)</f>
        <v/>
      </c>
      <c r="N20" s="66">
        <f>M20-L20</f>
        <v/>
      </c>
      <c r="O20" s="65">
        <f>IFERROR(N20/L20,0)</f>
        <v/>
      </c>
      <c r="P20" s="35" t="n"/>
    </row>
    <row r="21" ht="15" customHeight="1" s="53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80">
        <f>IF(D21="THB",1,FXRate)</f>
        <v/>
      </c>
      <c r="L21" s="66">
        <f>IFERROR(H21*I21*K21,0)</f>
        <v/>
      </c>
      <c r="M21" s="66">
        <f>IFERROR(H21*J21*K21,0)</f>
        <v/>
      </c>
      <c r="N21" s="66">
        <f>M21-L21</f>
        <v/>
      </c>
      <c r="O21" s="65">
        <f>IFERROR(N21/L21,0)</f>
        <v/>
      </c>
      <c r="P21" s="35" t="n"/>
    </row>
    <row r="22" ht="15" customHeight="1" s="53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80">
        <f>IF(D22="THB",1,FXRate)</f>
        <v/>
      </c>
      <c r="L22" s="66">
        <f>IFERROR(H22*I22*K22,0)</f>
        <v/>
      </c>
      <c r="M22" s="66">
        <f>IFERROR(H22*J22*K22,0)</f>
        <v/>
      </c>
      <c r="N22" s="66">
        <f>M22-L22</f>
        <v/>
      </c>
      <c r="O22" s="65">
        <f>IFERROR(N22/L22,0)</f>
        <v/>
      </c>
      <c r="P22" s="35" t="n"/>
    </row>
    <row r="23" ht="15" customHeight="1" s="53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80">
        <f>IF(D23="THB",1,FXRate)</f>
        <v/>
      </c>
      <c r="L23" s="66">
        <f>IFERROR(H23*I23*K23,0)</f>
        <v/>
      </c>
      <c r="M23" s="66">
        <f>IFERROR(H23*J23*K23,0)</f>
        <v/>
      </c>
      <c r="N23" s="66">
        <f>M23-L23</f>
        <v/>
      </c>
      <c r="O23" s="65">
        <f>IFERROR(N23/L23,0)</f>
        <v/>
      </c>
      <c r="P23" s="35" t="n"/>
    </row>
    <row r="24" ht="15" customHeight="1" s="53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80">
        <f>IF(D24="THB",1,FXRate)</f>
        <v/>
      </c>
      <c r="L24" s="66">
        <f>IFERROR(H24*I24*K24,0)</f>
        <v/>
      </c>
      <c r="M24" s="66">
        <f>IFERROR(H24*J24*K24,0)</f>
        <v/>
      </c>
      <c r="N24" s="66">
        <f>M24-L24</f>
        <v/>
      </c>
      <c r="O24" s="65">
        <f>IFERROR(N24/L24,0)</f>
        <v/>
      </c>
      <c r="P24" s="35" t="n"/>
    </row>
    <row r="25" ht="15" customHeight="1" s="53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80">
        <f>IF(D25="THB",1,FXRate)</f>
        <v/>
      </c>
      <c r="L25" s="66">
        <f>IFERROR(H25*I25*K25,0)</f>
        <v/>
      </c>
      <c r="M25" s="66">
        <f>IFERROR(H25*J25*K25,0)</f>
        <v/>
      </c>
      <c r="N25" s="66">
        <f>M25-L25</f>
        <v/>
      </c>
      <c r="O25" s="65">
        <f>IFERROR(N25/L25,0)</f>
        <v/>
      </c>
      <c r="P25" s="35" t="n"/>
    </row>
    <row r="26" ht="15" customHeight="1" s="53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80">
        <f>IF(D26="THB",1,FXRate)</f>
        <v/>
      </c>
      <c r="L26" s="66">
        <f>IFERROR(H26*I26*K26,0)</f>
        <v/>
      </c>
      <c r="M26" s="66">
        <f>IFERROR(H26*J26*K26,0)</f>
        <v/>
      </c>
      <c r="N26" s="66">
        <f>M26-L26</f>
        <v/>
      </c>
      <c r="O26" s="65">
        <f>IFERROR(N26/L26,0)</f>
        <v/>
      </c>
      <c r="P26" s="35" t="n"/>
    </row>
    <row r="27" ht="15" customHeight="1" s="53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80">
        <f>IF(D27="THB",1,FXRate)</f>
        <v/>
      </c>
      <c r="L27" s="66">
        <f>IFERROR(H27*I27*K27,0)</f>
        <v/>
      </c>
      <c r="M27" s="66">
        <f>IFERROR(H27*J27*K27,0)</f>
        <v/>
      </c>
      <c r="N27" s="66">
        <f>M27-L27</f>
        <v/>
      </c>
      <c r="O27" s="65">
        <f>IFERROR(N27/L27,0)</f>
        <v/>
      </c>
      <c r="P27" s="35" t="n"/>
    </row>
    <row r="28" ht="15" customHeight="1" s="53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80">
        <f>IF(D28="THB",1,FXRate)</f>
        <v/>
      </c>
      <c r="L28" s="66">
        <f>IFERROR(H28*I28*K28,0)</f>
        <v/>
      </c>
      <c r="M28" s="66">
        <f>IFERROR(H28*J28*K28,0)</f>
        <v/>
      </c>
      <c r="N28" s="66">
        <f>M28-L28</f>
        <v/>
      </c>
      <c r="O28" s="65">
        <f>IFERROR(N28/L28,0)</f>
        <v/>
      </c>
      <c r="P28" s="35" t="n"/>
    </row>
    <row r="29" ht="15" customHeight="1" s="53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80">
        <f>IF(D29="THB",1,FXRate)</f>
        <v/>
      </c>
      <c r="L29" s="66">
        <f>IFERROR(H29*I29*K29,0)</f>
        <v/>
      </c>
      <c r="M29" s="66">
        <f>IFERROR(H29*J29*K29,0)</f>
        <v/>
      </c>
      <c r="N29" s="66">
        <f>M29-L29</f>
        <v/>
      </c>
      <c r="O29" s="65">
        <f>IFERROR(N29/L29,0)</f>
        <v/>
      </c>
      <c r="P29" s="35" t="n"/>
    </row>
    <row r="30" ht="15" customHeight="1" s="53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80">
        <f>IF(D30="THB",1,FXRate)</f>
        <v/>
      </c>
      <c r="L30" s="66">
        <f>IFERROR(H30*I30*K30,0)</f>
        <v/>
      </c>
      <c r="M30" s="66">
        <f>IFERROR(H30*J30*K30,0)</f>
        <v/>
      </c>
      <c r="N30" s="66">
        <f>M30-L30</f>
        <v/>
      </c>
      <c r="O30" s="65">
        <f>IFERROR(N30/L30,0)</f>
        <v/>
      </c>
      <c r="P30" s="35" t="n"/>
    </row>
    <row r="31" ht="15" customHeight="1" s="53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80">
        <f>IF(D31="THB",1,FXRate)</f>
        <v/>
      </c>
      <c r="L31" s="66">
        <f>IFERROR(H31*I31*K31,0)</f>
        <v/>
      </c>
      <c r="M31" s="66">
        <f>IFERROR(H31*J31*K31,0)</f>
        <v/>
      </c>
      <c r="N31" s="66">
        <f>M31-L31</f>
        <v/>
      </c>
      <c r="O31" s="65">
        <f>IFERROR(N31/L31,0)</f>
        <v/>
      </c>
      <c r="P31" s="35" t="n"/>
    </row>
    <row r="32" ht="15" customHeight="1" s="53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80">
        <f>IF(D32="THB",1,FXRate)</f>
        <v/>
      </c>
      <c r="L32" s="66">
        <f>IFERROR(H32*I32*K32,0)</f>
        <v/>
      </c>
      <c r="M32" s="66">
        <f>IFERROR(H32*J32*K32,0)</f>
        <v/>
      </c>
      <c r="N32" s="66">
        <f>M32-L32</f>
        <v/>
      </c>
      <c r="O32" s="65">
        <f>IFERROR(N32/L32,0)</f>
        <v/>
      </c>
      <c r="P32" s="35" t="n"/>
    </row>
    <row r="33" ht="15" customHeight="1" s="53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80">
        <f>IF(D33="THB",1,FXRate)</f>
        <v/>
      </c>
      <c r="L33" s="66">
        <f>IFERROR(H33*I33*K33,0)</f>
        <v/>
      </c>
      <c r="M33" s="66">
        <f>IFERROR(H33*J33*K33,0)</f>
        <v/>
      </c>
      <c r="N33" s="66">
        <f>M33-L33</f>
        <v/>
      </c>
      <c r="O33" s="65">
        <f>IFERROR(N33/L33,0)</f>
        <v/>
      </c>
      <c r="P33" s="35" t="n"/>
    </row>
    <row r="34" ht="15" customHeight="1" s="53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80">
        <f>IF(D34="THB",1,FXRate)</f>
        <v/>
      </c>
      <c r="L34" s="66">
        <f>IFERROR(H34*I34*K34,0)</f>
        <v/>
      </c>
      <c r="M34" s="66">
        <f>IFERROR(H34*J34*K34,0)</f>
        <v/>
      </c>
      <c r="N34" s="66">
        <f>M34-L34</f>
        <v/>
      </c>
      <c r="O34" s="65">
        <f>IFERROR(N34/L34,0)</f>
        <v/>
      </c>
      <c r="P34" s="35" t="n"/>
    </row>
    <row r="35" ht="15" customHeight="1" s="53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80">
        <f>IF(D35="THB",1,FXRate)</f>
        <v/>
      </c>
      <c r="L35" s="66">
        <f>IFERROR(H35*I35*K35,0)</f>
        <v/>
      </c>
      <c r="M35" s="66">
        <f>IFERROR(H35*J35*K35,0)</f>
        <v/>
      </c>
      <c r="N35" s="66">
        <f>M35-L35</f>
        <v/>
      </c>
      <c r="O35" s="65">
        <f>IFERROR(N35/L35,0)</f>
        <v/>
      </c>
      <c r="P35" s="35" t="n"/>
    </row>
    <row r="36" ht="15" customHeight="1" s="53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80">
        <f>IF(D36="THB",1,FXRate)</f>
        <v/>
      </c>
      <c r="L36" s="66">
        <f>IFERROR(H36*I36*K36,0)</f>
        <v/>
      </c>
      <c r="M36" s="66">
        <f>IFERROR(H36*J36*K36,0)</f>
        <v/>
      </c>
      <c r="N36" s="66">
        <f>M36-L36</f>
        <v/>
      </c>
      <c r="O36" s="65">
        <f>IFERROR(N36/L36,0)</f>
        <v/>
      </c>
      <c r="P36" s="35" t="n"/>
    </row>
    <row r="37" ht="15" customHeight="1" s="53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80">
        <f>IF(D37="THB",1,FXRate)</f>
        <v/>
      </c>
      <c r="L37" s="66">
        <f>IFERROR(H37*I37*K37,0)</f>
        <v/>
      </c>
      <c r="M37" s="66">
        <f>IFERROR(H37*J37*K37,0)</f>
        <v/>
      </c>
      <c r="N37" s="66">
        <f>M37-L37</f>
        <v/>
      </c>
      <c r="O37" s="65">
        <f>IFERROR(N37/L37,0)</f>
        <v/>
      </c>
      <c r="P37" s="35" t="n"/>
    </row>
    <row r="38" ht="15" customHeight="1" s="53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80">
        <f>IF(D38="THB",1,FXRate)</f>
        <v/>
      </c>
      <c r="L38" s="66">
        <f>IFERROR(H38*I38*K38,0)</f>
        <v/>
      </c>
      <c r="M38" s="66">
        <f>IFERROR(H38*J38*K38,0)</f>
        <v/>
      </c>
      <c r="N38" s="66">
        <f>M38-L38</f>
        <v/>
      </c>
      <c r="O38" s="65">
        <f>IFERROR(N38/L38,0)</f>
        <v/>
      </c>
      <c r="P38" s="35" t="n"/>
    </row>
    <row r="39" ht="15" customHeight="1" s="53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80">
        <f>IF(D39="THB",1,FXRate)</f>
        <v/>
      </c>
      <c r="L39" s="66">
        <f>IFERROR(H39*I39*K39,0)</f>
        <v/>
      </c>
      <c r="M39" s="66">
        <f>IFERROR(H39*J39*K39,0)</f>
        <v/>
      </c>
      <c r="N39" s="66">
        <f>M39-L39</f>
        <v/>
      </c>
      <c r="O39" s="65">
        <f>IFERROR(N39/L39,0)</f>
        <v/>
      </c>
      <c r="P39" s="35" t="n"/>
    </row>
    <row r="40" ht="15" customHeight="1" s="53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80">
        <f>IF(D40="THB",1,FXRate)</f>
        <v/>
      </c>
      <c r="L40" s="66">
        <f>IFERROR(H40*I40*K40,0)</f>
        <v/>
      </c>
      <c r="M40" s="66">
        <f>IFERROR(H40*J40*K40,0)</f>
        <v/>
      </c>
      <c r="N40" s="66">
        <f>M40-L40</f>
        <v/>
      </c>
      <c r="O40" s="65">
        <f>IFERROR(N40/L40,0)</f>
        <v/>
      </c>
      <c r="P40" s="35" t="n"/>
    </row>
    <row r="41" ht="15" customHeight="1" s="53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80">
        <f>IF(D41="THB",1,FXRate)</f>
        <v/>
      </c>
      <c r="L41" s="66">
        <f>IFERROR(H41*I41*K41,0)</f>
        <v/>
      </c>
      <c r="M41" s="66">
        <f>IFERROR(H41*J41*K41,0)</f>
        <v/>
      </c>
      <c r="N41" s="66">
        <f>M41-L41</f>
        <v/>
      </c>
      <c r="O41" s="65">
        <f>IFERROR(N41/L41,0)</f>
        <v/>
      </c>
      <c r="P41" s="35" t="n"/>
    </row>
    <row r="42" ht="15" customHeight="1" s="53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80">
        <f>IF(D42="THB",1,FXRate)</f>
        <v/>
      </c>
      <c r="L42" s="66">
        <f>IFERROR(H42*I42*K42,0)</f>
        <v/>
      </c>
      <c r="M42" s="66">
        <f>IFERROR(H42*J42*K42,0)</f>
        <v/>
      </c>
      <c r="N42" s="66">
        <f>M42-L42</f>
        <v/>
      </c>
      <c r="O42" s="65">
        <f>IFERROR(N42/L42,0)</f>
        <v/>
      </c>
      <c r="P42" s="35" t="n"/>
    </row>
    <row r="43" ht="15" customHeight="1" s="53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80">
        <f>IF(D43="THB",1,FXRate)</f>
        <v/>
      </c>
      <c r="L43" s="66">
        <f>IFERROR(H43*I43*K43,0)</f>
        <v/>
      </c>
      <c r="M43" s="66">
        <f>IFERROR(H43*J43*K43,0)</f>
        <v/>
      </c>
      <c r="N43" s="66">
        <f>M43-L43</f>
        <v/>
      </c>
      <c r="O43" s="65">
        <f>IFERROR(N43/L43,0)</f>
        <v/>
      </c>
      <c r="P43" s="35" t="n"/>
    </row>
    <row r="44" ht="15" customHeight="1" s="53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80">
        <f>IF(D44="THB",1,FXRate)</f>
        <v/>
      </c>
      <c r="L44" s="66">
        <f>IFERROR(H44*I44*K44,0)</f>
        <v/>
      </c>
      <c r="M44" s="66">
        <f>IFERROR(H44*J44*K44,0)</f>
        <v/>
      </c>
      <c r="N44" s="66">
        <f>M44-L44</f>
        <v/>
      </c>
      <c r="O44" s="65">
        <f>IFERROR(N44/L44,0)</f>
        <v/>
      </c>
      <c r="P44" s="35" t="n"/>
    </row>
    <row r="45" ht="15" customHeight="1" s="53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80">
        <f>IF(D45="THB",1,FXRate)</f>
        <v/>
      </c>
      <c r="L45" s="66">
        <f>IFERROR(H45*I45*K45,0)</f>
        <v/>
      </c>
      <c r="M45" s="66">
        <f>IFERROR(H45*J45*K45,0)</f>
        <v/>
      </c>
      <c r="N45" s="66">
        <f>M45-L45</f>
        <v/>
      </c>
      <c r="O45" s="65">
        <f>IFERROR(N45/L45,0)</f>
        <v/>
      </c>
      <c r="P45" s="35" t="n"/>
    </row>
    <row r="46" ht="15" customHeight="1" s="53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1</v>
      </c>
      <c r="J46" s="41" t="n">
        <v>1</v>
      </c>
      <c r="K46" s="80">
        <f>IF(D46="THB",1,FXRate)</f>
        <v/>
      </c>
      <c r="L46" s="66">
        <f>IFERROR(H46*I46*K46,0)</f>
        <v/>
      </c>
      <c r="M46" s="66">
        <f>IFERROR(H46*J46*K46,0)</f>
        <v/>
      </c>
      <c r="N46" s="66">
        <f>M46-L46</f>
        <v/>
      </c>
      <c r="O46" s="65">
        <f>IFERROR(N46/L46,0)</f>
        <v/>
      </c>
      <c r="P46" s="35" t="n"/>
    </row>
    <row r="47" ht="15" customHeight="1" s="53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</v>
      </c>
      <c r="J47" s="41" t="n">
        <v>1</v>
      </c>
      <c r="K47" s="80">
        <f>IF(D47="THB",1,FXRate)</f>
        <v/>
      </c>
      <c r="L47" s="66">
        <f>IFERROR(H47*I47*K47,0)</f>
        <v/>
      </c>
      <c r="M47" s="66">
        <f>IFERROR(H47*J47*K47,0)</f>
        <v/>
      </c>
      <c r="N47" s="66">
        <f>M47-L47</f>
        <v/>
      </c>
      <c r="O47" s="65">
        <f>IFERROR(N47/L47,0)</f>
        <v/>
      </c>
      <c r="P47" s="35" t="n"/>
    </row>
    <row r="48" ht="15" customHeight="1" s="53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1</v>
      </c>
      <c r="J48" s="41" t="n">
        <v>1</v>
      </c>
      <c r="K48" s="80">
        <f>IF(D48="THB",1,FXRate)</f>
        <v/>
      </c>
      <c r="L48" s="66">
        <f>IFERROR(H48*I48*K48,0)</f>
        <v/>
      </c>
      <c r="M48" s="66">
        <f>IFERROR(H48*J48*K48,0)</f>
        <v/>
      </c>
      <c r="N48" s="66">
        <f>M48-L48</f>
        <v/>
      </c>
      <c r="O48" s="65">
        <f>IFERROR(N48/L48,0)</f>
        <v/>
      </c>
      <c r="P48" s="35" t="n"/>
    </row>
    <row r="49" ht="15" customHeight="1" s="53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</v>
      </c>
      <c r="J49" s="41" t="n">
        <v>1</v>
      </c>
      <c r="K49" s="80">
        <f>IF(D49="THB",1,FXRate)</f>
        <v/>
      </c>
      <c r="L49" s="66">
        <f>IFERROR(H49*I49*K49,0)</f>
        <v/>
      </c>
      <c r="M49" s="66">
        <f>IFERROR(H49*J49*K49,0)</f>
        <v/>
      </c>
      <c r="N49" s="66">
        <f>M49-L49</f>
        <v/>
      </c>
      <c r="O49" s="65">
        <f>IFERROR(N49/L49,0)</f>
        <v/>
      </c>
      <c r="P49" s="35" t="n"/>
    </row>
    <row r="50" ht="15" customHeight="1" s="53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1</v>
      </c>
      <c r="J50" s="41" t="n">
        <v>1</v>
      </c>
      <c r="K50" s="80">
        <f>IF(D50="THB",1,FXRate)</f>
        <v/>
      </c>
      <c r="L50" s="66">
        <f>IFERROR(H50*I50*K50,0)</f>
        <v/>
      </c>
      <c r="M50" s="66">
        <f>IFERROR(H50*J50*K50,0)</f>
        <v/>
      </c>
      <c r="N50" s="66">
        <f>M50-L50</f>
        <v/>
      </c>
      <c r="O50" s="65">
        <f>IFERROR(N50/L50,0)</f>
        <v/>
      </c>
      <c r="P50" s="35" t="n"/>
    </row>
    <row r="51" ht="15" customHeight="1" s="53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80">
        <f>IF(D51="THB",1,FXRate)</f>
        <v/>
      </c>
      <c r="L51" s="66">
        <f>IFERROR(H51*I51*K51,0)</f>
        <v/>
      </c>
      <c r="M51" s="66">
        <f>IFERROR(H51*J51*K51,0)</f>
        <v/>
      </c>
      <c r="N51" s="66">
        <f>M51-L51</f>
        <v/>
      </c>
      <c r="O51" s="65">
        <f>IFERROR(N51/L51,0)</f>
        <v/>
      </c>
      <c r="P51" s="35" t="n"/>
    </row>
    <row r="52" ht="15" customHeight="1" s="53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67">
        <f>SUM(L5:L52)</f>
        <v/>
      </c>
      <c r="M53" s="67">
        <f>SUM(M5:M52)</f>
        <v/>
      </c>
      <c r="N53" s="67">
        <f>SUM(N5:N52)</f>
        <v/>
      </c>
      <c r="O53" s="68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24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3" min="1" max="1"/>
    <col width="14" customWidth="1" style="53" min="2" max="2"/>
    <col width="22" customWidth="1" style="53" min="3" max="3"/>
    <col width="10" customWidth="1" style="53" min="4" max="4"/>
    <col width="20" customWidth="1" style="53" min="5" max="5"/>
    <col width="18" customWidth="1" style="53" min="6" max="6"/>
    <col width="22" customWidth="1" style="53" min="7" max="7"/>
    <col width="10" customWidth="1" style="53" min="8" max="8"/>
    <col width="14" customWidth="1" style="53" min="9" max="9"/>
    <col width="16" customWidth="1" style="53" min="10" max="12"/>
    <col width="10" customWidth="1" style="53" min="13" max="13"/>
  </cols>
  <sheetData>
    <row r="2" ht="30" customHeight="1" s="53">
      <c r="A2" s="57" t="inlineStr">
        <is>
          <t>EQUITIES — ROLLUP BY TICKER</t>
        </is>
      </c>
    </row>
    <row r="4" ht="36" customHeight="1" s="53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3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64">
        <f>SUMIFS('Equities - Lots'!$L:$L,'Equities - Lots'!$B:$B,B5,'Equities - Lots'!$C:$C,C5)</f>
        <v/>
      </c>
      <c r="K5" s="64">
        <f>SUMIFS('Equities - Lots'!$M:$M,'Equities - Lots'!$B:$B,B5,'Equities - Lots'!$C:$C,C5)</f>
        <v/>
      </c>
      <c r="L5" s="66">
        <f>K5-J5</f>
        <v/>
      </c>
      <c r="M5" s="65">
        <f>IFERROR(L5/J5,0)</f>
        <v/>
      </c>
    </row>
    <row r="6" ht="15" customHeight="1" s="53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64">
        <f>SUMIFS('Equities - Lots'!$L:$L,'Equities - Lots'!$B:$B,B6,'Equities - Lots'!$C:$C,C6)</f>
        <v/>
      </c>
      <c r="K6" s="64">
        <f>SUMIFS('Equities - Lots'!$M:$M,'Equities - Lots'!$B:$B,B6,'Equities - Lots'!$C:$C,C6)</f>
        <v/>
      </c>
      <c r="L6" s="66">
        <f>K6-J6</f>
        <v/>
      </c>
      <c r="M6" s="65">
        <f>IFERROR(L6/J6,0)</f>
        <v/>
      </c>
    </row>
    <row r="7" ht="15" customHeight="1" s="53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64">
        <f>SUMIFS('Equities - Lots'!$L:$L,'Equities - Lots'!$B:$B,B7,'Equities - Lots'!$C:$C,C7)</f>
        <v/>
      </c>
      <c r="K7" s="64">
        <f>SUMIFS('Equities - Lots'!$M:$M,'Equities - Lots'!$B:$B,B7,'Equities - Lots'!$C:$C,C7)</f>
        <v/>
      </c>
      <c r="L7" s="66">
        <f>K7-J7</f>
        <v/>
      </c>
      <c r="M7" s="65">
        <f>IFERROR(L7/J7,0)</f>
        <v/>
      </c>
    </row>
    <row r="8" ht="15" customHeight="1" s="53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64">
        <f>SUMIFS('Equities - Lots'!$L:$L,'Equities - Lots'!$B:$B,B8,'Equities - Lots'!$C:$C,C8)</f>
        <v/>
      </c>
      <c r="K8" s="64">
        <f>SUMIFS('Equities - Lots'!$M:$M,'Equities - Lots'!$B:$B,B8,'Equities - Lots'!$C:$C,C8)</f>
        <v/>
      </c>
      <c r="L8" s="66">
        <f>K8-J8</f>
        <v/>
      </c>
      <c r="M8" s="65">
        <f>IFERROR(L8/J8,0)</f>
        <v/>
      </c>
    </row>
    <row r="9" ht="15" customHeight="1" s="53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64">
        <f>SUMIFS('Equities - Lots'!$L:$L,'Equities - Lots'!$B:$B,B9,'Equities - Lots'!$C:$C,C9)</f>
        <v/>
      </c>
      <c r="K9" s="64">
        <f>SUMIFS('Equities - Lots'!$M:$M,'Equities - Lots'!$B:$B,B9,'Equities - Lots'!$C:$C,C9)</f>
        <v/>
      </c>
      <c r="L9" s="66">
        <f>K9-J9</f>
        <v/>
      </c>
      <c r="M9" s="65">
        <f>IFERROR(L9/J9,0)</f>
        <v/>
      </c>
    </row>
    <row r="10" ht="15" customHeight="1" s="53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64">
        <f>SUMIFS('Equities - Lots'!$L:$L,'Equities - Lots'!$B:$B,B10,'Equities - Lots'!$C:$C,C10)</f>
        <v/>
      </c>
      <c r="K10" s="64">
        <f>SUMIFS('Equities - Lots'!$M:$M,'Equities - Lots'!$B:$B,B10,'Equities - Lots'!$C:$C,C10)</f>
        <v/>
      </c>
      <c r="L10" s="66">
        <f>K10-J10</f>
        <v/>
      </c>
      <c r="M10" s="65">
        <f>IFERROR(L10/J10,0)</f>
        <v/>
      </c>
    </row>
    <row r="11" ht="15" customHeight="1" s="53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64">
        <f>SUMIFS('Equities - Lots'!$L:$L,'Equities - Lots'!$B:$B,B11,'Equities - Lots'!$C:$C,C11)</f>
        <v/>
      </c>
      <c r="K11" s="64">
        <f>SUMIFS('Equities - Lots'!$M:$M,'Equities - Lots'!$B:$B,B11,'Equities - Lots'!$C:$C,C11)</f>
        <v/>
      </c>
      <c r="L11" s="66">
        <f>K11-J11</f>
        <v/>
      </c>
      <c r="M11" s="65">
        <f>IFERROR(L11/J11,0)</f>
        <v/>
      </c>
    </row>
    <row r="12" ht="15" customHeight="1" s="53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64">
        <f>SUMIFS('Equities - Lots'!$L:$L,'Equities - Lots'!$B:$B,B12,'Equities - Lots'!$C:$C,C12)</f>
        <v/>
      </c>
      <c r="K12" s="64">
        <f>SUMIFS('Equities - Lots'!$M:$M,'Equities - Lots'!$B:$B,B12,'Equities - Lots'!$C:$C,C12)</f>
        <v/>
      </c>
      <c r="L12" s="66">
        <f>K12-J12</f>
        <v/>
      </c>
      <c r="M12" s="65">
        <f>IFERROR(L12/J12,0)</f>
        <v/>
      </c>
    </row>
    <row r="13" ht="15" customHeight="1" s="53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64">
        <f>SUMIFS('Equities - Lots'!$L:$L,'Equities - Lots'!$B:$B,B13,'Equities - Lots'!$C:$C,C13)</f>
        <v/>
      </c>
      <c r="K13" s="64">
        <f>SUMIFS('Equities - Lots'!$M:$M,'Equities - Lots'!$B:$B,B13,'Equities - Lots'!$C:$C,C13)</f>
        <v/>
      </c>
      <c r="L13" s="66">
        <f>K13-J13</f>
        <v/>
      </c>
      <c r="M13" s="65">
        <f>IFERROR(L13/J13,0)</f>
        <v/>
      </c>
    </row>
    <row r="14" ht="15" customHeight="1" s="53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64">
        <f>SUMIFS('Equities - Lots'!$L:$L,'Equities - Lots'!$B:$B,B14,'Equities - Lots'!$C:$C,C14)</f>
        <v/>
      </c>
      <c r="K14" s="64">
        <f>SUMIFS('Equities - Lots'!$M:$M,'Equities - Lots'!$B:$B,B14,'Equities - Lots'!$C:$C,C14)</f>
        <v/>
      </c>
      <c r="L14" s="66">
        <f>K14-J14</f>
        <v/>
      </c>
      <c r="M14" s="65">
        <f>IFERROR(L14/J14,0)</f>
        <v/>
      </c>
    </row>
    <row r="15" ht="15" customHeight="1" s="53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64">
        <f>SUMIFS('Equities - Lots'!$L:$L,'Equities - Lots'!$B:$B,B15,'Equities - Lots'!$C:$C,C15)</f>
        <v/>
      </c>
      <c r="K15" s="64">
        <f>SUMIFS('Equities - Lots'!$M:$M,'Equities - Lots'!$B:$B,B15,'Equities - Lots'!$C:$C,C15)</f>
        <v/>
      </c>
      <c r="L15" s="66">
        <f>K15-J15</f>
        <v/>
      </c>
      <c r="M15" s="65">
        <f>IFERROR(L15/J15,0)</f>
        <v/>
      </c>
    </row>
    <row r="16" ht="15" customHeight="1" s="53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64">
        <f>SUMIFS('Equities - Lots'!$L:$L,'Equities - Lots'!$B:$B,B16,'Equities - Lots'!$C:$C,C16)</f>
        <v/>
      </c>
      <c r="K16" s="64">
        <f>SUMIFS('Equities - Lots'!$M:$M,'Equities - Lots'!$B:$B,B16,'Equities - Lots'!$C:$C,C16)</f>
        <v/>
      </c>
      <c r="L16" s="66">
        <f>K16-J16</f>
        <v/>
      </c>
      <c r="M16" s="65">
        <f>IFERROR(L16/J16,0)</f>
        <v/>
      </c>
    </row>
    <row r="17" ht="15" customHeight="1" s="53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64">
        <f>SUMIFS('Equities - Lots'!$L:$L,'Equities - Lots'!$B:$B,B17,'Equities - Lots'!$C:$C,C17)</f>
        <v/>
      </c>
      <c r="K17" s="64">
        <f>SUMIFS('Equities - Lots'!$M:$M,'Equities - Lots'!$B:$B,B17,'Equities - Lots'!$C:$C,C17)</f>
        <v/>
      </c>
      <c r="L17" s="66">
        <f>K17-J17</f>
        <v/>
      </c>
      <c r="M17" s="65">
        <f>IFERROR(L17/J17,0)</f>
        <v/>
      </c>
    </row>
    <row r="18" ht="15" customHeight="1" s="53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64">
        <f>SUMIFS('Equities - Lots'!$L:$L,'Equities - Lots'!$B:$B,B18,'Equities - Lots'!$C:$C,C18)</f>
        <v/>
      </c>
      <c r="K18" s="64">
        <f>SUMIFS('Equities - Lots'!$M:$M,'Equities - Lots'!$B:$B,B18,'Equities - Lots'!$C:$C,C18)</f>
        <v/>
      </c>
      <c r="L18" s="66">
        <f>K18-J18</f>
        <v/>
      </c>
      <c r="M18" s="65">
        <f>IFERROR(L18/J18,0)</f>
        <v/>
      </c>
    </row>
    <row r="19" ht="15" customHeight="1" s="53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64">
        <f>SUMIFS('Equities - Lots'!$L:$L,'Equities - Lots'!$B:$B,B19,'Equities - Lots'!$C:$C,C19)</f>
        <v/>
      </c>
      <c r="K19" s="64">
        <f>SUMIFS('Equities - Lots'!$M:$M,'Equities - Lots'!$B:$B,B19,'Equities - Lots'!$C:$C,C19)</f>
        <v/>
      </c>
      <c r="L19" s="66">
        <f>K19-J19</f>
        <v/>
      </c>
      <c r="M19" s="65">
        <f>IFERROR(L19/J19,0)</f>
        <v/>
      </c>
    </row>
    <row r="20" ht="15" customHeight="1" s="53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64">
        <f>SUMIFS('Equities - Lots'!$L:$L,'Equities - Lots'!$B:$B,B20,'Equities - Lots'!$C:$C,C20)</f>
        <v/>
      </c>
      <c r="K20" s="64">
        <f>SUMIFS('Equities - Lots'!$M:$M,'Equities - Lots'!$B:$B,B20,'Equities - Lots'!$C:$C,C20)</f>
        <v/>
      </c>
      <c r="L20" s="66">
        <f>K20-J20</f>
        <v/>
      </c>
      <c r="M20" s="65">
        <f>IFERROR(L20/J20,0)</f>
        <v/>
      </c>
    </row>
    <row r="21" ht="15" customHeight="1" s="53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64">
        <f>SUMIFS('Equities - Lots'!$L:$L,'Equities - Lots'!$B:$B,B21,'Equities - Lots'!$C:$C,C21)</f>
        <v/>
      </c>
      <c r="K21" s="64">
        <f>SUMIFS('Equities - Lots'!$M:$M,'Equities - Lots'!$B:$B,B21,'Equities - Lots'!$C:$C,C21)</f>
        <v/>
      </c>
      <c r="L21" s="66">
        <f>K21-J21</f>
        <v/>
      </c>
      <c r="M21" s="65">
        <f>IFERROR(L21/J21,0)</f>
        <v/>
      </c>
    </row>
    <row r="22" ht="15" customHeight="1" s="53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64">
        <f>SUMIFS('Equities - Lots'!$L:$L,'Equities - Lots'!$B:$B,B22,'Equities - Lots'!$C:$C,C22)</f>
        <v/>
      </c>
      <c r="K22" s="64">
        <f>SUMIFS('Equities - Lots'!$M:$M,'Equities - Lots'!$B:$B,B22,'Equities - Lots'!$C:$C,C22)</f>
        <v/>
      </c>
      <c r="L22" s="66">
        <f>K22-J22</f>
        <v/>
      </c>
      <c r="M22" s="65">
        <f>IFERROR(L22/J22,0)</f>
        <v/>
      </c>
    </row>
    <row r="23" ht="15" customHeight="1" s="53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64">
        <f>SUMIFS('Equities - Lots'!$L:$L,'Equities - Lots'!$B:$B,B23,'Equities - Lots'!$C:$C,C23)</f>
        <v/>
      </c>
      <c r="K23" s="64">
        <f>SUMIFS('Equities - Lots'!$M:$M,'Equities - Lots'!$B:$B,B23,'Equities - Lots'!$C:$C,C23)</f>
        <v/>
      </c>
      <c r="L23" s="66">
        <f>K23-J23</f>
        <v/>
      </c>
      <c r="M23" s="65">
        <f>IFERROR(L23/J23,0)</f>
        <v/>
      </c>
    </row>
    <row r="24" ht="15" customHeight="1" s="53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64">
        <f>SUMIFS('Equities - Lots'!$L:$L,'Equities - Lots'!$B:$B,B24,'Equities - Lots'!$C:$C,C24)</f>
        <v/>
      </c>
      <c r="K24" s="64">
        <f>SUMIFS('Equities - Lots'!$M:$M,'Equities - Lots'!$B:$B,B24,'Equities - Lots'!$C:$C,C24)</f>
        <v/>
      </c>
      <c r="L24" s="66">
        <f>K24-J24</f>
        <v/>
      </c>
      <c r="M24" s="65">
        <f>IFERROR(L24/J24,0)</f>
        <v/>
      </c>
    </row>
    <row r="25" ht="15" customHeight="1" s="53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64">
        <f>SUMIFS('Equities - Lots'!$L:$L,'Equities - Lots'!$B:$B,B25,'Equities - Lots'!$C:$C,C25)</f>
        <v/>
      </c>
      <c r="K25" s="64">
        <f>SUMIFS('Equities - Lots'!$M:$M,'Equities - Lots'!$B:$B,B25,'Equities - Lots'!$C:$C,C25)</f>
        <v/>
      </c>
      <c r="L25" s="66">
        <f>K25-J25</f>
        <v/>
      </c>
      <c r="M25" s="65">
        <f>IFERROR(L25/J25,0)</f>
        <v/>
      </c>
    </row>
    <row r="26" ht="15" customHeight="1" s="53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64">
        <f>SUMIFS('Equities - Lots'!$L:$L,'Equities - Lots'!$B:$B,B26,'Equities - Lots'!$C:$C,C26)</f>
        <v/>
      </c>
      <c r="K26" s="64">
        <f>SUMIFS('Equities - Lots'!$M:$M,'Equities - Lots'!$B:$B,B26,'Equities - Lots'!$C:$C,C26)</f>
        <v/>
      </c>
      <c r="L26" s="66">
        <f>K26-J26</f>
        <v/>
      </c>
      <c r="M26" s="65">
        <f>IFERROR(L26/J26,0)</f>
        <v/>
      </c>
    </row>
    <row r="27" ht="15" customHeight="1" s="53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64">
        <f>SUMIFS('Equities - Lots'!$L:$L,'Equities - Lots'!$B:$B,B27,'Equities - Lots'!$C:$C,C27)</f>
        <v/>
      </c>
      <c r="K27" s="64">
        <f>SUMIFS('Equities - Lots'!$M:$M,'Equities - Lots'!$B:$B,B27,'Equities - Lots'!$C:$C,C27)</f>
        <v/>
      </c>
      <c r="L27" s="66">
        <f>K27-J27</f>
        <v/>
      </c>
      <c r="M27" s="65">
        <f>IFERROR(L27/J27,0)</f>
        <v/>
      </c>
    </row>
    <row r="28" ht="15" customHeight="1" s="53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64">
        <f>SUMIFS('Equities - Lots'!$L:$L,'Equities - Lots'!$B:$B,B28,'Equities - Lots'!$C:$C,C28)</f>
        <v/>
      </c>
      <c r="K28" s="64">
        <f>SUMIFS('Equities - Lots'!$M:$M,'Equities - Lots'!$B:$B,B28,'Equities - Lots'!$C:$C,C28)</f>
        <v/>
      </c>
      <c r="L28" s="66">
        <f>K28-J28</f>
        <v/>
      </c>
      <c r="M28" s="65">
        <f>IFERROR(L28/J28,0)</f>
        <v/>
      </c>
    </row>
    <row r="29" ht="15" customHeight="1" s="53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64">
        <f>SUMIFS('Equities - Lots'!$L:$L,'Equities - Lots'!$B:$B,B29,'Equities - Lots'!$C:$C,C29)</f>
        <v/>
      </c>
      <c r="K29" s="64">
        <f>SUMIFS('Equities - Lots'!$M:$M,'Equities - Lots'!$B:$B,B29,'Equities - Lots'!$C:$C,C29)</f>
        <v/>
      </c>
      <c r="L29" s="66">
        <f>K29-J29</f>
        <v/>
      </c>
      <c r="M29" s="65">
        <f>IFERROR(L29/J29,0)</f>
        <v/>
      </c>
    </row>
    <row r="30" ht="15" customHeight="1" s="53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64">
        <f>SUMIFS('Equities - Lots'!$L:$L,'Equities - Lots'!$B:$B,B30,'Equities - Lots'!$C:$C,C30)</f>
        <v/>
      </c>
      <c r="K30" s="64">
        <f>SUMIFS('Equities - Lots'!$M:$M,'Equities - Lots'!$B:$B,B30,'Equities - Lots'!$C:$C,C30)</f>
        <v/>
      </c>
      <c r="L30" s="66">
        <f>K30-J30</f>
        <v/>
      </c>
      <c r="M30" s="65">
        <f>IFERROR(L30/J30,0)</f>
        <v/>
      </c>
    </row>
    <row r="31" ht="15" customHeight="1" s="53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64">
        <f>SUMIFS('Equities - Lots'!$L:$L,'Equities - Lots'!$B:$B,B31,'Equities - Lots'!$C:$C,C31)</f>
        <v/>
      </c>
      <c r="K31" s="64">
        <f>SUMIFS('Equities - Lots'!$M:$M,'Equities - Lots'!$B:$B,B31,'Equities - Lots'!$C:$C,C31)</f>
        <v/>
      </c>
      <c r="L31" s="66">
        <f>K31-J31</f>
        <v/>
      </c>
      <c r="M31" s="65">
        <f>IFERROR(L31/J31,0)</f>
        <v/>
      </c>
    </row>
    <row r="32" ht="15" customHeight="1" s="53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64">
        <f>SUMIFS('Equities - Lots'!$L:$L,'Equities - Lots'!$B:$B,B32,'Equities - Lots'!$C:$C,C32)</f>
        <v/>
      </c>
      <c r="K32" s="64">
        <f>SUMIFS('Equities - Lots'!$M:$M,'Equities - Lots'!$B:$B,B32,'Equities - Lots'!$C:$C,C32)</f>
        <v/>
      </c>
      <c r="L32" s="66">
        <f>K32-J32</f>
        <v/>
      </c>
      <c r="M32" s="65">
        <f>IFERROR(L32/J32,0)</f>
        <v/>
      </c>
    </row>
    <row r="33" ht="15" customHeight="1" s="53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64">
        <f>SUMIFS('Equities - Lots'!$L:$L,'Equities - Lots'!$B:$B,B33,'Equities - Lots'!$C:$C,C33)</f>
        <v/>
      </c>
      <c r="K33" s="64">
        <f>SUMIFS('Equities - Lots'!$M:$M,'Equities - Lots'!$B:$B,B33,'Equities - Lots'!$C:$C,C33)</f>
        <v/>
      </c>
      <c r="L33" s="66">
        <f>K33-J33</f>
        <v/>
      </c>
      <c r="M33" s="65">
        <f>IFERROR(L33/J33,0)</f>
        <v/>
      </c>
    </row>
    <row r="34" ht="15" customHeight="1" s="53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64">
        <f>SUMIFS('Equities - Lots'!$L:$L,'Equities - Lots'!$B:$B,B34,'Equities - Lots'!$C:$C,C34)</f>
        <v/>
      </c>
      <c r="K34" s="64">
        <f>SUMIFS('Equities - Lots'!$M:$M,'Equities - Lots'!$B:$B,B34,'Equities - Lots'!$C:$C,C34)</f>
        <v/>
      </c>
      <c r="L34" s="66">
        <f>K34-J34</f>
        <v/>
      </c>
      <c r="M34" s="65">
        <f>IFERROR(L34/J34,0)</f>
        <v/>
      </c>
    </row>
    <row r="35" ht="15" customHeight="1" s="53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64">
        <f>SUMIFS('Equities - Lots'!$L:$L,'Equities - Lots'!$B:$B,B35,'Equities - Lots'!$C:$C,C35)</f>
        <v/>
      </c>
      <c r="K35" s="64">
        <f>SUMIFS('Equities - Lots'!$M:$M,'Equities - Lots'!$B:$B,B35,'Equities - Lots'!$C:$C,C35)</f>
        <v/>
      </c>
      <c r="L35" s="66">
        <f>K35-J35</f>
        <v/>
      </c>
      <c r="M35" s="65">
        <f>IFERROR(L35/J35,0)</f>
        <v/>
      </c>
    </row>
    <row r="36" ht="15" customHeight="1" s="53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64">
        <f>SUMIFS('Equities - Lots'!$L:$L,'Equities - Lots'!$B:$B,B36,'Equities - Lots'!$C:$C,C36)</f>
        <v/>
      </c>
      <c r="K36" s="64">
        <f>SUMIFS('Equities - Lots'!$M:$M,'Equities - Lots'!$B:$B,B36,'Equities - Lots'!$C:$C,C36)</f>
        <v/>
      </c>
      <c r="L36" s="66">
        <f>K36-J36</f>
        <v/>
      </c>
      <c r="M36" s="65">
        <f>IFERROR(L36/J36,0)</f>
        <v/>
      </c>
    </row>
    <row r="37" ht="15" customHeight="1" s="53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64">
        <f>SUMIFS('Equities - Lots'!$L:$L,'Equities - Lots'!$B:$B,B37,'Equities - Lots'!$C:$C,C37)</f>
        <v/>
      </c>
      <c r="K37" s="64">
        <f>SUMIFS('Equities - Lots'!$M:$M,'Equities - Lots'!$B:$B,B37,'Equities - Lots'!$C:$C,C37)</f>
        <v/>
      </c>
      <c r="L37" s="66">
        <f>K37-J37</f>
        <v/>
      </c>
      <c r="M37" s="65">
        <f>IFERROR(L37/J37,0)</f>
        <v/>
      </c>
    </row>
    <row r="38" ht="15" customHeight="1" s="53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64">
        <f>SUMIFS('Equities - Lots'!$L:$L,'Equities - Lots'!$B:$B,B38,'Equities - Lots'!$C:$C,C38)</f>
        <v/>
      </c>
      <c r="K38" s="64">
        <f>SUMIFS('Equities - Lots'!$M:$M,'Equities - Lots'!$B:$B,B38,'Equities - Lots'!$C:$C,C38)</f>
        <v/>
      </c>
      <c r="L38" s="66">
        <f>K38-J38</f>
        <v/>
      </c>
      <c r="M38" s="65">
        <f>IFERROR(L38/J38,0)</f>
        <v/>
      </c>
    </row>
    <row r="39" ht="15" customHeight="1" s="53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64">
        <f>SUMIFS('Equities - Lots'!$L:$L,'Equities - Lots'!$B:$B,B39,'Equities - Lots'!$C:$C,C39)</f>
        <v/>
      </c>
      <c r="K39" s="64">
        <f>SUMIFS('Equities - Lots'!$M:$M,'Equities - Lots'!$B:$B,B39,'Equities - Lots'!$C:$C,C39)</f>
        <v/>
      </c>
      <c r="L39" s="66">
        <f>K39-J39</f>
        <v/>
      </c>
      <c r="M39" s="65">
        <f>IFERROR(L39/J39,0)</f>
        <v/>
      </c>
    </row>
    <row r="40" ht="15" customHeight="1" s="53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64">
        <f>SUMIFS('Equities - Lots'!$L:$L,'Equities - Lots'!$B:$B,B40,'Equities - Lots'!$C:$C,C40)</f>
        <v/>
      </c>
      <c r="K40" s="64">
        <f>SUMIFS('Equities - Lots'!$M:$M,'Equities - Lots'!$B:$B,B40,'Equities - Lots'!$C:$C,C40)</f>
        <v/>
      </c>
      <c r="L40" s="66">
        <f>K40-J40</f>
        <v/>
      </c>
      <c r="M40" s="65">
        <f>IFERROR(L40/J40,0)</f>
        <v/>
      </c>
    </row>
    <row r="41" ht="15" customHeight="1" s="53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64">
        <f>SUMIFS('Equities - Lots'!$L:$L,'Equities - Lots'!$B:$B,B41,'Equities - Lots'!$C:$C,C41)</f>
        <v/>
      </c>
      <c r="K41" s="64">
        <f>SUMIFS('Equities - Lots'!$M:$M,'Equities - Lots'!$B:$B,B41,'Equities - Lots'!$C:$C,C41)</f>
        <v/>
      </c>
      <c r="L41" s="66">
        <f>K41-J41</f>
        <v/>
      </c>
      <c r="M41" s="65">
        <f>IFERROR(L41/J41,0)</f>
        <v/>
      </c>
    </row>
    <row r="42" ht="15" customHeight="1" s="53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64">
        <f>SUMIFS('Equities - Lots'!$L:$L,'Equities - Lots'!$B:$B,B42,'Equities - Lots'!$C:$C,C42)</f>
        <v/>
      </c>
      <c r="K42" s="64">
        <f>SUMIFS('Equities - Lots'!$M:$M,'Equities - Lots'!$B:$B,B42,'Equities - Lots'!$C:$C,C42)</f>
        <v/>
      </c>
      <c r="L42" s="66">
        <f>K42-J42</f>
        <v/>
      </c>
      <c r="M42" s="65">
        <f>IFERROR(L42/J42,0)</f>
        <v/>
      </c>
    </row>
    <row r="43" ht="15" customHeight="1" s="53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64">
        <f>SUMIFS('Equities - Lots'!$L:$L,'Equities - Lots'!$B:$B,B43,'Equities - Lots'!$C:$C,C43)</f>
        <v/>
      </c>
      <c r="K43" s="64">
        <f>SUMIFS('Equities - Lots'!$M:$M,'Equities - Lots'!$B:$B,B43,'Equities - Lots'!$C:$C,C43)</f>
        <v/>
      </c>
      <c r="L43" s="66">
        <f>K43-J43</f>
        <v/>
      </c>
      <c r="M43" s="65">
        <f>IFERROR(L43/J43,0)</f>
        <v/>
      </c>
    </row>
    <row r="44" ht="15" customHeight="1" s="53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64">
        <f>SUMIFS('Equities - Lots'!$L:$L,'Equities - Lots'!$B:$B,B44,'Equities - Lots'!$C:$C,C44)</f>
        <v/>
      </c>
      <c r="K44" s="64">
        <f>SUMIFS('Equities - Lots'!$M:$M,'Equities - Lots'!$B:$B,B44,'Equities - Lots'!$C:$C,C44)</f>
        <v/>
      </c>
      <c r="L44" s="66">
        <f>K44-J44</f>
        <v/>
      </c>
      <c r="M44" s="65">
        <f>IFERROR(L44/J44,0)</f>
        <v/>
      </c>
    </row>
    <row r="45" ht="15" customHeight="1" s="53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64">
        <f>SUMIFS('Equities - Lots'!$L:$L,'Equities - Lots'!$B:$B,B45,'Equities - Lots'!$C:$C,C45)</f>
        <v/>
      </c>
      <c r="K45" s="64">
        <f>SUMIFS('Equities - Lots'!$M:$M,'Equities - Lots'!$B:$B,B45,'Equities - Lots'!$C:$C,C45)</f>
        <v/>
      </c>
      <c r="L45" s="66">
        <f>K45-J45</f>
        <v/>
      </c>
      <c r="M45" s="65">
        <f>IFERROR(L45/J45,0)</f>
        <v/>
      </c>
    </row>
    <row r="46" ht="15" customHeight="1" s="53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64">
        <f>SUMIFS('Equities - Lots'!$L:$L,'Equities - Lots'!$B:$B,B46,'Equities - Lots'!$C:$C,C46)</f>
        <v/>
      </c>
      <c r="K46" s="64">
        <f>SUMIFS('Equities - Lots'!$M:$M,'Equities - Lots'!$B:$B,B46,'Equities - Lots'!$C:$C,C46)</f>
        <v/>
      </c>
      <c r="L46" s="66">
        <f>K46-J46</f>
        <v/>
      </c>
      <c r="M46" s="65">
        <f>IFERROR(L46/J46,0)</f>
        <v/>
      </c>
    </row>
    <row r="47" ht="15" customHeight="1" s="53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64">
        <f>SUMIFS('Equities - Lots'!$L:$L,'Equities - Lots'!$B:$B,B47,'Equities - Lots'!$C:$C,C47)</f>
        <v/>
      </c>
      <c r="K47" s="64">
        <f>SUMIFS('Equities - Lots'!$M:$M,'Equities - Lots'!$B:$B,B47,'Equities - Lots'!$C:$C,C47)</f>
        <v/>
      </c>
      <c r="L47" s="66">
        <f>K47-J47</f>
        <v/>
      </c>
      <c r="M47" s="65">
        <f>IFERROR(L47/J47,0)</f>
        <v/>
      </c>
    </row>
    <row r="48" ht="15" customHeight="1" s="53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64">
        <f>SUMIFS('Equities - Lots'!$L:$L,'Equities - Lots'!$B:$B,B48,'Equities - Lots'!$C:$C,C48)</f>
        <v/>
      </c>
      <c r="K48" s="64">
        <f>SUMIFS('Equities - Lots'!$M:$M,'Equities - Lots'!$B:$B,B48,'Equities - Lots'!$C:$C,C48)</f>
        <v/>
      </c>
      <c r="L48" s="66">
        <f>K48-J48</f>
        <v/>
      </c>
      <c r="M48" s="65">
        <f>IFERROR(L48/J48,0)</f>
        <v/>
      </c>
    </row>
    <row r="49" ht="15" customHeight="1" s="53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64">
        <f>SUMIFS('Equities - Lots'!$L:$L,'Equities - Lots'!$B:$B,B49,'Equities - Lots'!$C:$C,C49)</f>
        <v/>
      </c>
      <c r="K49" s="64">
        <f>SUMIFS('Equities - Lots'!$M:$M,'Equities - Lots'!$B:$B,B49,'Equities - Lots'!$C:$C,C49)</f>
        <v/>
      </c>
      <c r="L49" s="66">
        <f>K49-J49</f>
        <v/>
      </c>
      <c r="M49" s="65">
        <f>IFERROR(L49/J49,0)</f>
        <v/>
      </c>
    </row>
    <row r="50" ht="15" customHeight="1" s="53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64" t="n"/>
      <c r="K50" s="64" t="n"/>
      <c r="L50" s="66" t="n"/>
      <c r="M50" s="65" t="n"/>
    </row>
    <row r="51" ht="15" customHeight="1" s="53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67">
        <f>SUM(J5:J50)</f>
        <v/>
      </c>
      <c r="K51" s="67">
        <f>SUM(K5:K50)</f>
        <v/>
      </c>
      <c r="L51" s="67">
        <f>SUM(L5:L50)</f>
        <v/>
      </c>
      <c r="M51" s="68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3" sqref="A13:XFD13"/>
    </sheetView>
  </sheetViews>
  <sheetFormatPr baseColWidth="10" defaultColWidth="8.6640625" defaultRowHeight="15"/>
  <cols>
    <col width="5" customWidth="1" style="53" min="1" max="1"/>
    <col width="12" customWidth="1" style="53" min="2" max="2"/>
    <col width="14" customWidth="1" style="53" min="3" max="3"/>
    <col width="10" customWidth="1" style="53" min="4" max="4"/>
    <col width="20" customWidth="1" style="53" min="5" max="5"/>
    <col width="14" customWidth="1" style="53" min="6" max="7"/>
    <col width="16" customWidth="1" style="53" min="8" max="8"/>
    <col width="10" customWidth="1" style="53" min="9" max="9"/>
    <col width="16" customWidth="1" style="53" min="10" max="12"/>
    <col width="10" customWidth="1" style="53" min="13" max="13"/>
    <col width="14" customWidth="1" style="53" min="14" max="14"/>
    <col width="20" customWidth="1" style="53" min="15" max="16"/>
  </cols>
  <sheetData>
    <row r="2" ht="30" customHeight="1" s="53">
      <c r="A2" s="47" t="inlineStr">
        <is>
          <t>CRYPTO — LOT LEVEL  (OKX / Binance / Bitkub / Bitazza)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</row>
    <row r="4" ht="42" customHeight="1" s="53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3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80">
        <f>IF(D5="THB",1,FXRate)</f>
        <v/>
      </c>
      <c r="J5" s="66">
        <f>IFERROR(F5*G5*I5,0)</f>
        <v/>
      </c>
      <c r="K5" s="66">
        <f>IFERROR(F5*H5*I5,0)</f>
        <v/>
      </c>
      <c r="L5" s="66">
        <f>K5-J5</f>
        <v/>
      </c>
      <c r="M5" s="65">
        <f>IFERROR(L5/J5,0)</f>
        <v/>
      </c>
      <c r="N5" s="79" t="n"/>
      <c r="O5" s="35" t="inlineStr">
        <is>
          <t>USDT</t>
        </is>
      </c>
    </row>
    <row r="6" ht="15" customHeight="1" s="53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80">
        <f>IF(D6="THB",1,FXRate)</f>
        <v/>
      </c>
      <c r="J6" s="66">
        <f>IFERROR(F6*G6*I6,0)</f>
        <v/>
      </c>
      <c r="K6" s="66">
        <f>IFERROR(F6*H6*I6,0)</f>
        <v/>
      </c>
      <c r="L6" s="66">
        <f>K6-J6</f>
        <v/>
      </c>
      <c r="M6" s="65">
        <f>IFERROR(L6/J6,0)</f>
        <v/>
      </c>
      <c r="N6" s="79" t="n"/>
      <c r="O6" s="35" t="inlineStr">
        <is>
          <t>USDT</t>
        </is>
      </c>
    </row>
    <row r="7" ht="15" customHeight="1" s="53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80">
        <f>IF(D7="THB",1,FXRate)</f>
        <v/>
      </c>
      <c r="J7" s="66">
        <f>IFERROR(F7*G7*I7,0)</f>
        <v/>
      </c>
      <c r="K7" s="66">
        <f>IFERROR(F7*H7*I7,0)</f>
        <v/>
      </c>
      <c r="L7" s="66">
        <f>K7-J7</f>
        <v/>
      </c>
      <c r="M7" s="65">
        <f>IFERROR(L7/J7,0)</f>
        <v/>
      </c>
      <c r="N7" s="79" t="n"/>
      <c r="O7" s="35" t="inlineStr">
        <is>
          <t>USDT</t>
        </is>
      </c>
    </row>
    <row r="8" ht="15" customHeight="1" s="53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80">
        <f>IF(D8="THB",1,FXRate)</f>
        <v/>
      </c>
      <c r="J8" s="66">
        <f>IFERROR(F8*G8*I8,0)</f>
        <v/>
      </c>
      <c r="K8" s="66">
        <f>IFERROR(F8*H8*I8,0)</f>
        <v/>
      </c>
      <c r="L8" s="66">
        <f>K8-J8</f>
        <v/>
      </c>
      <c r="M8" s="65">
        <f>IFERROR(L8/J8,0)</f>
        <v/>
      </c>
      <c r="N8" s="79" t="n"/>
      <c r="O8" s="35" t="inlineStr">
        <is>
          <t>USDT</t>
        </is>
      </c>
    </row>
    <row r="9" ht="15" customHeight="1" s="53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80">
        <f>IF(D9="THB",1,FXRate)</f>
        <v/>
      </c>
      <c r="J9" s="66">
        <f>IFERROR(F9*G9*I9,0)</f>
        <v/>
      </c>
      <c r="K9" s="66">
        <f>IFERROR(F9*H9*I9,0)</f>
        <v/>
      </c>
      <c r="L9" s="66">
        <f>K9-J9</f>
        <v/>
      </c>
      <c r="M9" s="65">
        <f>IFERROR(L9/J9,0)</f>
        <v/>
      </c>
      <c r="N9" s="79" t="n"/>
      <c r="O9" s="35" t="inlineStr">
        <is>
          <t>USDT</t>
        </is>
      </c>
    </row>
    <row r="10" ht="15" customHeight="1" s="53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80">
        <f>IF(D10="THB",1,FXRate)</f>
        <v/>
      </c>
      <c r="J10" s="66">
        <f>IFERROR(F10*G10*I10,0)</f>
        <v/>
      </c>
      <c r="K10" s="66">
        <f>IFERROR(F10*H10*I10,0)</f>
        <v/>
      </c>
      <c r="L10" s="66">
        <f>K10-J10</f>
        <v/>
      </c>
      <c r="M10" s="65">
        <f>IFERROR(L10/J10,0)</f>
        <v/>
      </c>
      <c r="N10" s="79" t="n"/>
      <c r="O10" s="35" t="inlineStr">
        <is>
          <t>USDT</t>
        </is>
      </c>
    </row>
    <row r="11" ht="15" customHeight="1" s="53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80">
        <f>IF(D11="THB",1,FXRate)</f>
        <v/>
      </c>
      <c r="J11" s="66">
        <f>IFERROR(F11*G11*I11,0)</f>
        <v/>
      </c>
      <c r="K11" s="66">
        <f>IFERROR(F11*H11*I11,0)</f>
        <v/>
      </c>
      <c r="L11" s="66">
        <f>K11-J11</f>
        <v/>
      </c>
      <c r="M11" s="65">
        <f>IFERROR(L11/J11,0)</f>
        <v/>
      </c>
      <c r="N11" s="79" t="n"/>
      <c r="O11" s="35" t="inlineStr">
        <is>
          <t>USDT</t>
        </is>
      </c>
    </row>
    <row r="12" ht="15" customHeight="1" s="53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80">
        <f>IF(D12="THB",1,FXRate)</f>
        <v/>
      </c>
      <c r="J12" s="66">
        <f>IFERROR(F12*G12*I12,0)</f>
        <v/>
      </c>
      <c r="K12" s="66">
        <f>IFERROR(F12*H12*I12,0)</f>
        <v/>
      </c>
      <c r="L12" s="66">
        <f>K12-J12</f>
        <v/>
      </c>
      <c r="M12" s="65">
        <f>IFERROR(L12/J12,0)</f>
        <v/>
      </c>
      <c r="N12" s="79" t="n">
        <v>45948</v>
      </c>
      <c r="O12" s="35" t="inlineStr">
        <is>
          <t>USDT</t>
        </is>
      </c>
    </row>
    <row r="13" ht="15" customHeight="1" s="53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80">
        <f>IF(D13="THB",1,FXRate)</f>
        <v/>
      </c>
      <c r="J13" s="66">
        <f>IFERROR(F13*G13*I13,0)</f>
        <v/>
      </c>
      <c r="K13" s="66">
        <f>IFERROR(F13*H13*I13,0)</f>
        <v/>
      </c>
      <c r="L13" s="66">
        <f>K13-J13</f>
        <v/>
      </c>
      <c r="M13" s="65">
        <f>IFERROR(L13/J13,0)</f>
        <v/>
      </c>
      <c r="N13" s="79" t="n">
        <v>45638</v>
      </c>
      <c r="O13" s="35" t="inlineStr">
        <is>
          <t>USDT</t>
        </is>
      </c>
    </row>
    <row r="14" ht="15" customHeight="1" s="53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80">
        <f>IF(D14="THB",1,FXRate)</f>
        <v/>
      </c>
      <c r="J14" s="66">
        <f>IFERROR(F14*G14*I14,0)</f>
        <v/>
      </c>
      <c r="K14" s="66">
        <f>IFERROR(F14*H14*I14,0)</f>
        <v/>
      </c>
      <c r="L14" s="66">
        <f>K14-J14</f>
        <v/>
      </c>
      <c r="M14" s="65">
        <f>IFERROR(L14/J14,0)</f>
        <v/>
      </c>
      <c r="N14" s="79" t="n">
        <v>45676</v>
      </c>
      <c r="O14" s="35" t="inlineStr">
        <is>
          <t>USDT</t>
        </is>
      </c>
    </row>
    <row r="15" ht="15" customHeight="1" s="53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80">
        <f>IF(D15="THB",1,FXRate)</f>
        <v/>
      </c>
      <c r="J15" s="66">
        <f>IFERROR(F15*G15*I15,0)</f>
        <v/>
      </c>
      <c r="K15" s="66">
        <f>IFERROR(F15*H15*I15,0)</f>
        <v/>
      </c>
      <c r="L15" s="66">
        <f>K15-J15</f>
        <v/>
      </c>
      <c r="M15" s="65">
        <f>IFERROR(L15/J15,0)</f>
        <v/>
      </c>
      <c r="N15" s="79" t="n">
        <v>45892</v>
      </c>
      <c r="O15" s="35" t="inlineStr">
        <is>
          <t>USDT</t>
        </is>
      </c>
    </row>
    <row r="16" ht="15" customHeight="1" s="53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80">
        <f>IF(D16="THB",1,FXRate)</f>
        <v/>
      </c>
      <c r="J16" s="66">
        <f>IFERROR(F16*G16*I16,0)</f>
        <v/>
      </c>
      <c r="K16" s="66">
        <f>IFERROR(F16*H16*I16,0)</f>
        <v/>
      </c>
      <c r="L16" s="66">
        <f>K16-J16</f>
        <v/>
      </c>
      <c r="M16" s="65">
        <f>IFERROR(L16/J16,0)</f>
        <v/>
      </c>
      <c r="N16" s="79" t="n"/>
      <c r="O16" s="35" t="inlineStr">
        <is>
          <t>USDT</t>
        </is>
      </c>
    </row>
    <row r="17" ht="15" customHeight="1" s="53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80">
        <f>IF(D17="THB",1,FXRate)</f>
        <v/>
      </c>
      <c r="J17" s="66">
        <f>IFERROR(F17*G17*I17,0)</f>
        <v/>
      </c>
      <c r="K17" s="66">
        <f>IFERROR(F17*H17*I17,0)</f>
        <v/>
      </c>
      <c r="L17" s="66">
        <f>K17-J17</f>
        <v/>
      </c>
      <c r="M17" s="65">
        <f>IFERROR(L17/J17,0)</f>
        <v/>
      </c>
      <c r="N17" s="79" t="n"/>
      <c r="O17" s="35" t="inlineStr">
        <is>
          <t>USDT</t>
        </is>
      </c>
    </row>
    <row r="18" ht="15" customHeight="1" s="53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80">
        <f>IF(D18="THB",1,FXRate)</f>
        <v/>
      </c>
      <c r="J18" s="66">
        <f>IFERROR(F18*G18*I18,0)</f>
        <v/>
      </c>
      <c r="K18" s="66">
        <f>IFERROR(F18*H18*I18,0)</f>
        <v/>
      </c>
      <c r="L18" s="66">
        <f>K18-J18</f>
        <v/>
      </c>
      <c r="M18" s="65">
        <f>IFERROR(L18/J18,0)</f>
        <v/>
      </c>
      <c r="N18" s="79" t="n"/>
      <c r="O18" s="35" t="inlineStr">
        <is>
          <t>USDT</t>
        </is>
      </c>
    </row>
    <row r="19" ht="15" customHeight="1" s="53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80">
        <f>IF(D19="THB",1,FXRate)</f>
        <v/>
      </c>
      <c r="J19" s="66">
        <f>IFERROR(F19*G19*I19,0)</f>
        <v/>
      </c>
      <c r="K19" s="66">
        <f>IFERROR(F19*H19*I19,0)</f>
        <v/>
      </c>
      <c r="L19" s="66">
        <f>K19-J19</f>
        <v/>
      </c>
      <c r="M19" s="65">
        <f>IFERROR(L19/J19,0)</f>
        <v/>
      </c>
      <c r="N19" s="79" t="n">
        <v>45645</v>
      </c>
      <c r="O19" s="35" t="inlineStr">
        <is>
          <t>USDT</t>
        </is>
      </c>
    </row>
    <row r="20" ht="15" customHeight="1" s="53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80">
        <f>IF(D20="THB",1,FXRate)</f>
        <v/>
      </c>
      <c r="J20" s="66">
        <f>IFERROR(F20*G20*I20,0)</f>
        <v/>
      </c>
      <c r="K20" s="66">
        <f>IFERROR(F20*H20*I20,0)</f>
        <v/>
      </c>
      <c r="L20" s="66">
        <f>K20-J20</f>
        <v/>
      </c>
      <c r="M20" s="65">
        <f>IFERROR(L20/J20,0)</f>
        <v/>
      </c>
      <c r="N20" s="79" t="n"/>
      <c r="O20" s="35" t="inlineStr">
        <is>
          <t>USDT</t>
        </is>
      </c>
    </row>
    <row r="21" ht="15" customHeight="1" s="53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80">
        <f>IF(D21="THB",1,FXRate)</f>
        <v/>
      </c>
      <c r="J21" s="66">
        <f>IFERROR(F21*G21*I21,0)</f>
        <v/>
      </c>
      <c r="K21" s="66">
        <f>IFERROR(F21*H21*I21,0)</f>
        <v/>
      </c>
      <c r="L21" s="66">
        <f>K21-J21</f>
        <v/>
      </c>
      <c r="M21" s="65">
        <f>IFERROR(L21/J21,0)</f>
        <v/>
      </c>
      <c r="N21" s="79" t="n">
        <v>45653</v>
      </c>
      <c r="O21" s="35" t="inlineStr">
        <is>
          <t>USDT</t>
        </is>
      </c>
    </row>
    <row r="22" ht="15" customHeight="1" s="53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80">
        <f>IF(D22="THB",1,FXRate)</f>
        <v/>
      </c>
      <c r="J22" s="66">
        <f>IFERROR(F22*G22*I22,0)</f>
        <v/>
      </c>
      <c r="K22" s="66">
        <f>IFERROR(F22*H22*I22,0)</f>
        <v/>
      </c>
      <c r="L22" s="66">
        <f>K22-J22</f>
        <v/>
      </c>
      <c r="M22" s="65">
        <f>IFERROR(L22/J22,0)</f>
        <v/>
      </c>
      <c r="N22" s="79" t="n"/>
      <c r="O22" s="35" t="inlineStr">
        <is>
          <t>THB</t>
        </is>
      </c>
    </row>
    <row r="23" ht="15" customHeight="1" s="53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80">
        <f>IF(D23="THB",1,FXRate)</f>
        <v/>
      </c>
      <c r="J23" s="66">
        <f>IFERROR(F23*G23*I23,0)</f>
        <v/>
      </c>
      <c r="K23" s="66">
        <f>IFERROR(F23*H23*I23,0)</f>
        <v/>
      </c>
      <c r="L23" s="66">
        <f>K23-J23</f>
        <v/>
      </c>
      <c r="M23" s="65">
        <f>IFERROR(L23/J23,0)</f>
        <v/>
      </c>
      <c r="N23" s="79" t="n"/>
      <c r="O23" s="35" t="inlineStr">
        <is>
          <t>THB</t>
        </is>
      </c>
    </row>
    <row r="24" ht="15" customHeight="1" s="53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80">
        <f>IF(D24="THB",1,FXRate)</f>
        <v/>
      </c>
      <c r="J24" s="66">
        <f>IFERROR(F24*G24*I24,0)</f>
        <v/>
      </c>
      <c r="K24" s="66">
        <f>IFERROR(F24*H24*I24,0)</f>
        <v/>
      </c>
      <c r="L24" s="66">
        <f>K24-J24</f>
        <v/>
      </c>
      <c r="M24" s="65">
        <f>IFERROR(L24/J24,0)</f>
        <v/>
      </c>
      <c r="N24" s="79" t="n"/>
      <c r="O24" s="35" t="inlineStr">
        <is>
          <t>THB</t>
        </is>
      </c>
    </row>
    <row r="25" ht="15" customHeight="1" s="53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80">
        <f>IF(D25="THB",1,FXRate)</f>
        <v/>
      </c>
      <c r="J25" s="66">
        <f>IFERROR(F25*G25*I25,0)</f>
        <v/>
      </c>
      <c r="K25" s="66">
        <f>IFERROR(F25*H25*I25,0)</f>
        <v/>
      </c>
      <c r="L25" s="66">
        <f>K25-J25</f>
        <v/>
      </c>
      <c r="M25" s="65">
        <f>IFERROR(L25/J25,0)</f>
        <v/>
      </c>
      <c r="N25" s="79" t="n"/>
      <c r="O25" s="35" t="inlineStr">
        <is>
          <t>THB</t>
        </is>
      </c>
    </row>
    <row r="26" ht="15" customHeight="1" s="53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80">
        <f>IF(D26="THB",1,FXRate)</f>
        <v/>
      </c>
      <c r="J26" s="66">
        <f>IFERROR(F26*G26*I26,0)</f>
        <v/>
      </c>
      <c r="K26" s="66">
        <f>IFERROR(F26*H26*I26,0)</f>
        <v/>
      </c>
      <c r="L26" s="66">
        <f>K26-J26</f>
        <v/>
      </c>
      <c r="M26" s="65">
        <f>IFERROR(L26/J26,0)</f>
        <v/>
      </c>
      <c r="N26" s="79" t="n"/>
      <c r="O26" s="35" t="inlineStr">
        <is>
          <t>THB</t>
        </is>
      </c>
    </row>
    <row r="27" ht="15" customHeight="1" s="53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80">
        <f>IF(D27="THB",1,FXRate)</f>
        <v/>
      </c>
      <c r="J27" s="66">
        <f>IFERROR(F27*G27*I27,0)</f>
        <v/>
      </c>
      <c r="K27" s="66">
        <f>IFERROR(F27*H27*I27,0)</f>
        <v/>
      </c>
      <c r="L27" s="66">
        <f>K27-J27</f>
        <v/>
      </c>
      <c r="M27" s="65">
        <f>IFERROR(L27/J27,0)</f>
        <v/>
      </c>
      <c r="N27" s="79" t="n"/>
      <c r="O27" s="35" t="inlineStr">
        <is>
          <t>THB</t>
        </is>
      </c>
    </row>
    <row r="28" ht="15" customHeight="1" s="53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80">
        <f>IF(D28="THB",1,FXRate)</f>
        <v/>
      </c>
      <c r="J28" s="66">
        <f>IFERROR(F28*G28*I28,0)</f>
        <v/>
      </c>
      <c r="K28" s="66">
        <f>IFERROR(F28*H28*I28,0)</f>
        <v/>
      </c>
      <c r="L28" s="66">
        <f>K28-J28</f>
        <v/>
      </c>
      <c r="M28" s="65">
        <f>IFERROR(L28/J28,0)</f>
        <v/>
      </c>
      <c r="N28" s="79" t="n"/>
      <c r="O28" s="35" t="inlineStr">
        <is>
          <t>THB</t>
        </is>
      </c>
    </row>
    <row r="29" ht="15" customHeight="1" s="53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80">
        <f>IF(D29="THB",1,FXRate)</f>
        <v/>
      </c>
      <c r="J29" s="66">
        <f>IFERROR(F29*G29*I29,0)</f>
        <v/>
      </c>
      <c r="K29" s="66">
        <f>IFERROR(F29*H29*I29,0)</f>
        <v/>
      </c>
      <c r="L29" s="66">
        <f>K29-J29</f>
        <v/>
      </c>
      <c r="M29" s="65">
        <f>IFERROR(L29/J29,0)</f>
        <v/>
      </c>
      <c r="N29" s="79" t="n"/>
      <c r="O29" s="35" t="inlineStr">
        <is>
          <t>THB</t>
        </is>
      </c>
    </row>
    <row r="30" ht="15" customHeight="1" s="53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80">
        <f>IF(D30="THB",1,FXRate)</f>
        <v/>
      </c>
      <c r="J30" s="66">
        <f>IFERROR(F30*G30*I30,0)</f>
        <v/>
      </c>
      <c r="K30" s="66">
        <f>IFERROR(F30*H30*I30,0)</f>
        <v/>
      </c>
      <c r="L30" s="66">
        <f>K30-J30</f>
        <v/>
      </c>
      <c r="M30" s="65">
        <f>IFERROR(L30/J30,0)</f>
        <v/>
      </c>
      <c r="N30" s="79" t="n"/>
      <c r="O30" s="35" t="inlineStr">
        <is>
          <t>THB</t>
        </is>
      </c>
    </row>
    <row r="31" ht="15" customHeight="1" s="53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67">
        <f>SUM(J5:J31)</f>
        <v/>
      </c>
      <c r="K32" s="67">
        <f>SUM(K5:K31)</f>
        <v/>
      </c>
      <c r="L32" s="67">
        <f>SUM(L5:L31)</f>
        <v/>
      </c>
      <c r="M32" s="68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2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K2"/>
    </sheetView>
  </sheetViews>
  <sheetFormatPr baseColWidth="10" defaultColWidth="8.6640625" defaultRowHeight="15"/>
  <cols>
    <col width="5" customWidth="1" style="53" min="1" max="1"/>
    <col width="12" customWidth="1" style="53" min="2" max="2"/>
    <col width="14" customWidth="1" style="53" min="3" max="3"/>
    <col width="10" customWidth="1" style="53" min="4" max="4"/>
    <col width="20" customWidth="1" style="53" min="5" max="5"/>
    <col width="10" customWidth="1" style="53" min="6" max="6"/>
    <col width="14" customWidth="1" style="53" min="7" max="7"/>
    <col width="16" customWidth="1" style="53" min="8" max="10"/>
    <col width="10" customWidth="1" style="53" min="11" max="11"/>
  </cols>
  <sheetData>
    <row r="2" ht="30" customHeight="1" s="53">
      <c r="A2" s="57" t="inlineStr">
        <is>
          <t>CRYPTO — ROLLUP BY EXCHANGE + COIN</t>
        </is>
      </c>
    </row>
    <row r="4" ht="36" customHeight="1" s="53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3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64">
        <f>SUMIFS('Crypto - Lots'!$J:$J,'Crypto - Lots'!$B:$B,B5,'Crypto - Lots'!$C:$C,C5)</f>
        <v/>
      </c>
      <c r="I5" s="64">
        <f>SUMIFS('Crypto - Lots'!$K:$K,'Crypto - Lots'!$B:$B,B5,'Crypto - Lots'!$C:$C,C5)</f>
        <v/>
      </c>
      <c r="J5" s="66">
        <f>I5-H5</f>
        <v/>
      </c>
      <c r="K5" s="65">
        <f>IFERROR(J5/H5,0)</f>
        <v/>
      </c>
    </row>
    <row r="6" ht="15" customHeight="1" s="53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64">
        <f>SUMIFS('Crypto - Lots'!$J:$J,'Crypto - Lots'!$B:$B,B6,'Crypto - Lots'!$C:$C,C6)</f>
        <v/>
      </c>
      <c r="I6" s="64">
        <f>SUMIFS('Crypto - Lots'!$K:$K,'Crypto - Lots'!$B:$B,B6,'Crypto - Lots'!$C:$C,C6)</f>
        <v/>
      </c>
      <c r="J6" s="66">
        <f>I6-H6</f>
        <v/>
      </c>
      <c r="K6" s="65">
        <f>IFERROR(J6/H6,0)</f>
        <v/>
      </c>
    </row>
    <row r="7" ht="15" customHeight="1" s="53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64">
        <f>SUMIFS('Crypto - Lots'!$J:$J,'Crypto - Lots'!$B:$B,B7,'Crypto - Lots'!$C:$C,C7)</f>
        <v/>
      </c>
      <c r="I7" s="64">
        <f>SUMIFS('Crypto - Lots'!$K:$K,'Crypto - Lots'!$B:$B,B7,'Crypto - Lots'!$C:$C,C7)</f>
        <v/>
      </c>
      <c r="J7" s="66">
        <f>I7-H7</f>
        <v/>
      </c>
      <c r="K7" s="65">
        <f>IFERROR(J7/H7,0)</f>
        <v/>
      </c>
    </row>
    <row r="8" ht="15" customHeight="1" s="53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64">
        <f>SUMIFS('Crypto - Lots'!$J:$J,'Crypto - Lots'!$B:$B,B8,'Crypto - Lots'!$C:$C,C8)</f>
        <v/>
      </c>
      <c r="I8" s="64">
        <f>SUMIFS('Crypto - Lots'!$K:$K,'Crypto - Lots'!$B:$B,B8,'Crypto - Lots'!$C:$C,C8)</f>
        <v/>
      </c>
      <c r="J8" s="66">
        <f>I8-H8</f>
        <v/>
      </c>
      <c r="K8" s="65">
        <f>IFERROR(J8/H8,0)</f>
        <v/>
      </c>
    </row>
    <row r="9" ht="15" customHeight="1" s="53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64">
        <f>SUMIFS('Crypto - Lots'!$J:$J,'Crypto - Lots'!$B:$B,B9,'Crypto - Lots'!$C:$C,C9)</f>
        <v/>
      </c>
      <c r="I9" s="64">
        <f>SUMIFS('Crypto - Lots'!$K:$K,'Crypto - Lots'!$B:$B,B9,'Crypto - Lots'!$C:$C,C9)</f>
        <v/>
      </c>
      <c r="J9" s="66">
        <f>I9-H9</f>
        <v/>
      </c>
      <c r="K9" s="65">
        <f>IFERROR(J9/H9,0)</f>
        <v/>
      </c>
    </row>
    <row r="10" ht="15" customHeight="1" s="53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64">
        <f>SUMIFS('Crypto - Lots'!$J:$J,'Crypto - Lots'!$B:$B,B10,'Crypto - Lots'!$C:$C,C10)</f>
        <v/>
      </c>
      <c r="I10" s="64">
        <f>SUMIFS('Crypto - Lots'!$K:$K,'Crypto - Lots'!$B:$B,B10,'Crypto - Lots'!$C:$C,C10)</f>
        <v/>
      </c>
      <c r="J10" s="66">
        <f>I10-H10</f>
        <v/>
      </c>
      <c r="K10" s="65">
        <f>IFERROR(J10/H10,0)</f>
        <v/>
      </c>
    </row>
    <row r="11" ht="15" customHeight="1" s="53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64">
        <f>SUMIFS('Crypto - Lots'!$J:$J,'Crypto - Lots'!$B:$B,B11,'Crypto - Lots'!$C:$C,C11)</f>
        <v/>
      </c>
      <c r="I11" s="64">
        <f>SUMIFS('Crypto - Lots'!$K:$K,'Crypto - Lots'!$B:$B,B11,'Crypto - Lots'!$C:$C,C11)</f>
        <v/>
      </c>
      <c r="J11" s="66">
        <f>I11-H11</f>
        <v/>
      </c>
      <c r="K11" s="65">
        <f>IFERROR(J11/H11,0)</f>
        <v/>
      </c>
    </row>
    <row r="12" ht="15" customHeight="1" s="53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64">
        <f>SUMIFS('Crypto - Lots'!$J:$J,'Crypto - Lots'!$B:$B,B12,'Crypto - Lots'!$C:$C,C12)</f>
        <v/>
      </c>
      <c r="I12" s="64">
        <f>SUMIFS('Crypto - Lots'!$K:$K,'Crypto - Lots'!$B:$B,B12,'Crypto - Lots'!$C:$C,C12)</f>
        <v/>
      </c>
      <c r="J12" s="66">
        <f>I12-H12</f>
        <v/>
      </c>
      <c r="K12" s="65">
        <f>IFERROR(J12/H12,0)</f>
        <v/>
      </c>
    </row>
    <row r="13" ht="15" customHeight="1" s="53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64">
        <f>SUMIFS('Crypto - Lots'!$J:$J,'Crypto - Lots'!$B:$B,B13,'Crypto - Lots'!$C:$C,C13)</f>
        <v/>
      </c>
      <c r="I13" s="64">
        <f>SUMIFS('Crypto - Lots'!$K:$K,'Crypto - Lots'!$B:$B,B13,'Crypto - Lots'!$C:$C,C13)</f>
        <v/>
      </c>
      <c r="J13" s="66">
        <f>I13-H13</f>
        <v/>
      </c>
      <c r="K13" s="65">
        <f>IFERROR(J13/H13,0)</f>
        <v/>
      </c>
    </row>
    <row r="14" ht="15" customHeight="1" s="53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64">
        <f>SUMIFS('Crypto - Lots'!$J:$J,'Crypto - Lots'!$B:$B,B14,'Crypto - Lots'!$C:$C,C14)</f>
        <v/>
      </c>
      <c r="I14" s="64">
        <f>SUMIFS('Crypto - Lots'!$K:$K,'Crypto - Lots'!$B:$B,B14,'Crypto - Lots'!$C:$C,C14)</f>
        <v/>
      </c>
      <c r="J14" s="66">
        <f>I14-H14</f>
        <v/>
      </c>
      <c r="K14" s="65">
        <f>IFERROR(J14/H14,0)</f>
        <v/>
      </c>
    </row>
    <row r="15" ht="15" customHeight="1" s="53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64">
        <f>SUMIFS('Crypto - Lots'!$J:$J,'Crypto - Lots'!$B:$B,B15,'Crypto - Lots'!$C:$C,C15)</f>
        <v/>
      </c>
      <c r="I15" s="64">
        <f>SUMIFS('Crypto - Lots'!$K:$K,'Crypto - Lots'!$B:$B,B15,'Crypto - Lots'!$C:$C,C15)</f>
        <v/>
      </c>
      <c r="J15" s="66">
        <f>I15-H15</f>
        <v/>
      </c>
      <c r="K15" s="65">
        <f>IFERROR(J15/H15,0)</f>
        <v/>
      </c>
    </row>
    <row r="16" ht="15" customHeight="1" s="53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64">
        <f>SUMIFS('Crypto - Lots'!$J:$J,'Crypto - Lots'!$B:$B,B16,'Crypto - Lots'!$C:$C,C16)</f>
        <v/>
      </c>
      <c r="I16" s="64">
        <f>SUMIFS('Crypto - Lots'!$K:$K,'Crypto - Lots'!$B:$B,B16,'Crypto - Lots'!$C:$C,C16)</f>
        <v/>
      </c>
      <c r="J16" s="66">
        <f>I16-H16</f>
        <v/>
      </c>
      <c r="K16" s="65">
        <f>IFERROR(J16/H16,0)</f>
        <v/>
      </c>
    </row>
    <row r="17" ht="15" customHeight="1" s="53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64">
        <f>SUMIFS('Crypto - Lots'!$J:$J,'Crypto - Lots'!$B:$B,B17,'Crypto - Lots'!$C:$C,C17)</f>
        <v/>
      </c>
      <c r="I17" s="64">
        <f>SUMIFS('Crypto - Lots'!$K:$K,'Crypto - Lots'!$B:$B,B17,'Crypto - Lots'!$C:$C,C17)</f>
        <v/>
      </c>
      <c r="J17" s="66">
        <f>I17-H17</f>
        <v/>
      </c>
      <c r="K17" s="65">
        <f>IFERROR(J17/H17,0)</f>
        <v/>
      </c>
    </row>
    <row r="18" ht="15" customHeight="1" s="53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64">
        <f>SUMIFS('Crypto - Lots'!$J:$J,'Crypto - Lots'!$B:$B,B18,'Crypto - Lots'!$C:$C,C18)</f>
        <v/>
      </c>
      <c r="I18" s="64">
        <f>SUMIFS('Crypto - Lots'!$K:$K,'Crypto - Lots'!$B:$B,B18,'Crypto - Lots'!$C:$C,C18)</f>
        <v/>
      </c>
      <c r="J18" s="66">
        <f>I18-H18</f>
        <v/>
      </c>
      <c r="K18" s="65">
        <f>IFERROR(J18/H18,0)</f>
        <v/>
      </c>
    </row>
    <row r="19" ht="15" customHeight="1" s="53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64">
        <f>SUMIFS('Crypto - Lots'!$J:$J,'Crypto - Lots'!$B:$B,B19,'Crypto - Lots'!$C:$C,C19)</f>
        <v/>
      </c>
      <c r="I19" s="64">
        <f>SUMIFS('Crypto - Lots'!$K:$K,'Crypto - Lots'!$B:$B,B19,'Crypto - Lots'!$C:$C,C19)</f>
        <v/>
      </c>
      <c r="J19" s="66">
        <f>I19-H19</f>
        <v/>
      </c>
      <c r="K19" s="65">
        <f>IFERROR(J19/H19,0)</f>
        <v/>
      </c>
    </row>
    <row r="20" ht="15" customHeight="1" s="53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64">
        <f>SUMIFS('Crypto - Lots'!$J:$J,'Crypto - Lots'!$B:$B,B20,'Crypto - Lots'!$C:$C,C20)</f>
        <v/>
      </c>
      <c r="I20" s="64">
        <f>SUMIFS('Crypto - Lots'!$K:$K,'Crypto - Lots'!$B:$B,B20,'Crypto - Lots'!$C:$C,C20)</f>
        <v/>
      </c>
      <c r="J20" s="66">
        <f>I20-H20</f>
        <v/>
      </c>
      <c r="K20" s="65">
        <f>IFERROR(J20/H20,0)</f>
        <v/>
      </c>
    </row>
    <row r="21" ht="15" customHeight="1" s="53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64">
        <f>SUMIFS('Crypto - Lots'!$J:$J,'Crypto - Lots'!$B:$B,B21,'Crypto - Lots'!$C:$C,C21)</f>
        <v/>
      </c>
      <c r="I21" s="64">
        <f>SUMIFS('Crypto - Lots'!$K:$K,'Crypto - Lots'!$B:$B,B21,'Crypto - Lots'!$C:$C,C21)</f>
        <v/>
      </c>
      <c r="J21" s="66">
        <f>I21-H21</f>
        <v/>
      </c>
      <c r="K21" s="65">
        <f>IFERROR(J21/H21,0)</f>
        <v/>
      </c>
    </row>
    <row r="22" ht="15" customHeight="1" s="53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64">
        <f>SUMIFS('Crypto - Lots'!$J:$J,'Crypto - Lots'!$B:$B,B22,'Crypto - Lots'!$C:$C,C22)</f>
        <v/>
      </c>
      <c r="I22" s="64">
        <f>SUMIFS('Crypto - Lots'!$K:$K,'Crypto - Lots'!$B:$B,B22,'Crypto - Lots'!$C:$C,C22)</f>
        <v/>
      </c>
      <c r="J22" s="66">
        <f>I22-H22</f>
        <v/>
      </c>
      <c r="K22" s="65">
        <f>IFERROR(J22/H22,0)</f>
        <v/>
      </c>
    </row>
    <row r="23" ht="15" customHeight="1" s="53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64">
        <f>SUMIFS('Crypto - Lots'!$J:$J,'Crypto - Lots'!$B:$B,B23,'Crypto - Lots'!$C:$C,C23)</f>
        <v/>
      </c>
      <c r="I23" s="64">
        <f>SUMIFS('Crypto - Lots'!$K:$K,'Crypto - Lots'!$B:$B,B23,'Crypto - Lots'!$C:$C,C23)</f>
        <v/>
      </c>
      <c r="J23" s="66">
        <f>I23-H23</f>
        <v/>
      </c>
      <c r="K23" s="65">
        <f>IFERROR(J23/H23,0)</f>
        <v/>
      </c>
    </row>
    <row r="24" ht="15" customHeight="1" s="53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64">
        <f>SUMIFS('Crypto - Lots'!$J:$J,'Crypto - Lots'!$B:$B,B24,'Crypto - Lots'!$C:$C,C24)</f>
        <v/>
      </c>
      <c r="I24" s="64">
        <f>SUMIFS('Crypto - Lots'!$K:$K,'Crypto - Lots'!$B:$B,B24,'Crypto - Lots'!$C:$C,C24)</f>
        <v/>
      </c>
      <c r="J24" s="66">
        <f>I24-H24</f>
        <v/>
      </c>
      <c r="K24" s="65">
        <f>IFERROR(J24/H24,0)</f>
        <v/>
      </c>
    </row>
    <row r="25" ht="15" customHeight="1" s="53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64">
        <f>SUMIFS('Crypto - Lots'!$J:$J,'Crypto - Lots'!$B:$B,B25,'Crypto - Lots'!$C:$C,C25)</f>
        <v/>
      </c>
      <c r="I25" s="64">
        <f>SUMIFS('Crypto - Lots'!$K:$K,'Crypto - Lots'!$B:$B,B25,'Crypto - Lots'!$C:$C,C25)</f>
        <v/>
      </c>
      <c r="J25" s="66">
        <f>I25-H25</f>
        <v/>
      </c>
      <c r="K25" s="65">
        <f>IFERROR(J25/H25,0)</f>
        <v/>
      </c>
    </row>
    <row r="26" ht="15" customHeight="1" s="53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64">
        <f>SUMIFS('Crypto - Lots'!$J:$J,'Crypto - Lots'!$B:$B,B26,'Crypto - Lots'!$C:$C,C26)</f>
        <v/>
      </c>
      <c r="I26" s="64">
        <f>SUMIFS('Crypto - Lots'!$K:$K,'Crypto - Lots'!$B:$B,B26,'Crypto - Lots'!$C:$C,C26)</f>
        <v/>
      </c>
      <c r="J26" s="66">
        <f>I26-H26</f>
        <v/>
      </c>
      <c r="K26" s="65">
        <f>IFERROR(J26/H26,0)</f>
        <v/>
      </c>
    </row>
    <row r="27" ht="15" customHeight="1" s="53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64">
        <f>SUMIFS('Crypto - Lots'!$J:$J,'Crypto - Lots'!$B:$B,B27,'Crypto - Lots'!$C:$C,C27)</f>
        <v/>
      </c>
      <c r="I27" s="64">
        <f>SUMIFS('Crypto - Lots'!$K:$K,'Crypto - Lots'!$B:$B,B27,'Crypto - Lots'!$C:$C,C27)</f>
        <v/>
      </c>
      <c r="J27" s="66">
        <f>I27-H27</f>
        <v/>
      </c>
      <c r="K27" s="65">
        <f>IFERROR(J27/H27,0)</f>
        <v/>
      </c>
    </row>
    <row r="28" ht="15" customHeight="1" s="53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64">
        <f>SUMIFS('Crypto - Lots'!$J:$J,'Crypto - Lots'!$B:$B,B28,'Crypto - Lots'!$C:$C,C28)</f>
        <v/>
      </c>
      <c r="I28" s="64">
        <f>SUMIFS('Crypto - Lots'!$K:$K,'Crypto - Lots'!$B:$B,B28,'Crypto - Lots'!$C:$C,C28)</f>
        <v/>
      </c>
      <c r="J28" s="66">
        <f>I28-H28</f>
        <v/>
      </c>
      <c r="K28" s="65">
        <f>IFERROR(J28/H28,0)</f>
        <v/>
      </c>
    </row>
    <row r="29" ht="15" customHeight="1" s="53">
      <c r="A29" s="13" t="inlineStr">
        <is>
          <t>TOTAL</t>
        </is>
      </c>
      <c r="B29" s="43" t="n"/>
      <c r="C29" s="43" t="n"/>
      <c r="D29" s="43" t="n"/>
      <c r="E29" s="43" t="n"/>
      <c r="F29" s="45">
        <f>SUM(F5:F28)</f>
        <v/>
      </c>
      <c r="G29" s="43" t="n"/>
      <c r="H29" s="67">
        <f>SUM(H5:H28)</f>
        <v/>
      </c>
      <c r="I29" s="67">
        <f>SUM(I5:I28)</f>
        <v/>
      </c>
      <c r="J29" s="67">
        <f>SUM(J5:J28)</f>
        <v/>
      </c>
      <c r="K29" s="68">
        <f>IFERROR(J29/H29,0)</f>
        <v/>
      </c>
    </row>
  </sheetData>
  <autoFilter ref="A4:K28"/>
  <mergeCells count="1">
    <mergeCell ref="A2:K2"/>
  </mergeCells>
  <conditionalFormatting sqref="J5:K2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106"/>
  <sheetViews>
    <sheetView showGridLines="0" zoomScaleNormal="100" workbookViewId="0">
      <pane xSplit="1" ySplit="4" topLeftCell="B55" activePane="bottomRight" state="frozen"/>
      <selection pane="topRight" activeCell="C1" sqref="C1"/>
      <selection pane="bottomLeft" activeCell="A11" sqref="A11"/>
      <selection pane="bottomRight" activeCell="H81" sqref="H81"/>
    </sheetView>
  </sheetViews>
  <sheetFormatPr baseColWidth="10" defaultColWidth="8.6640625" defaultRowHeight="15"/>
  <cols>
    <col width="22" customWidth="1" style="53" min="1" max="1"/>
    <col width="8" customWidth="1" style="53" min="2" max="2"/>
    <col width="22" customWidth="1" style="53" min="3" max="3"/>
    <col width="16" customWidth="1" style="53" min="4" max="4"/>
    <col width="20" customWidth="1" style="53" min="5" max="5"/>
    <col width="22" customWidth="1" style="53" min="6" max="6"/>
    <col width="18" customWidth="1" style="53" min="7" max="7"/>
    <col width="26" customWidth="1" style="53" min="8" max="8"/>
    <col width="14" customWidth="1" style="53" min="9" max="9"/>
    <col width="10" customWidth="1" style="53" min="10" max="10"/>
    <col width="12" customWidth="1" style="53" min="11" max="11"/>
    <col width="8.6640625" customWidth="1" style="53" min="14" max="17"/>
  </cols>
  <sheetData>
    <row r="2" ht="30" customHeight="1" s="53">
      <c r="A2" s="57" t="inlineStr">
        <is>
          <t>REFERENCE — Asset / Geography / Theme / Tax Mapping  (edit yellow cells to reclassify)</t>
        </is>
      </c>
    </row>
    <row r="4" ht="31.5" customHeight="1" s="53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3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Open-Ended</t>
        </is>
      </c>
      <c r="J5" s="32" t="inlineStr">
        <is>
          <t>THB</t>
        </is>
      </c>
      <c r="K5" s="80">
        <f>IF(J5="THB",1,FXRate)</f>
        <v/>
      </c>
      <c r="Q5" s="46" t="n"/>
    </row>
    <row r="6" ht="15" customHeight="1" s="53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Open-Ended</t>
        </is>
      </c>
      <c r="J6" s="32" t="inlineStr">
        <is>
          <t>THB</t>
        </is>
      </c>
      <c r="K6" s="80">
        <f>IF(J6="THB",1,FXRate)</f>
        <v/>
      </c>
      <c r="Q6" s="46" t="n"/>
    </row>
    <row r="7" ht="15" customHeight="1" s="53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Open-Ended</t>
        </is>
      </c>
      <c r="J7" s="32" t="inlineStr">
        <is>
          <t>THB</t>
        </is>
      </c>
      <c r="K7" s="80">
        <f>IF(J7="THB",1,FXRate)</f>
        <v/>
      </c>
      <c r="Q7" s="46" t="n"/>
    </row>
    <row r="8" ht="15" customHeight="1" s="53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Open-Ended</t>
        </is>
      </c>
      <c r="J8" s="32" t="inlineStr">
        <is>
          <t>THB</t>
        </is>
      </c>
      <c r="K8" s="80">
        <f>IF(J8="THB",1,FXRate)</f>
        <v/>
      </c>
      <c r="Q8" s="46" t="n"/>
    </row>
    <row r="9" ht="15" customHeight="1" s="53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Open-Ended</t>
        </is>
      </c>
      <c r="J9" s="32" t="inlineStr">
        <is>
          <t>THB</t>
        </is>
      </c>
      <c r="K9" s="80">
        <f>IF(J9="THB",1,FXRate)</f>
        <v/>
      </c>
      <c r="Q9" s="46" t="n"/>
    </row>
    <row r="10" ht="15" customHeight="1" s="53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Open-Ended</t>
        </is>
      </c>
      <c r="J10" s="32" t="inlineStr">
        <is>
          <t>THB</t>
        </is>
      </c>
      <c r="K10" s="80">
        <f>IF(J10="THB",1,FXRate)</f>
        <v/>
      </c>
      <c r="Q10" s="46" t="n"/>
    </row>
    <row r="11" ht="15" customHeight="1" s="53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Open-Ended</t>
        </is>
      </c>
      <c r="J11" s="32" t="inlineStr">
        <is>
          <t>THB</t>
        </is>
      </c>
      <c r="K11" s="80">
        <f>IF(J11="THB",1,FXRate)</f>
        <v/>
      </c>
      <c r="Q11" s="46" t="n"/>
    </row>
    <row r="12" ht="15" customHeight="1" s="53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Open-Ended</t>
        </is>
      </c>
      <c r="J12" s="32" t="inlineStr">
        <is>
          <t>THB</t>
        </is>
      </c>
      <c r="K12" s="80">
        <f>IF(J12="THB",1,FXRate)</f>
        <v/>
      </c>
      <c r="Q12" s="46" t="n"/>
    </row>
    <row r="13" ht="15" customHeight="1" s="53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Open-Ended</t>
        </is>
      </c>
      <c r="J13" s="32" t="inlineStr">
        <is>
          <t>THB</t>
        </is>
      </c>
      <c r="K13" s="80">
        <f>IF(J13="THB",1,FXRate)</f>
        <v/>
      </c>
      <c r="Q13" s="46" t="n"/>
    </row>
    <row r="14" ht="15" customHeight="1" s="53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Open-Ended</t>
        </is>
      </c>
      <c r="J14" s="32" t="inlineStr">
        <is>
          <t>THB</t>
        </is>
      </c>
      <c r="K14" s="80">
        <f>IF(J14="THB",1,FXRate)</f>
        <v/>
      </c>
      <c r="Q14" s="46" t="n"/>
    </row>
    <row r="15" ht="15" customHeight="1" s="53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Open-Ended</t>
        </is>
      </c>
      <c r="J15" s="32" t="inlineStr">
        <is>
          <t>THB</t>
        </is>
      </c>
      <c r="K15" s="80">
        <f>IF(J15="THB",1,FXRate)</f>
        <v/>
      </c>
      <c r="Q15" s="46" t="n"/>
    </row>
    <row r="16" ht="15" customHeight="1" s="53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Open-Ended</t>
        </is>
      </c>
      <c r="J16" s="32" t="inlineStr">
        <is>
          <t>THB</t>
        </is>
      </c>
      <c r="K16" s="80">
        <f>IF(J16="THB",1,FXRate)</f>
        <v/>
      </c>
      <c r="Q16" s="46" t="n"/>
    </row>
    <row r="17" ht="15" customHeight="1" s="53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Open-Ended</t>
        </is>
      </c>
      <c r="J17" s="32" t="inlineStr">
        <is>
          <t>THB</t>
        </is>
      </c>
      <c r="K17" s="80">
        <f>IF(J17="THB",1,FXRate)</f>
        <v/>
      </c>
      <c r="Q17" s="46" t="n"/>
    </row>
    <row r="18" ht="15" customHeight="1" s="53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Open-Ended</t>
        </is>
      </c>
      <c r="J18" s="32" t="inlineStr">
        <is>
          <t>THB</t>
        </is>
      </c>
      <c r="K18" s="80">
        <f>IF(J18="THB",1,FXRate)</f>
        <v/>
      </c>
      <c r="Q18" s="46" t="n"/>
    </row>
    <row r="19" ht="15" customHeight="1" s="53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Open-Ended</t>
        </is>
      </c>
      <c r="J19" s="32" t="inlineStr">
        <is>
          <t>THB</t>
        </is>
      </c>
      <c r="K19" s="80">
        <f>IF(J19="THB",1,FXRate)</f>
        <v/>
      </c>
      <c r="Q19" s="46" t="n"/>
    </row>
    <row r="20" ht="15" customHeight="1" s="53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Open-Ended</t>
        </is>
      </c>
      <c r="J20" s="32" t="inlineStr">
        <is>
          <t>THB</t>
        </is>
      </c>
      <c r="K20" s="80">
        <f>IF(J20="THB",1,FXRate)</f>
        <v/>
      </c>
      <c r="Q20" s="46" t="n"/>
    </row>
    <row r="21" ht="15" customHeight="1" s="53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80">
        <f>IF(J21="THB",1,FXRate)</f>
        <v/>
      </c>
      <c r="Q21" s="46" t="n"/>
    </row>
    <row r="22" ht="15" customHeight="1" s="53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80">
        <f>IF(J22="THB",1,FXRate)</f>
        <v/>
      </c>
      <c r="Q22" s="46" t="n"/>
    </row>
    <row r="23" ht="15" customHeight="1" s="53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80">
        <f>IF(J23="THB",1,FXRate)</f>
        <v/>
      </c>
      <c r="Q23" s="46" t="n"/>
    </row>
    <row r="24" ht="15" customHeight="1" s="53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80">
        <f>IF(J24="THB",1,FXRate)</f>
        <v/>
      </c>
      <c r="Q24" s="46" t="n"/>
    </row>
    <row r="25" ht="15" customHeight="1" s="53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80">
        <f>IF(J25="THB",1,FXRate)</f>
        <v/>
      </c>
      <c r="Q25" s="46" t="n"/>
    </row>
    <row r="26" ht="15" customHeight="1" s="53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80">
        <f>IF(J26="THB",1,FXRate)</f>
        <v/>
      </c>
      <c r="Q26" s="46" t="n"/>
    </row>
    <row r="27" ht="15" customHeight="1" s="53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80">
        <f>IF(J27="THB",1,FXRate)</f>
        <v/>
      </c>
      <c r="Q27" s="46" t="n"/>
    </row>
    <row r="28" ht="15" customHeight="1" s="53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80">
        <f>IF(J28="THB",1,FXRate)</f>
        <v/>
      </c>
    </row>
    <row r="29" ht="15" customHeight="1" s="53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80">
        <f>IF(J29="THB",1,FXRate)</f>
        <v/>
      </c>
    </row>
    <row r="30" ht="15" customHeight="1" s="53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80">
        <f>IF(J30="THB",1,FXRate)</f>
        <v/>
      </c>
    </row>
    <row r="31" ht="15" customHeight="1" s="53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80">
        <f>IF(J31="THB",1,FXRate)</f>
        <v/>
      </c>
    </row>
    <row r="32" ht="15" customHeight="1" s="53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80">
        <f>IF(J32="THB",1,FXRate)</f>
        <v/>
      </c>
    </row>
    <row r="33" ht="15" customHeight="1" s="53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80">
        <f>IF(J33="THB",1,FXRate)</f>
        <v/>
      </c>
    </row>
    <row r="34" ht="15" customHeight="1" s="53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80">
        <f>IF(J34="THB",1,FXRate)</f>
        <v/>
      </c>
    </row>
    <row r="35" ht="15" customHeight="1" s="53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80">
        <f>IF(J35="THB",1,FXRate)</f>
        <v/>
      </c>
    </row>
    <row r="36" ht="15" customHeight="1" s="53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80">
        <f>IF(J36="THB",1,FXRate)</f>
        <v/>
      </c>
    </row>
    <row r="37" ht="15" customHeight="1" s="53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Open-Ended</t>
        </is>
      </c>
      <c r="J37" s="32" t="inlineStr">
        <is>
          <t>THB</t>
        </is>
      </c>
      <c r="K37" s="80">
        <f>IF(J37="THB",1,FXRate)</f>
        <v/>
      </c>
    </row>
    <row r="38" ht="15" customHeight="1" s="53">
      <c r="A38" s="35">
        <f>B38&amp;"|"&amp;C38&amp;"|"&amp;D38</f>
        <v/>
      </c>
      <c r="B38" s="32" t="inlineStr">
        <is>
          <t>Equity</t>
        </is>
      </c>
      <c r="C38" s="32" t="inlineStr">
        <is>
          <t>BANPU</t>
        </is>
      </c>
      <c r="D38" s="32" t="inlineStr">
        <is>
          <t>Asia Plus Securities</t>
        </is>
      </c>
      <c r="E38" s="32" t="inlineStr">
        <is>
          <t>Equity</t>
        </is>
      </c>
      <c r="F38" s="32" t="inlineStr">
        <is>
          <t>Single Stock</t>
        </is>
      </c>
      <c r="G38" s="32" t="inlineStr">
        <is>
          <t>Thailand</t>
        </is>
      </c>
      <c r="H38" s="32" t="inlineStr">
        <is>
          <t>Thai Single Stock</t>
        </is>
      </c>
      <c r="I38" s="32" t="inlineStr">
        <is>
          <t>Taxable</t>
        </is>
      </c>
      <c r="J38" s="32" t="inlineStr">
        <is>
          <t>THB</t>
        </is>
      </c>
      <c r="K38" s="80">
        <f>IF(J38="THB",1,FXRate)</f>
        <v/>
      </c>
    </row>
    <row r="39" ht="15" customHeight="1" s="53">
      <c r="A39" s="35">
        <f>B39&amp;"|"&amp;C39&amp;"|"&amp;D39</f>
        <v/>
      </c>
      <c r="B39" s="32" t="inlineStr">
        <is>
          <t>Equity</t>
        </is>
      </c>
      <c r="C39" s="32" t="inlineStr">
        <is>
          <t>BBL</t>
        </is>
      </c>
      <c r="D39" s="32" t="inlineStr">
        <is>
          <t>Asia Plus Securities</t>
        </is>
      </c>
      <c r="E39" s="32" t="inlineStr">
        <is>
          <t>Equity</t>
        </is>
      </c>
      <c r="F39" s="32" t="inlineStr">
        <is>
          <t>Single Stock</t>
        </is>
      </c>
      <c r="G39" s="32" t="inlineStr">
        <is>
          <t>Thailand</t>
        </is>
      </c>
      <c r="H39" s="32" t="inlineStr">
        <is>
          <t>Thai Single Stock</t>
        </is>
      </c>
      <c r="I39" s="32" t="inlineStr">
        <is>
          <t>Taxable</t>
        </is>
      </c>
      <c r="J39" s="32" t="inlineStr">
        <is>
          <t>THB</t>
        </is>
      </c>
      <c r="K39" s="80">
        <f>IF(J39="THB",1,FXRate)</f>
        <v/>
      </c>
    </row>
    <row r="40" ht="15" customHeight="1" s="53">
      <c r="A40" s="35">
        <f>B40&amp;"|"&amp;C40&amp;"|"&amp;D40</f>
        <v/>
      </c>
      <c r="B40" s="32" t="inlineStr">
        <is>
          <t>Equity</t>
        </is>
      </c>
      <c r="C40" s="32" t="inlineStr">
        <is>
          <t>BLAND</t>
        </is>
      </c>
      <c r="D40" s="32" t="inlineStr">
        <is>
          <t>Asia Plus Securities</t>
        </is>
      </c>
      <c r="E40" s="32" t="inlineStr">
        <is>
          <t>Equity</t>
        </is>
      </c>
      <c r="F40" s="32" t="inlineStr">
        <is>
          <t>Single Stock</t>
        </is>
      </c>
      <c r="G40" s="32" t="inlineStr">
        <is>
          <t>Thailand</t>
        </is>
      </c>
      <c r="H40" s="32" t="inlineStr">
        <is>
          <t>Thai Single Stock</t>
        </is>
      </c>
      <c r="I40" s="32" t="inlineStr">
        <is>
          <t>Taxable</t>
        </is>
      </c>
      <c r="J40" s="32" t="inlineStr">
        <is>
          <t>THB</t>
        </is>
      </c>
      <c r="K40" s="80">
        <f>IF(J40="THB",1,FXRate)</f>
        <v/>
      </c>
    </row>
    <row r="41" ht="15" customHeight="1" s="53">
      <c r="A41" s="35">
        <f>B41&amp;"|"&amp;C41&amp;"|"&amp;D41</f>
        <v/>
      </c>
      <c r="B41" s="32" t="inlineStr">
        <is>
          <t>Equity</t>
        </is>
      </c>
      <c r="C41" s="32" t="inlineStr">
        <is>
          <t>BWG</t>
        </is>
      </c>
      <c r="D41" s="32" t="inlineStr">
        <is>
          <t>Asia Plus Securities</t>
        </is>
      </c>
      <c r="E41" s="32" t="inlineStr">
        <is>
          <t>Equity</t>
        </is>
      </c>
      <c r="F41" s="32" t="inlineStr">
        <is>
          <t>Single Stock</t>
        </is>
      </c>
      <c r="G41" s="32" t="inlineStr">
        <is>
          <t>Thailand</t>
        </is>
      </c>
      <c r="H41" s="32" t="inlineStr">
        <is>
          <t>Thai Single Stock</t>
        </is>
      </c>
      <c r="I41" s="32" t="inlineStr">
        <is>
          <t>Taxable</t>
        </is>
      </c>
      <c r="J41" s="32" t="inlineStr">
        <is>
          <t>THB</t>
        </is>
      </c>
      <c r="K41" s="80">
        <f>IF(J41="THB",1,FXRate)</f>
        <v/>
      </c>
    </row>
    <row r="42" ht="15" customHeight="1" s="53">
      <c r="A42" s="35">
        <f>B42&amp;"|"&amp;C42&amp;"|"&amp;D42</f>
        <v/>
      </c>
      <c r="B42" s="32" t="inlineStr">
        <is>
          <t>Equity</t>
        </is>
      </c>
      <c r="C42" s="32" t="inlineStr">
        <is>
          <t>BWG-W7</t>
        </is>
      </c>
      <c r="D42" s="32" t="inlineStr">
        <is>
          <t>Asia Plus Securities</t>
        </is>
      </c>
      <c r="E42" s="32" t="inlineStr">
        <is>
          <t>Equity</t>
        </is>
      </c>
      <c r="F42" s="32" t="inlineStr">
        <is>
          <t>Single Stock</t>
        </is>
      </c>
      <c r="G42" s="32" t="inlineStr">
        <is>
          <t>Thailand</t>
        </is>
      </c>
      <c r="H42" s="32" t="inlineStr">
        <is>
          <t>Thai Single Stock</t>
        </is>
      </c>
      <c r="I42" s="32" t="inlineStr">
        <is>
          <t>Taxable</t>
        </is>
      </c>
      <c r="J42" s="32" t="inlineStr">
        <is>
          <t>THB</t>
        </is>
      </c>
      <c r="K42" s="80">
        <f>IF(J42="THB",1,FXRate)</f>
        <v/>
      </c>
    </row>
    <row r="43" ht="15" customHeight="1" s="53">
      <c r="A43" s="35">
        <f>B43&amp;"|"&amp;C43&amp;"|"&amp;D43</f>
        <v/>
      </c>
      <c r="B43" s="32" t="inlineStr">
        <is>
          <t>Equity</t>
        </is>
      </c>
      <c r="C43" s="32" t="inlineStr">
        <is>
          <t>GSTEEL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80">
        <f>IF(J43="THB",1,FXRate)</f>
        <v/>
      </c>
    </row>
    <row r="44" ht="15" customHeight="1" s="53">
      <c r="A44" s="35">
        <f>B44&amp;"|"&amp;C44&amp;"|"&amp;D44</f>
        <v/>
      </c>
      <c r="B44" s="32" t="inlineStr">
        <is>
          <t>Equity</t>
        </is>
      </c>
      <c r="C44" s="32" t="inlineStr">
        <is>
          <t>GULF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80">
        <f>IF(J44="THB",1,FXRate)</f>
        <v/>
      </c>
    </row>
    <row r="45" ht="15" customHeight="1" s="53">
      <c r="A45" s="35">
        <f>B45&amp;"|"&amp;C45&amp;"|"&amp;D45</f>
        <v/>
      </c>
      <c r="B45" s="32" t="inlineStr">
        <is>
          <t>Equity</t>
        </is>
      </c>
      <c r="C45" s="32" t="inlineStr">
        <is>
          <t>NETBAY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80">
        <f>IF(J45="THB",1,FXRate)</f>
        <v/>
      </c>
    </row>
    <row r="46" ht="15" customHeight="1" s="53">
      <c r="A46" s="35">
        <f>B46&amp;"|"&amp;C46&amp;"|"&amp;D46</f>
        <v/>
      </c>
      <c r="B46" s="32" t="inlineStr">
        <is>
          <t>Equity</t>
        </is>
      </c>
      <c r="C46" s="32" t="inlineStr">
        <is>
          <t>OSP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80">
        <f>IF(J46="THB",1,FXRate)</f>
        <v/>
      </c>
    </row>
    <row r="47" ht="15" customHeight="1" s="53">
      <c r="A47" s="35">
        <f>B47&amp;"|"&amp;C47&amp;"|"&amp;D47</f>
        <v/>
      </c>
      <c r="B47" s="32" t="inlineStr">
        <is>
          <t>Equity</t>
        </is>
      </c>
      <c r="C47" s="32" t="inlineStr">
        <is>
          <t>RJH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80">
        <f>IF(J47="THB",1,FXRate)</f>
        <v/>
      </c>
    </row>
    <row r="48" ht="15" customHeight="1" s="53">
      <c r="A48" s="35">
        <f>B48&amp;"|"&amp;C48&amp;"|"&amp;D48</f>
        <v/>
      </c>
      <c r="B48" s="32" t="inlineStr">
        <is>
          <t>Equity</t>
        </is>
      </c>
      <c r="C48" s="32" t="inlineStr">
        <is>
          <t>SAMART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80">
        <f>IF(J48="THB",1,FXRate)</f>
        <v/>
      </c>
    </row>
    <row r="49" ht="15" customHeight="1" s="53">
      <c r="A49" s="35">
        <f>B49&amp;"|"&amp;C49&amp;"|"&amp;D49</f>
        <v/>
      </c>
      <c r="B49" s="32" t="inlineStr">
        <is>
          <t>Equity</t>
        </is>
      </c>
      <c r="C49" s="32" t="inlineStr">
        <is>
          <t>SAWAD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80">
        <f>IF(J49="THB",1,FXRate)</f>
        <v/>
      </c>
    </row>
    <row r="50" ht="15" customHeight="1" s="53">
      <c r="A50" s="35">
        <f>B50&amp;"|"&amp;C50&amp;"|"&amp;D50</f>
        <v/>
      </c>
      <c r="B50" s="32" t="inlineStr">
        <is>
          <t>Equity</t>
        </is>
      </c>
      <c r="C50" s="32" t="inlineStr">
        <is>
          <t>WORK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80">
        <f>IF(J50="THB",1,FXRate)</f>
        <v/>
      </c>
    </row>
    <row r="51" ht="15" customHeight="1" s="53">
      <c r="A51" s="35">
        <f>B51&amp;"|"&amp;C51&amp;"|"&amp;D51</f>
        <v/>
      </c>
      <c r="B51" s="32" t="inlineStr">
        <is>
          <t>Equity</t>
        </is>
      </c>
      <c r="C51" s="32" t="inlineStr">
        <is>
          <t>Cash</t>
        </is>
      </c>
      <c r="D51" s="32" t="inlineStr">
        <is>
          <t>Asia Plus Securities</t>
        </is>
      </c>
      <c r="E51" s="32" t="inlineStr">
        <is>
          <t>Cash &amp; Equivalents</t>
        </is>
      </c>
      <c r="F51" s="32" t="inlineStr">
        <is>
          <t>Cash</t>
        </is>
      </c>
      <c r="G51" s="32" t="inlineStr">
        <is>
          <t>Thailand</t>
        </is>
      </c>
      <c r="H51" s="32" t="inlineStr">
        <is>
          <t>Brokerage Cash</t>
        </is>
      </c>
      <c r="I51" s="32" t="inlineStr">
        <is>
          <t>Taxable</t>
        </is>
      </c>
      <c r="J51" s="32" t="inlineStr">
        <is>
          <t>THB</t>
        </is>
      </c>
      <c r="K51" s="80">
        <f>IF(J51="THB",1,FXRate)</f>
        <v/>
      </c>
    </row>
    <row r="52" ht="15" customHeight="1" s="53">
      <c r="A52" s="35">
        <f>B52&amp;"|"&amp;C52&amp;"|"&amp;D52</f>
        <v/>
      </c>
      <c r="B52" s="32" t="inlineStr">
        <is>
          <t>Equity</t>
        </is>
      </c>
      <c r="C52" s="32" t="inlineStr">
        <is>
          <t>NCAP</t>
        </is>
      </c>
      <c r="D52" s="32" t="inlineStr">
        <is>
          <t>DBS Vickers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80">
        <f>IF(J52="THB",1,FXRate)</f>
        <v/>
      </c>
    </row>
    <row r="53" ht="15" customHeight="1" s="53">
      <c r="A53" s="35">
        <f>B53&amp;"|"&amp;C53&amp;"|"&amp;D53</f>
        <v/>
      </c>
      <c r="B53" s="32" t="inlineStr">
        <is>
          <t>Equity</t>
        </is>
      </c>
      <c r="C53" s="32" t="inlineStr">
        <is>
          <t>OR</t>
        </is>
      </c>
      <c r="D53" s="32" t="inlineStr">
        <is>
          <t>DBS Vickers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80">
        <f>IF(J53="THB",1,FXRate)</f>
        <v/>
      </c>
    </row>
    <row r="54" ht="15" customHeight="1" s="53">
      <c r="A54" s="35">
        <f>B54&amp;"|"&amp;C54&amp;"|"&amp;D54</f>
        <v/>
      </c>
      <c r="B54" s="32" t="inlineStr">
        <is>
          <t>Equity</t>
        </is>
      </c>
      <c r="C54" s="32" t="inlineStr">
        <is>
          <t>TIDLOR</t>
        </is>
      </c>
      <c r="D54" s="32" t="inlineStr">
        <is>
          <t>DBS Vickers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80">
        <f>IF(J54="THB",1,FXRate)</f>
        <v/>
      </c>
    </row>
    <row r="55" ht="15" customHeight="1" s="53">
      <c r="A55" s="35">
        <f>B55&amp;"|"&amp;C55&amp;"|"&amp;D55</f>
        <v/>
      </c>
      <c r="B55" s="32" t="inlineStr">
        <is>
          <t>Equity</t>
        </is>
      </c>
      <c r="C55" s="32" t="inlineStr">
        <is>
          <t>HUMAN</t>
        </is>
      </c>
      <c r="D55" s="32" t="inlineStr">
        <is>
          <t>DBS Vickers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80">
        <f>IF(J55="THB",1,FXRate)</f>
        <v/>
      </c>
    </row>
    <row r="56" ht="15" customHeight="1" s="53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DBS Vickers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80">
        <f>IF(J56="THB",1,FXRate)</f>
        <v/>
      </c>
    </row>
    <row r="57" ht="15" customHeight="1" s="53">
      <c r="A57" s="35">
        <f>B57&amp;"|"&amp;C57&amp;"|"&amp;D57</f>
        <v/>
      </c>
      <c r="B57" s="32" t="inlineStr">
        <is>
          <t>Equity</t>
        </is>
      </c>
      <c r="C57" s="32" t="inlineStr">
        <is>
          <t>ACLS</t>
        </is>
      </c>
      <c r="D57" s="32" t="inlineStr">
        <is>
          <t>Dime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United States</t>
        </is>
      </c>
      <c r="H57" s="32" t="inlineStr">
        <is>
          <t>US Single Stock</t>
        </is>
      </c>
      <c r="I57" s="32" t="inlineStr">
        <is>
          <t>Taxable</t>
        </is>
      </c>
      <c r="J57" s="32" t="inlineStr">
        <is>
          <t>USD</t>
        </is>
      </c>
      <c r="K57" s="80">
        <f>IF(J57="THB",1,FXRate)</f>
        <v/>
      </c>
    </row>
    <row r="58" ht="15" customHeight="1" s="53">
      <c r="A58" s="35">
        <f>B58&amp;"|"&amp;C58&amp;"|"&amp;D58</f>
        <v/>
      </c>
      <c r="B58" s="32" t="inlineStr">
        <is>
          <t>Equity</t>
        </is>
      </c>
      <c r="C58" s="32" t="inlineStr">
        <is>
          <t>ADBE</t>
        </is>
      </c>
      <c r="D58" s="32" t="inlineStr">
        <is>
          <t>Dime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United States</t>
        </is>
      </c>
      <c r="H58" s="32" t="inlineStr">
        <is>
          <t>US Single Stock</t>
        </is>
      </c>
      <c r="I58" s="32" t="inlineStr">
        <is>
          <t>Taxable</t>
        </is>
      </c>
      <c r="J58" s="32" t="inlineStr">
        <is>
          <t>USD</t>
        </is>
      </c>
      <c r="K58" s="80">
        <f>IF(J58="THB",1,FXRate)</f>
        <v/>
      </c>
    </row>
    <row r="59" ht="15" customHeight="1" s="53">
      <c r="A59" s="35">
        <f>B59&amp;"|"&amp;C59&amp;"|"&amp;D59</f>
        <v/>
      </c>
      <c r="B59" s="32" t="inlineStr">
        <is>
          <t>Equity</t>
        </is>
      </c>
      <c r="C59" s="32" t="inlineStr">
        <is>
          <t>AMAT</t>
        </is>
      </c>
      <c r="D59" s="32" t="inlineStr">
        <is>
          <t>Dime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United States</t>
        </is>
      </c>
      <c r="H59" s="32" t="inlineStr">
        <is>
          <t>US Single Stock</t>
        </is>
      </c>
      <c r="I59" s="32" t="inlineStr">
        <is>
          <t>Taxable</t>
        </is>
      </c>
      <c r="J59" s="32" t="inlineStr">
        <is>
          <t>USD</t>
        </is>
      </c>
      <c r="K59" s="80">
        <f>IF(J59="THB",1,FXRate)</f>
        <v/>
      </c>
    </row>
    <row r="60" ht="15" customHeight="1" s="53">
      <c r="A60" s="35">
        <f>B60&amp;"|"&amp;C60&amp;"|"&amp;D60</f>
        <v/>
      </c>
      <c r="B60" s="32" t="inlineStr">
        <is>
          <t>Equity</t>
        </is>
      </c>
      <c r="C60" s="32" t="inlineStr">
        <is>
          <t>CRUS</t>
        </is>
      </c>
      <c r="D60" s="32" t="inlineStr">
        <is>
          <t>Dime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United States</t>
        </is>
      </c>
      <c r="H60" s="32" t="inlineStr">
        <is>
          <t>US Single Stock</t>
        </is>
      </c>
      <c r="I60" s="32" t="inlineStr">
        <is>
          <t>Taxable</t>
        </is>
      </c>
      <c r="J60" s="32" t="inlineStr">
        <is>
          <t>USD</t>
        </is>
      </c>
      <c r="K60" s="80">
        <f>IF(J60="THB",1,FXRate)</f>
        <v/>
      </c>
    </row>
    <row r="61" ht="15" customHeight="1" s="53">
      <c r="A61" s="35">
        <f>B61&amp;"|"&amp;C61&amp;"|"&amp;D61</f>
        <v/>
      </c>
      <c r="B61" s="32" t="inlineStr">
        <is>
          <t>Equity</t>
        </is>
      </c>
      <c r="C61" s="32" t="inlineStr">
        <is>
          <t>ENPH</t>
        </is>
      </c>
      <c r="D61" s="32" t="inlineStr">
        <is>
          <t>Dime</t>
        </is>
      </c>
      <c r="E61" s="32" t="inlineStr">
        <is>
          <t>Equity</t>
        </is>
      </c>
      <c r="F61" s="32" t="inlineStr">
        <is>
          <t>Single Stock</t>
        </is>
      </c>
      <c r="G61" s="32" t="inlineStr">
        <is>
          <t>United States</t>
        </is>
      </c>
      <c r="H61" s="32" t="inlineStr">
        <is>
          <t>US Single Stock</t>
        </is>
      </c>
      <c r="I61" s="32" t="inlineStr">
        <is>
          <t>Taxable</t>
        </is>
      </c>
      <c r="J61" s="32" t="inlineStr">
        <is>
          <t>USD</t>
        </is>
      </c>
      <c r="K61" s="80">
        <f>IF(J61="THB",1,FXRate)</f>
        <v/>
      </c>
    </row>
    <row r="62" ht="15" customHeight="1" s="53">
      <c r="A62" s="35">
        <f>B62&amp;"|"&amp;C62&amp;"|"&amp;D62</f>
        <v/>
      </c>
      <c r="B62" s="32" t="inlineStr">
        <is>
          <t>Equity</t>
        </is>
      </c>
      <c r="C62" s="32" t="inlineStr">
        <is>
          <t>FTNT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80">
        <f>IF(J62="THB",1,FXRate)</f>
        <v/>
      </c>
    </row>
    <row r="63" ht="15" customHeight="1" s="53">
      <c r="A63" s="35">
        <f>B63&amp;"|"&amp;C63&amp;"|"&amp;D63</f>
        <v/>
      </c>
      <c r="B63" s="32" t="inlineStr">
        <is>
          <t>Equity</t>
        </is>
      </c>
      <c r="C63" s="32" t="inlineStr">
        <is>
          <t>IT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80">
        <f>IF(J63="THB",1,FXRate)</f>
        <v/>
      </c>
    </row>
    <row r="64" ht="15" customHeight="1" s="53">
      <c r="A64" s="35">
        <f>B64&amp;"|"&amp;C64&amp;"|"&amp;D64</f>
        <v/>
      </c>
      <c r="B64" s="32" t="inlineStr">
        <is>
          <t>Equity</t>
        </is>
      </c>
      <c r="C64" s="32" t="inlineStr">
        <is>
          <t>KLAC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80">
        <f>IF(J64="THB",1,FXRate)</f>
        <v/>
      </c>
    </row>
    <row r="65" ht="15" customHeight="1" s="53">
      <c r="A65" s="35">
        <f>B65&amp;"|"&amp;C65&amp;"|"&amp;D65</f>
        <v/>
      </c>
      <c r="B65" s="32" t="inlineStr">
        <is>
          <t>Equity</t>
        </is>
      </c>
      <c r="C65" s="32" t="inlineStr">
        <is>
          <t>LLY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80">
        <f>IF(J65="THB",1,FXRate)</f>
        <v/>
      </c>
    </row>
    <row r="66" ht="15" customHeight="1" s="53">
      <c r="A66" s="35">
        <f>B66&amp;"|"&amp;C66&amp;"|"&amp;D66</f>
        <v/>
      </c>
      <c r="B66" s="32" t="inlineStr">
        <is>
          <t>Equity</t>
        </is>
      </c>
      <c r="C66" s="32" t="inlineStr">
        <is>
          <t>MCHP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80">
        <f>IF(J66="THB",1,FXRate)</f>
        <v/>
      </c>
    </row>
    <row r="67" ht="15" customHeight="1" s="53">
      <c r="A67" s="35">
        <f>B67&amp;"|"&amp;C67&amp;"|"&amp;D67</f>
        <v/>
      </c>
      <c r="B67" s="32" t="inlineStr">
        <is>
          <t>Equity</t>
        </is>
      </c>
      <c r="C67" s="32" t="inlineStr">
        <is>
          <t>MPWR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80">
        <f>IF(J67="THB",1,FXRate)</f>
        <v/>
      </c>
    </row>
    <row r="68" ht="15" customHeight="1" s="53">
      <c r="A68" s="35">
        <f>B68&amp;"|"&amp;C68&amp;"|"&amp;D68</f>
        <v/>
      </c>
      <c r="B68" s="32" t="inlineStr">
        <is>
          <t>Equity</t>
        </is>
      </c>
      <c r="C68" s="32" t="inlineStr">
        <is>
          <t>NSIT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80">
        <f>IF(J68="THB",1,FXRate)</f>
        <v/>
      </c>
    </row>
    <row r="69" ht="15" customHeight="1" s="53">
      <c r="A69" s="35">
        <f>B69&amp;"|"&amp;C69&amp;"|"&amp;D69</f>
        <v/>
      </c>
      <c r="B69" s="32" t="inlineStr">
        <is>
          <t>Equity</t>
        </is>
      </c>
      <c r="C69" s="32" t="inlineStr">
        <is>
          <t>NVDA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80">
        <f>IF(J69="THB",1,FXRate)</f>
        <v/>
      </c>
    </row>
    <row r="70" ht="15" customHeight="1" s="53">
      <c r="A70" s="35">
        <f>B70&amp;"|"&amp;C70&amp;"|"&amp;D70</f>
        <v/>
      </c>
      <c r="B70" s="32" t="inlineStr">
        <is>
          <t>Equity</t>
        </is>
      </c>
      <c r="C70" s="32" t="inlineStr">
        <is>
          <t>OLED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80">
        <f>IF(J70="THB",1,FXRate)</f>
        <v/>
      </c>
    </row>
    <row r="71" ht="15" customHeight="1" s="53">
      <c r="A71" s="35">
        <f>B71&amp;"|"&amp;C71&amp;"|"&amp;D71</f>
        <v/>
      </c>
      <c r="B71" s="32" t="inlineStr">
        <is>
          <t>Equity</t>
        </is>
      </c>
      <c r="C71" s="32" t="inlineStr">
        <is>
          <t>QRVO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80">
        <f>IF(J71="THB",1,FXRate)</f>
        <v/>
      </c>
    </row>
    <row r="72" ht="15" customHeight="1" s="53">
      <c r="A72" s="35">
        <f>B72&amp;"|"&amp;C72&amp;"|"&amp;D72</f>
        <v/>
      </c>
      <c r="B72" s="32" t="inlineStr">
        <is>
          <t>Equity</t>
        </is>
      </c>
      <c r="C72" s="32" t="inlineStr">
        <is>
          <t>TER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80">
        <f>IF(J72="THB",1,FXRate)</f>
        <v/>
      </c>
    </row>
    <row r="73" ht="15" customHeight="1" s="53">
      <c r="A73" s="35">
        <f>B73&amp;"|"&amp;C73&amp;"|"&amp;D73</f>
        <v/>
      </c>
      <c r="B73" s="32" t="inlineStr">
        <is>
          <t>Equity</t>
        </is>
      </c>
      <c r="C73" s="32" t="inlineStr">
        <is>
          <t>TSLA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80">
        <f>IF(J73="THB",1,FXRate)</f>
        <v/>
      </c>
    </row>
    <row r="74" ht="15" customHeight="1" s="53">
      <c r="A74" s="35">
        <f>B74&amp;"|"&amp;C74&amp;"|"&amp;D74</f>
        <v/>
      </c>
      <c r="B74" s="32" t="inlineStr">
        <is>
          <t>Equity</t>
        </is>
      </c>
      <c r="C74" s="32" t="inlineStr">
        <is>
          <t>YOU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80">
        <f>IF(J74="THB",1,FXRate)</f>
        <v/>
      </c>
    </row>
    <row r="75" ht="15" customHeight="1" s="53">
      <c r="A75" s="35">
        <f>B75&amp;"|"&amp;C75&amp;"|"&amp;D75</f>
        <v/>
      </c>
      <c r="B75" s="32" t="inlineStr">
        <is>
          <t>Equity</t>
        </is>
      </c>
      <c r="C75" s="32" t="inlineStr">
        <is>
          <t>EWY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ETF</t>
        </is>
      </c>
      <c r="G75" s="32" t="inlineStr">
        <is>
          <t>South Korea</t>
        </is>
      </c>
      <c r="H75" s="32" t="inlineStr">
        <is>
          <t>Korea</t>
        </is>
      </c>
      <c r="I75" s="32" t="inlineStr">
        <is>
          <t>Taxable</t>
        </is>
      </c>
      <c r="J75" s="32" t="inlineStr">
        <is>
          <t>USD</t>
        </is>
      </c>
      <c r="K75" s="80">
        <f>IF(J75="THB",1,FXRate)</f>
        <v/>
      </c>
    </row>
    <row r="76" ht="15" customHeight="1" s="53">
      <c r="A76" s="35">
        <f>B76&amp;"|"&amp;C76&amp;"|"&amp;D76</f>
        <v/>
      </c>
      <c r="B76" s="32" t="inlineStr">
        <is>
          <t>Equity</t>
        </is>
      </c>
      <c r="C76" s="32" t="inlineStr">
        <is>
          <t>Cash</t>
        </is>
      </c>
      <c r="D76" s="32" t="inlineStr">
        <is>
          <t>Dime</t>
        </is>
      </c>
      <c r="E76" s="32" t="inlineStr">
        <is>
          <t>Cash &amp; Equivalents</t>
        </is>
      </c>
      <c r="F76" s="32" t="inlineStr">
        <is>
          <t>Cash</t>
        </is>
      </c>
      <c r="G76" s="32" t="inlineStr">
        <is>
          <t>United States</t>
        </is>
      </c>
      <c r="H76" s="32" t="inlineStr">
        <is>
          <t>Brokerage Cash</t>
        </is>
      </c>
      <c r="I76" s="32" t="inlineStr">
        <is>
          <t>Taxable</t>
        </is>
      </c>
      <c r="J76" s="32" t="inlineStr">
        <is>
          <t>USD</t>
        </is>
      </c>
      <c r="K76" s="80">
        <f>IF(J76="THB",1,FXRate)</f>
        <v/>
      </c>
    </row>
    <row r="77" ht="15" customHeight="1" s="53">
      <c r="A77" s="35">
        <f>B77&amp;"|"&amp;C77&amp;"|"&amp;D77</f>
        <v/>
      </c>
      <c r="B77" s="32" t="inlineStr">
        <is>
          <t>Equity</t>
        </is>
      </c>
      <c r="C77" s="32" t="inlineStr">
        <is>
          <t>REMX</t>
        </is>
      </c>
      <c r="D77" s="32" t="inlineStr">
        <is>
          <t>SCB SG</t>
        </is>
      </c>
      <c r="E77" s="32" t="inlineStr">
        <is>
          <t>Equity</t>
        </is>
      </c>
      <c r="F77" s="32" t="inlineStr">
        <is>
          <t>ETF</t>
        </is>
      </c>
      <c r="G77" s="32" t="inlineStr">
        <is>
          <t>United States</t>
        </is>
      </c>
      <c r="H77" s="32" t="inlineStr">
        <is>
          <t>Rare Earth</t>
        </is>
      </c>
      <c r="I77" s="32" t="inlineStr">
        <is>
          <t>Taxable</t>
        </is>
      </c>
      <c r="J77" s="32" t="inlineStr">
        <is>
          <t>USD</t>
        </is>
      </c>
      <c r="K77" s="80">
        <f>IF(J77="THB",1,FXRate)</f>
        <v/>
      </c>
    </row>
    <row r="78" ht="15" customHeight="1" s="53">
      <c r="A78" s="35">
        <f>B78&amp;"|"&amp;C78&amp;"|"&amp;D78</f>
        <v/>
      </c>
      <c r="B78" s="32" t="inlineStr">
        <is>
          <t>Equity</t>
        </is>
      </c>
      <c r="C78" s="32" t="inlineStr">
        <is>
          <t>AAPL</t>
        </is>
      </c>
      <c r="D78" s="32" t="inlineStr">
        <is>
          <t>SCB SG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80">
        <f>IF(J78="THB",1,FXRate)</f>
        <v/>
      </c>
    </row>
    <row r="79" ht="15" customHeight="1" s="53">
      <c r="A79" s="35">
        <f>B79&amp;"|"&amp;C79&amp;"|"&amp;D79</f>
        <v/>
      </c>
      <c r="B79" s="32" t="inlineStr">
        <is>
          <t>Equity</t>
        </is>
      </c>
      <c r="C79" s="32" t="inlineStr">
        <is>
          <t>COIN</t>
        </is>
      </c>
      <c r="D79" s="32" t="inlineStr">
        <is>
          <t>SCB SG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80">
        <f>IF(J79="THB",1,FXRate)</f>
        <v/>
      </c>
    </row>
    <row r="80" ht="15" customHeight="1" s="53">
      <c r="A80" s="35">
        <f>B80&amp;"|"&amp;C80&amp;"|"&amp;D80</f>
        <v/>
      </c>
      <c r="B80" s="32" t="inlineStr">
        <is>
          <t>Equity</t>
        </is>
      </c>
      <c r="C80" s="32" t="inlineStr">
        <is>
          <t>META</t>
        </is>
      </c>
      <c r="D80" s="32" t="inlineStr">
        <is>
          <t>SCB SG</t>
        </is>
      </c>
      <c r="E80" s="32" t="inlineStr">
        <is>
          <t>Equity</t>
        </is>
      </c>
      <c r="F80" s="32" t="inlineStr">
        <is>
          <t>Single Stock</t>
        </is>
      </c>
      <c r="G80" s="32" t="inlineStr">
        <is>
          <t>United States</t>
        </is>
      </c>
      <c r="H80" s="32" t="inlineStr">
        <is>
          <t>US Single Stock</t>
        </is>
      </c>
      <c r="I80" s="32" t="inlineStr">
        <is>
          <t>Taxable</t>
        </is>
      </c>
      <c r="J80" s="32" t="inlineStr">
        <is>
          <t>USD</t>
        </is>
      </c>
      <c r="K80" s="80">
        <f>IF(J80="THB",1,FXRate)</f>
        <v/>
      </c>
    </row>
    <row r="81" ht="15" customHeight="1" s="53">
      <c r="A81" s="35">
        <f>B81&amp;"|"&amp;C81&amp;"|"&amp;D81</f>
        <v/>
      </c>
      <c r="B81" s="32" t="inlineStr">
        <is>
          <t>Equity</t>
        </is>
      </c>
      <c r="C81" s="32" t="inlineStr">
        <is>
          <t>VCX</t>
        </is>
      </c>
      <c r="D81" s="32" t="inlineStr">
        <is>
          <t>SCB SG</t>
        </is>
      </c>
      <c r="E81" s="32" t="inlineStr">
        <is>
          <t>Equity</t>
        </is>
      </c>
      <c r="F81" s="32" t="inlineStr">
        <is>
          <t>Single Stock</t>
        </is>
      </c>
      <c r="G81" s="32" t="inlineStr">
        <is>
          <t>United States</t>
        </is>
      </c>
      <c r="H81" s="32" t="inlineStr">
        <is>
          <t>US Single Stock</t>
        </is>
      </c>
      <c r="I81" s="32" t="inlineStr">
        <is>
          <t>Taxable</t>
        </is>
      </c>
      <c r="J81" s="32" t="inlineStr">
        <is>
          <t>USD</t>
        </is>
      </c>
      <c r="K81" s="80">
        <f>IF(J81="THB",1,FXRate)</f>
        <v/>
      </c>
    </row>
    <row r="82" ht="15" customHeight="1" s="53">
      <c r="A82" s="35">
        <f>B82&amp;"|"&amp;C82&amp;"|"&amp;D82</f>
        <v/>
      </c>
      <c r="B82" s="32" t="inlineStr">
        <is>
          <t>Equity</t>
        </is>
      </c>
      <c r="C82" s="32" t="inlineStr">
        <is>
          <t>Cash</t>
        </is>
      </c>
      <c r="D82" s="32" t="inlineStr">
        <is>
          <t>SCB SG</t>
        </is>
      </c>
      <c r="E82" s="32" t="inlineStr">
        <is>
          <t>Cash &amp; Equivalents</t>
        </is>
      </c>
      <c r="F82" s="32" t="inlineStr">
        <is>
          <t>Cash</t>
        </is>
      </c>
      <c r="G82" s="32" t="inlineStr">
        <is>
          <t>United States</t>
        </is>
      </c>
      <c r="H82" s="32" t="inlineStr">
        <is>
          <t>Brokerage Cash</t>
        </is>
      </c>
      <c r="I82" s="32" t="inlineStr">
        <is>
          <t>Taxable</t>
        </is>
      </c>
      <c r="J82" s="32" t="inlineStr">
        <is>
          <t>USD</t>
        </is>
      </c>
      <c r="K82" s="80">
        <f>IF(J82="THB",1,FXRate)</f>
        <v/>
      </c>
    </row>
    <row r="83" ht="15" customHeight="1" s="53">
      <c r="A83" s="35">
        <f>B83&amp;"|"&amp;C83&amp;"|"&amp;D83</f>
        <v/>
      </c>
      <c r="B83" s="32" t="inlineStr">
        <is>
          <t>Crypto</t>
        </is>
      </c>
      <c r="C83" s="32" t="inlineStr">
        <is>
          <t>BTC</t>
        </is>
      </c>
      <c r="D83" s="32" t="inlineStr">
        <is>
          <t>OKX</t>
        </is>
      </c>
      <c r="E83" s="32" t="inlineStr">
        <is>
          <t>Digital Assets</t>
        </is>
      </c>
      <c r="F83" s="32" t="inlineStr">
        <is>
          <t>Major Crypto</t>
        </is>
      </c>
      <c r="G83" s="32" t="inlineStr">
        <is>
          <t>Global</t>
        </is>
      </c>
      <c r="H83" s="32" t="inlineStr">
        <is>
          <t>Major Crypto</t>
        </is>
      </c>
      <c r="I83" s="32" t="inlineStr">
        <is>
          <t>Taxable</t>
        </is>
      </c>
      <c r="J83" s="32" t="inlineStr">
        <is>
          <t>USD</t>
        </is>
      </c>
      <c r="K83" s="80">
        <f>IF(J83="THB",1,FXRate)</f>
        <v/>
      </c>
    </row>
    <row r="84" ht="15" customHeight="1" s="53">
      <c r="A84" s="35">
        <f>B84&amp;"|"&amp;C84&amp;"|"&amp;D84</f>
        <v/>
      </c>
      <c r="B84" s="32" t="inlineStr">
        <is>
          <t>Crypto</t>
        </is>
      </c>
      <c r="C84" s="32" t="inlineStr">
        <is>
          <t>OKSOL</t>
        </is>
      </c>
      <c r="D84" s="32" t="inlineStr">
        <is>
          <t>OKX</t>
        </is>
      </c>
      <c r="E84" s="32" t="inlineStr">
        <is>
          <t>Digital Assets</t>
        </is>
      </c>
      <c r="F84" s="32" t="inlineStr">
        <is>
          <t>Altcoin</t>
        </is>
      </c>
      <c r="G84" s="32" t="inlineStr">
        <is>
          <t>Global</t>
        </is>
      </c>
      <c r="H84" s="32" t="inlineStr">
        <is>
          <t>Altcoin</t>
        </is>
      </c>
      <c r="I84" s="32" t="inlineStr">
        <is>
          <t>Taxable</t>
        </is>
      </c>
      <c r="J84" s="32" t="inlineStr">
        <is>
          <t>USD</t>
        </is>
      </c>
      <c r="K84" s="80">
        <f>IF(J84="THB",1,FXRate)</f>
        <v/>
      </c>
    </row>
    <row r="85" ht="15" customHeight="1" s="53">
      <c r="A85" s="35">
        <f>B85&amp;"|"&amp;C85&amp;"|"&amp;D85</f>
        <v/>
      </c>
      <c r="B85" s="32" t="inlineStr">
        <is>
          <t>Crypto</t>
        </is>
      </c>
      <c r="C85" s="32" t="inlineStr">
        <is>
          <t>PENGU</t>
        </is>
      </c>
      <c r="D85" s="32" t="inlineStr">
        <is>
          <t>OKX</t>
        </is>
      </c>
      <c r="E85" s="32" t="inlineStr">
        <is>
          <t>Digital Assets</t>
        </is>
      </c>
      <c r="F85" s="32" t="inlineStr">
        <is>
          <t>Altcoin</t>
        </is>
      </c>
      <c r="G85" s="32" t="inlineStr">
        <is>
          <t>Global</t>
        </is>
      </c>
      <c r="H85" s="32" t="inlineStr">
        <is>
          <t>Altcoin</t>
        </is>
      </c>
      <c r="I85" s="32" t="inlineStr">
        <is>
          <t>Taxable</t>
        </is>
      </c>
      <c r="J85" s="32" t="inlineStr">
        <is>
          <t>USD</t>
        </is>
      </c>
      <c r="K85" s="80">
        <f>IF(J85="THB",1,FXRate)</f>
        <v/>
      </c>
    </row>
    <row r="86" ht="15" customHeight="1" s="53">
      <c r="A86" s="35">
        <f>B86&amp;"|"&amp;C86&amp;"|"&amp;D86</f>
        <v/>
      </c>
      <c r="B86" s="32" t="inlineStr">
        <is>
          <t>Crypto</t>
        </is>
      </c>
      <c r="C86" s="32" t="inlineStr">
        <is>
          <t>COMP</t>
        </is>
      </c>
      <c r="D86" s="32" t="inlineStr">
        <is>
          <t>OKX</t>
        </is>
      </c>
      <c r="E86" s="32" t="inlineStr">
        <is>
          <t>Digital Assets</t>
        </is>
      </c>
      <c r="F86" s="32" t="inlineStr">
        <is>
          <t>Altcoin</t>
        </is>
      </c>
      <c r="G86" s="32" t="inlineStr">
        <is>
          <t>Global</t>
        </is>
      </c>
      <c r="H86" s="32" t="inlineStr">
        <is>
          <t>Altcoin</t>
        </is>
      </c>
      <c r="I86" s="32" t="inlineStr">
        <is>
          <t>Taxable</t>
        </is>
      </c>
      <c r="J86" s="32" t="inlineStr">
        <is>
          <t>USD</t>
        </is>
      </c>
      <c r="K86" s="80">
        <f>IF(J86="THB",1,FXRate)</f>
        <v/>
      </c>
    </row>
    <row r="87" ht="15" customHeight="1" s="53">
      <c r="A87" s="35">
        <f>B87&amp;"|"&amp;C87&amp;"|"&amp;D87</f>
        <v/>
      </c>
      <c r="B87" s="32" t="inlineStr">
        <is>
          <t>Crypto</t>
        </is>
      </c>
      <c r="C87" s="32" t="inlineStr">
        <is>
          <t>NIGHT</t>
        </is>
      </c>
      <c r="D87" s="32" t="inlineStr">
        <is>
          <t>OKX</t>
        </is>
      </c>
      <c r="E87" s="32" t="inlineStr">
        <is>
          <t>Digital Assets</t>
        </is>
      </c>
      <c r="F87" s="32" t="inlineStr">
        <is>
          <t>Altcoin</t>
        </is>
      </c>
      <c r="G87" s="32" t="inlineStr">
        <is>
          <t>Global</t>
        </is>
      </c>
      <c r="H87" s="32" t="inlineStr">
        <is>
          <t>Altcoin</t>
        </is>
      </c>
      <c r="I87" s="32" t="inlineStr">
        <is>
          <t>Taxable</t>
        </is>
      </c>
      <c r="J87" s="32" t="inlineStr">
        <is>
          <t>USD</t>
        </is>
      </c>
      <c r="K87" s="80">
        <f>IF(J87="THB",1,FXRate)</f>
        <v/>
      </c>
    </row>
    <row r="88" ht="15" customHeight="1" s="53">
      <c r="A88" s="35">
        <f>B88&amp;"|"&amp;C88&amp;"|"&amp;D88</f>
        <v/>
      </c>
      <c r="B88" s="32" t="inlineStr">
        <is>
          <t>Crypto</t>
        </is>
      </c>
      <c r="C88" s="32" t="inlineStr">
        <is>
          <t>SOL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80">
        <f>IF(J88="THB",1,FXRate)</f>
        <v/>
      </c>
    </row>
    <row r="89" ht="15" customHeight="1" s="53">
      <c r="A89" s="35">
        <f>B89&amp;"|"&amp;C89&amp;"|"&amp;D89</f>
        <v/>
      </c>
      <c r="B89" s="32" t="inlineStr">
        <is>
          <t>Crypto</t>
        </is>
      </c>
      <c r="C89" s="32" t="inlineStr">
        <is>
          <t>USDT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Stablecoin</t>
        </is>
      </c>
      <c r="G89" s="32" t="inlineStr">
        <is>
          <t>Global</t>
        </is>
      </c>
      <c r="H89" s="32" t="inlineStr">
        <is>
          <t>Stablecoin</t>
        </is>
      </c>
      <c r="I89" s="32" t="inlineStr">
        <is>
          <t>Taxable</t>
        </is>
      </c>
      <c r="J89" s="32" t="inlineStr">
        <is>
          <t>USD</t>
        </is>
      </c>
      <c r="K89" s="80">
        <f>IF(J89="THB",1,FXRate)</f>
        <v/>
      </c>
    </row>
    <row r="90" ht="15" customHeight="1" s="53">
      <c r="A90" s="35">
        <f>B90&amp;"|"&amp;C90&amp;"|"&amp;D90</f>
        <v/>
      </c>
      <c r="B90" s="32" t="inlineStr">
        <is>
          <t>Crypto</t>
        </is>
      </c>
      <c r="C90" s="32" t="inlineStr">
        <is>
          <t>BTC</t>
        </is>
      </c>
      <c r="D90" s="32" t="inlineStr">
        <is>
          <t>Binance</t>
        </is>
      </c>
      <c r="E90" s="32" t="inlineStr">
        <is>
          <t>Digital Assets</t>
        </is>
      </c>
      <c r="F90" s="32" t="inlineStr">
        <is>
          <t>Major Crypto</t>
        </is>
      </c>
      <c r="G90" s="32" t="inlineStr">
        <is>
          <t>Global</t>
        </is>
      </c>
      <c r="H90" s="32" t="inlineStr">
        <is>
          <t>Major Crypto</t>
        </is>
      </c>
      <c r="I90" s="32" t="inlineStr">
        <is>
          <t>Taxable</t>
        </is>
      </c>
      <c r="J90" s="32" t="inlineStr">
        <is>
          <t>USD</t>
        </is>
      </c>
      <c r="K90" s="80">
        <f>IF(J90="THB",1,FXRate)</f>
        <v/>
      </c>
    </row>
    <row r="91" ht="15" customHeight="1" s="53">
      <c r="A91" s="35">
        <f>B91&amp;"|"&amp;C91&amp;"|"&amp;D91</f>
        <v/>
      </c>
      <c r="B91" s="32" t="inlineStr">
        <is>
          <t>Crypto</t>
        </is>
      </c>
      <c r="C91" s="32" t="inlineStr">
        <is>
          <t>AAVE</t>
        </is>
      </c>
      <c r="D91" s="32" t="inlineStr">
        <is>
          <t>Binance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80">
        <f>IF(J91="THB",1,FXRate)</f>
        <v/>
      </c>
    </row>
    <row r="92" ht="15" customHeight="1" s="53">
      <c r="A92" s="35">
        <f>B92&amp;"|"&amp;C92&amp;"|"&amp;D92</f>
        <v/>
      </c>
      <c r="B92" s="32" t="inlineStr">
        <is>
          <t>Crypto</t>
        </is>
      </c>
      <c r="C92" s="32" t="inlineStr">
        <is>
          <t>TRUMP</t>
        </is>
      </c>
      <c r="D92" s="32" t="inlineStr">
        <is>
          <t>Binance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80">
        <f>IF(J92="THB",1,FXRate)</f>
        <v/>
      </c>
    </row>
    <row r="93" ht="15" customHeight="1" s="53">
      <c r="A93" s="35">
        <f>B93&amp;"|"&amp;C93&amp;"|"&amp;D93</f>
        <v/>
      </c>
      <c r="B93" s="32" t="inlineStr">
        <is>
          <t>Crypto</t>
        </is>
      </c>
      <c r="C93" s="32" t="inlineStr">
        <is>
          <t>PLUME</t>
        </is>
      </c>
      <c r="D93" s="32" t="inlineStr">
        <is>
          <t>Binance</t>
        </is>
      </c>
      <c r="E93" s="32" t="inlineStr">
        <is>
          <t>Digital Assets</t>
        </is>
      </c>
      <c r="F93" s="32" t="inlineStr">
        <is>
          <t>Altcoin</t>
        </is>
      </c>
      <c r="G93" s="32" t="inlineStr">
        <is>
          <t>Global</t>
        </is>
      </c>
      <c r="H93" s="32" t="inlineStr">
        <is>
          <t>Altcoin</t>
        </is>
      </c>
      <c r="I93" s="32" t="inlineStr">
        <is>
          <t>Taxable</t>
        </is>
      </c>
      <c r="J93" s="32" t="inlineStr">
        <is>
          <t>USD</t>
        </is>
      </c>
      <c r="K93" s="80">
        <f>IF(J93="THB",1,FXRate)</f>
        <v/>
      </c>
    </row>
    <row r="94" ht="15" customHeight="1" s="53">
      <c r="A94" s="35">
        <f>B94&amp;"|"&amp;C94&amp;"|"&amp;D94</f>
        <v/>
      </c>
      <c r="B94" s="32" t="inlineStr">
        <is>
          <t>Crypto</t>
        </is>
      </c>
      <c r="C94" s="32" t="inlineStr">
        <is>
          <t>SOL</t>
        </is>
      </c>
      <c r="D94" s="32" t="inlineStr">
        <is>
          <t>Binance</t>
        </is>
      </c>
      <c r="E94" s="32" t="inlineStr">
        <is>
          <t>Digital Assets</t>
        </is>
      </c>
      <c r="F94" s="32" t="inlineStr">
        <is>
          <t>Major Crypto</t>
        </is>
      </c>
      <c r="G94" s="32" t="inlineStr">
        <is>
          <t>Global</t>
        </is>
      </c>
      <c r="H94" s="32" t="inlineStr">
        <is>
          <t>Major Crypto</t>
        </is>
      </c>
      <c r="I94" s="32" t="inlineStr">
        <is>
          <t>Taxable</t>
        </is>
      </c>
      <c r="J94" s="32" t="inlineStr">
        <is>
          <t>USD</t>
        </is>
      </c>
      <c r="K94" s="80">
        <f>IF(J94="THB",1,FXRate)</f>
        <v/>
      </c>
    </row>
    <row r="95" ht="15" customHeight="1" s="53">
      <c r="A95" s="35">
        <f>B95&amp;"|"&amp;C95&amp;"|"&amp;D95</f>
        <v/>
      </c>
      <c r="B95" s="32" t="inlineStr">
        <is>
          <t>Crypto</t>
        </is>
      </c>
      <c r="C95" s="32" t="inlineStr">
        <is>
          <t>USDT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Stablecoin</t>
        </is>
      </c>
      <c r="G95" s="32" t="inlineStr">
        <is>
          <t>Global</t>
        </is>
      </c>
      <c r="H95" s="32" t="inlineStr">
        <is>
          <t>Stablecoin</t>
        </is>
      </c>
      <c r="I95" s="32" t="inlineStr">
        <is>
          <t>Taxable</t>
        </is>
      </c>
      <c r="J95" s="32" t="inlineStr">
        <is>
          <t>USD</t>
        </is>
      </c>
      <c r="K95" s="80">
        <f>IF(J95="THB",1,FXRate)</f>
        <v/>
      </c>
    </row>
    <row r="96" ht="15" customHeight="1" s="53">
      <c r="A96" s="35">
        <f>B96&amp;"|"&amp;C96&amp;"|"&amp;D96</f>
        <v/>
      </c>
      <c r="B96" s="32" t="inlineStr">
        <is>
          <t>Crypto</t>
        </is>
      </c>
      <c r="C96" s="32" t="inlineStr">
        <is>
          <t>BNB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Major Crypto</t>
        </is>
      </c>
      <c r="G96" s="32" t="inlineStr">
        <is>
          <t>Global</t>
        </is>
      </c>
      <c r="H96" s="32" t="inlineStr">
        <is>
          <t>Major Crypto</t>
        </is>
      </c>
      <c r="I96" s="32" t="inlineStr">
        <is>
          <t>Taxable</t>
        </is>
      </c>
      <c r="J96" s="32" t="inlineStr">
        <is>
          <t>USD</t>
        </is>
      </c>
      <c r="K96" s="80">
        <f>IF(J96="THB",1,FXRate)</f>
        <v/>
      </c>
    </row>
    <row r="97" ht="15" customHeight="1" s="53">
      <c r="A97" s="35">
        <f>B97&amp;"|"&amp;C97&amp;"|"&amp;D97</f>
        <v/>
      </c>
      <c r="B97" s="32" t="inlineStr">
        <is>
          <t>Crypto</t>
        </is>
      </c>
      <c r="C97" s="32" t="inlineStr">
        <is>
          <t>PENGU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80">
        <f>IF(J97="THB",1,FXRate)</f>
        <v/>
      </c>
    </row>
    <row r="98" ht="15" customHeight="1" s="53">
      <c r="A98" s="35">
        <f>B98&amp;"|"&amp;C98&amp;"|"&amp;D98</f>
        <v/>
      </c>
      <c r="B98" s="32" t="inlineStr">
        <is>
          <t>Crypto</t>
        </is>
      </c>
      <c r="C98" s="32" t="inlineStr">
        <is>
          <t>VELODROME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80">
        <f>IF(J98="THB",1,FXRate)</f>
        <v/>
      </c>
    </row>
    <row r="99" ht="15" customHeight="1" s="53">
      <c r="A99" s="35">
        <f>B99&amp;"|"&amp;C99&amp;"|"&amp;D99</f>
        <v/>
      </c>
      <c r="B99" s="32" t="inlineStr">
        <is>
          <t>Crypto</t>
        </is>
      </c>
      <c r="C99" s="32" t="inlineStr">
        <is>
          <t>BTC</t>
        </is>
      </c>
      <c r="D99" s="32" t="inlineStr">
        <is>
          <t>Bitkub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THB</t>
        </is>
      </c>
      <c r="K99" s="80">
        <f>IF(J99="THB",1,FXRate)</f>
        <v/>
      </c>
    </row>
    <row r="100" ht="15" customHeight="1" s="53">
      <c r="A100" s="35">
        <f>B100&amp;"|"&amp;C100&amp;"|"&amp;D100</f>
        <v/>
      </c>
      <c r="B100" s="32" t="inlineStr">
        <is>
          <t>Crypto</t>
        </is>
      </c>
      <c r="C100" s="32" t="inlineStr">
        <is>
          <t>BNB</t>
        </is>
      </c>
      <c r="D100" s="32" t="inlineStr">
        <is>
          <t>Bitkub</t>
        </is>
      </c>
      <c r="E100" s="32" t="inlineStr">
        <is>
          <t>Digital Assets</t>
        </is>
      </c>
      <c r="F100" s="32" t="inlineStr">
        <is>
          <t>Major Crypto</t>
        </is>
      </c>
      <c r="G100" s="32" t="inlineStr">
        <is>
          <t>Global</t>
        </is>
      </c>
      <c r="H100" s="32" t="inlineStr">
        <is>
          <t>Major Crypto</t>
        </is>
      </c>
      <c r="I100" s="32" t="inlineStr">
        <is>
          <t>Taxable</t>
        </is>
      </c>
      <c r="J100" s="32" t="inlineStr">
        <is>
          <t>THB</t>
        </is>
      </c>
      <c r="K100" s="80">
        <f>IF(J100="THB",1,FXRate)</f>
        <v/>
      </c>
    </row>
    <row r="101" ht="15" customHeight="1" s="53">
      <c r="A101" s="35">
        <f>B101&amp;"|"&amp;C101&amp;"|"&amp;D101</f>
        <v/>
      </c>
      <c r="B101" s="32" t="inlineStr">
        <is>
          <t>Crypto</t>
        </is>
      </c>
      <c r="C101" s="32" t="inlineStr">
        <is>
          <t>DOGE</t>
        </is>
      </c>
      <c r="D101" s="32" t="inlineStr">
        <is>
          <t>Bitkub</t>
        </is>
      </c>
      <c r="E101" s="32" t="inlineStr">
        <is>
          <t>Digital Assets</t>
        </is>
      </c>
      <c r="F101" s="32" t="inlineStr">
        <is>
          <t>Altcoin</t>
        </is>
      </c>
      <c r="G101" s="32" t="inlineStr">
        <is>
          <t>Global</t>
        </is>
      </c>
      <c r="H101" s="32" t="inlineStr">
        <is>
          <t>Altcoin</t>
        </is>
      </c>
      <c r="I101" s="32" t="inlineStr">
        <is>
          <t>Taxable</t>
        </is>
      </c>
      <c r="J101" s="32" t="inlineStr">
        <is>
          <t>THB</t>
        </is>
      </c>
      <c r="K101" s="80">
        <f>IF(J101="THB",1,FXRate)</f>
        <v/>
      </c>
    </row>
    <row r="102" ht="15" customHeight="1" s="53">
      <c r="A102" s="35">
        <f>B102&amp;"|"&amp;C102&amp;"|"&amp;D102</f>
        <v/>
      </c>
      <c r="B102" s="32" t="inlineStr">
        <is>
          <t>Crypto</t>
        </is>
      </c>
      <c r="C102" s="32" t="inlineStr">
        <is>
          <t>ETH</t>
        </is>
      </c>
      <c r="D102" s="32" t="inlineStr">
        <is>
          <t>Bitkub</t>
        </is>
      </c>
      <c r="E102" s="32" t="inlineStr">
        <is>
          <t>Digital Assets</t>
        </is>
      </c>
      <c r="F102" s="32" t="inlineStr">
        <is>
          <t>Major Crypto</t>
        </is>
      </c>
      <c r="G102" s="32" t="inlineStr">
        <is>
          <t>Global</t>
        </is>
      </c>
      <c r="H102" s="32" t="inlineStr">
        <is>
          <t>Major Crypto</t>
        </is>
      </c>
      <c r="I102" s="32" t="inlineStr">
        <is>
          <t>Taxable</t>
        </is>
      </c>
      <c r="J102" s="32" t="inlineStr">
        <is>
          <t>THB</t>
        </is>
      </c>
      <c r="K102" s="80">
        <f>IF(J102="THB",1,FXRate)</f>
        <v/>
      </c>
    </row>
    <row r="103" ht="15" customHeight="1" s="53">
      <c r="A103" s="35">
        <f>B103&amp;"|"&amp;C103&amp;"|"&amp;D103</f>
        <v/>
      </c>
      <c r="B103" s="32" t="inlineStr">
        <is>
          <t>Crypto</t>
        </is>
      </c>
      <c r="C103" s="32" t="inlineStr">
        <is>
          <t>KUB</t>
        </is>
      </c>
      <c r="D103" s="32" t="inlineStr">
        <is>
          <t>Bitkub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THB</t>
        </is>
      </c>
      <c r="K103" s="80">
        <f>IF(J103="THB",1,FXRate)</f>
        <v/>
      </c>
    </row>
    <row r="104" ht="15" customHeight="1" s="53">
      <c r="A104" s="35">
        <f>B104&amp;"|"&amp;C104&amp;"|"&amp;D104</f>
        <v/>
      </c>
      <c r="B104" s="32" t="inlineStr">
        <is>
          <t>Crypto</t>
        </is>
      </c>
      <c r="C104" s="32" t="inlineStr">
        <is>
          <t>VELO</t>
        </is>
      </c>
      <c r="D104" s="32" t="inlineStr">
        <is>
          <t>Bitazza</t>
        </is>
      </c>
      <c r="E104" s="32" t="inlineStr">
        <is>
          <t>Digital Assets</t>
        </is>
      </c>
      <c r="F104" s="32" t="inlineStr">
        <is>
          <t>Altcoin</t>
        </is>
      </c>
      <c r="G104" s="32" t="inlineStr">
        <is>
          <t>Global</t>
        </is>
      </c>
      <c r="H104" s="32" t="inlineStr">
        <is>
          <t>Altcoin</t>
        </is>
      </c>
      <c r="I104" s="32" t="inlineStr">
        <is>
          <t>Taxable</t>
        </is>
      </c>
      <c r="J104" s="32" t="inlineStr">
        <is>
          <t>THB</t>
        </is>
      </c>
      <c r="K104" s="80">
        <f>IF(J104="THB",1,FXRate)</f>
        <v/>
      </c>
    </row>
    <row r="105" ht="15" customHeight="1" s="53">
      <c r="A105" s="35">
        <f>B105&amp;"|"&amp;C105&amp;"|"&amp;D105</f>
        <v/>
      </c>
      <c r="B105" s="32" t="inlineStr">
        <is>
          <t>Crypto</t>
        </is>
      </c>
      <c r="C105" s="32" t="inlineStr">
        <is>
          <t>SUI</t>
        </is>
      </c>
      <c r="D105" s="32" t="inlineStr">
        <is>
          <t>Bitazza</t>
        </is>
      </c>
      <c r="E105" s="32" t="inlineStr">
        <is>
          <t>Digital Assets</t>
        </is>
      </c>
      <c r="F105" s="32" t="inlineStr">
        <is>
          <t>Altcoin</t>
        </is>
      </c>
      <c r="G105" s="32" t="inlineStr">
        <is>
          <t>Global</t>
        </is>
      </c>
      <c r="H105" s="32" t="inlineStr">
        <is>
          <t>Altcoin</t>
        </is>
      </c>
      <c r="I105" s="32" t="inlineStr">
        <is>
          <t>Taxable</t>
        </is>
      </c>
      <c r="J105" s="32" t="inlineStr">
        <is>
          <t>THB</t>
        </is>
      </c>
      <c r="K105" s="80">
        <f>IF(J105="THB",1,FXRate)</f>
        <v/>
      </c>
    </row>
    <row r="106" ht="15" customHeight="1" s="53">
      <c r="A106" s="35">
        <f>B106&amp;"|"&amp;C106&amp;"|"&amp;D106</f>
        <v/>
      </c>
      <c r="B106" s="32" t="inlineStr">
        <is>
          <t>Crypto</t>
        </is>
      </c>
      <c r="C106" s="32" t="inlineStr">
        <is>
          <t>ARB</t>
        </is>
      </c>
      <c r="D106" s="32" t="inlineStr">
        <is>
          <t>Bitazza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80">
        <f>IF(J106="THB",1,FXRate)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2026-05-31T12:17:33Z</dcterms:modified>
  <cp:lastModifiedBy>veerasak supakatitham</cp:lastModifiedBy>
  <cp:revision>3</cp:revision>
</cp:coreProperties>
</file>