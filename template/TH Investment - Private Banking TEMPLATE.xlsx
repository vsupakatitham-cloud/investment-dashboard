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6260" windowHeight="17160" tabRatio="500" firstSheet="0" activeTab="1" autoFilterDateGrouping="1"/>
  </bookViews>
  <sheets>
    <sheet name="README" sheetId="1" state="visible" r:id="rId1"/>
    <sheet name="Dashboard" sheetId="2" state="visible" r:id="rId2"/>
    <sheet name="Weekly Snapshot" sheetId="3" state="visible" r:id="rId3"/>
    <sheet name="FX &amp; Assumptions" sheetId="4" state="visible" r:id="rId4"/>
    <sheet name="Prices" sheetId="5" state="visible" r:id="rId5"/>
    <sheet name="MF - Lots" sheetId="6" state="visible" r:id="rId6"/>
    <sheet name="MF - by Fund" sheetId="7" state="visible" r:id="rId7"/>
    <sheet name="Equities - Lots" sheetId="8" state="visible" r:id="rId8"/>
    <sheet name="Equities - by Ticker" sheetId="9" state="visible" r:id="rId9"/>
    <sheet name="Crypto - Lots" sheetId="10" state="visible" r:id="rId10"/>
    <sheet name="Crypto - by Coin" sheetId="11" state="visible" r:id="rId11"/>
    <sheet name="Reference" sheetId="12" state="visible" r:id="rId12"/>
  </sheets>
  <definedNames>
    <definedName name="AsOfDate">'FX &amp; Assumptions'!$C$5</definedName>
    <definedName name="FXRate">'FX &amp; Assumptions'!$C$6</definedName>
    <definedName name="_xlnm._FilterDatabase" localSheetId="5" hidden="1">'MF - Lots'!$A$4:$S$164</definedName>
    <definedName name="_xlnm._FilterDatabase" localSheetId="6" hidden="1">'MF - by Fund'!$A$4:$M$36</definedName>
    <definedName name="_xlnm._FilterDatabase" localSheetId="7" hidden="1">'Equities - Lots'!$A$4:$P$45</definedName>
    <definedName name="_xlnm._FilterDatabase" localSheetId="8" hidden="1">'Equities - by Ticker'!$A$4:$M$43</definedName>
    <definedName name="_xlnm._FilterDatabase" localSheetId="9" hidden="1">'Crypto - Lots'!$A$4:$O$30</definedName>
    <definedName name="_xlnm._FilterDatabase" localSheetId="10" hidden="1">'Crypto - by Coin'!$A$4:$K$28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#,##0.00;[Red]\(#,##0.00\);\-"/>
    <numFmt numFmtId="165" formatCode="0.00%;[Red]\(0.00%\);\-"/>
    <numFmt numFmtId="166" formatCode="\฿#,##0;[Red]&quot;(฿&quot;#,##0\);\-"/>
    <numFmt numFmtId="167" formatCode="yyyy\-mm\-dd"/>
    <numFmt numFmtId="168" formatCode="#,##0.0000;[Red]\(#,##0.0000\);\-"/>
    <numFmt numFmtId="169" formatCode="#,##0;[Red]\(#,##0\);\-"/>
    <numFmt numFmtId="170" formatCode="\฿#,##0.00;[Red]&quot;(฿&quot;#,##0.00\);\-"/>
  </numFmts>
  <fonts count="17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8"/>
    </font>
    <font>
      <name val="Arial"/>
      <charset val="1"/>
      <family val="2"/>
      <b val="1"/>
      <color rgb="FFFFFFFF"/>
      <sz val="12"/>
    </font>
    <font>
      <name val="Arial"/>
      <charset val="1"/>
      <family val="2"/>
      <sz val="11"/>
    </font>
    <font>
      <name val="Arial"/>
      <charset val="1"/>
      <family val="2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1F3864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1F3864"/>
      <sz val="20"/>
    </font>
    <font>
      <name val="Arial"/>
      <charset val="1"/>
      <family val="2"/>
      <b val="1"/>
      <color rgb="FF1F3864"/>
      <sz val="16"/>
    </font>
    <font>
      <name val="Arial"/>
      <charset val="1"/>
      <family val="2"/>
      <color rgb="FF006100"/>
      <sz val="11"/>
    </font>
    <font>
      <name val="Arial"/>
      <charset val="1"/>
      <family val="2"/>
      <color rgb="FF000000"/>
      <sz val="11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sz val="9"/>
    </font>
    <font>
      <name val="Arial"/>
      <charset val="1"/>
      <family val="2"/>
      <sz val="9"/>
    </font>
    <font>
      <name val="Arial"/>
      <charset val="1"/>
      <family val="2"/>
      <i val="1"/>
      <color rgb="FF595959"/>
      <sz val="9"/>
    </font>
    <font>
      <name val="Arial"/>
      <charset val="1"/>
      <family val="2"/>
      <color rgb="FF0000FF"/>
      <sz val="11"/>
    </font>
  </fonts>
  <fills count="8">
    <fill>
      <patternFill/>
    </fill>
    <fill>
      <patternFill patternType="gray125"/>
    </fill>
    <fill>
      <patternFill patternType="solid">
        <fgColor rgb="FF1F3864"/>
        <bgColor rgb="FF44546A"/>
      </patternFill>
    </fill>
    <fill>
      <patternFill patternType="solid">
        <fgColor rgb="FF44546A"/>
        <bgColor rgb="FF595959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164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left" indent="1"/>
    </xf>
    <xf numFmtId="0" fontId="7" fillId="2" borderId="2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indent="1"/>
    </xf>
    <xf numFmtId="166" fontId="10" fillId="0" borderId="1" applyAlignment="1" pivotButton="0" quotePrefix="0" xfId="0">
      <alignment horizontal="right"/>
    </xf>
    <xf numFmtId="165" fontId="11" fillId="0" borderId="1" applyAlignment="1" pivotButton="0" quotePrefix="0" xfId="0">
      <alignment horizontal="right"/>
    </xf>
    <xf numFmtId="166" fontId="11" fillId="0" borderId="1" applyAlignment="1" pivotButton="0" quotePrefix="0" xfId="0">
      <alignment horizontal="right"/>
    </xf>
    <xf numFmtId="0" fontId="12" fillId="2" borderId="1" applyAlignment="1" pivotButton="0" quotePrefix="0" xfId="0">
      <alignment horizontal="left" indent="1"/>
    </xf>
    <xf numFmtId="166" fontId="12" fillId="2" borderId="1" applyAlignment="1" pivotButton="0" quotePrefix="0" xfId="0">
      <alignment horizontal="right"/>
    </xf>
    <xf numFmtId="165" fontId="12" fillId="2" borderId="1" applyAlignment="1" pivotButton="0" quotePrefix="0" xfId="0">
      <alignment horizontal="right"/>
    </xf>
    <xf numFmtId="0" fontId="13" fillId="6" borderId="0" pivotButton="0" quotePrefix="0" xfId="0"/>
    <xf numFmtId="0" fontId="6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indent="1"/>
    </xf>
    <xf numFmtId="0" fontId="14" fillId="0" borderId="0" pivotButton="0" quotePrefix="0" xfId="0"/>
    <xf numFmtId="166" fontId="1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indent="1"/>
    </xf>
    <xf numFmtId="166" fontId="10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left" vertical="top" wrapText="1"/>
    </xf>
    <xf numFmtId="167" fontId="10" fillId="0" borderId="1" applyAlignment="1" pivotButton="0" quotePrefix="0" xfId="0">
      <alignment horizontal="right"/>
    </xf>
    <xf numFmtId="165" fontId="10" fillId="0" borderId="1" applyAlignment="1" pivotButton="0" quotePrefix="0" xfId="0">
      <alignment horizontal="right"/>
    </xf>
    <xf numFmtId="164" fontId="10" fillId="0" borderId="1" applyAlignment="1" pivotButton="0" quotePrefix="0" xfId="0">
      <alignment horizontal="right"/>
    </xf>
    <xf numFmtId="167" fontId="16" fillId="7" borderId="1" applyAlignment="1" pivotButton="0" quotePrefix="0" xfId="0">
      <alignment horizontal="right"/>
    </xf>
    <xf numFmtId="166" fontId="16" fillId="7" borderId="1" applyAlignment="1" pivotButton="0" quotePrefix="0" xfId="0">
      <alignment horizontal="right"/>
    </xf>
    <xf numFmtId="165" fontId="16" fillId="7" borderId="1" applyAlignment="1" pivotButton="0" quotePrefix="0" xfId="0">
      <alignment horizontal="right"/>
    </xf>
    <xf numFmtId="164" fontId="16" fillId="7" borderId="1" applyAlignment="1" pivotButton="0" quotePrefix="0" xfId="0">
      <alignment horizontal="right"/>
    </xf>
    <xf numFmtId="0" fontId="16" fillId="7" borderId="1" applyAlignment="1" pivotButton="0" quotePrefix="0" xfId="0">
      <alignment horizontal="left" indent="1"/>
    </xf>
    <xf numFmtId="168" fontId="16" fillId="7" borderId="1" applyAlignment="1" pivotButton="0" quotePrefix="0" xfId="0">
      <alignment horizontal="right"/>
    </xf>
    <xf numFmtId="0" fontId="11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left" indent="1"/>
    </xf>
    <xf numFmtId="167" fontId="11" fillId="0" borderId="1" applyAlignment="1" pivotButton="0" quotePrefix="0" xfId="0">
      <alignment horizontal="right"/>
    </xf>
    <xf numFmtId="169" fontId="11" fillId="0" borderId="1" applyAlignment="1" pivotButton="0" quotePrefix="0" xfId="0">
      <alignment horizontal="right"/>
    </xf>
    <xf numFmtId="49" fontId="11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168" fontId="11" fillId="0" borderId="1" applyAlignment="1" pivotButton="0" quotePrefix="0" xfId="0">
      <alignment horizontal="right"/>
    </xf>
    <xf numFmtId="168" fontId="10" fillId="0" borderId="1" applyAlignment="1" pivotButton="0" quotePrefix="0" xfId="0">
      <alignment horizontal="right"/>
    </xf>
    <xf numFmtId="170" fontId="11" fillId="0" borderId="1" applyAlignment="1" pivotButton="0" quotePrefix="0" xfId="0">
      <alignment horizontal="right"/>
    </xf>
    <xf numFmtId="0" fontId="12" fillId="2" borderId="1" applyAlignment="1" pivotButton="0" quotePrefix="0" xfId="0">
      <alignment horizontal="right"/>
    </xf>
    <xf numFmtId="169" fontId="10" fillId="0" borderId="1" applyAlignment="1" pivotButton="0" quotePrefix="0" xfId="0">
      <alignment horizontal="right"/>
    </xf>
    <xf numFmtId="169" fontId="12" fillId="2" borderId="1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vertical="center"/>
    </xf>
    <xf numFmtId="167" fontId="6" fillId="0" borderId="0" applyAlignment="1" pivotButton="0" quotePrefix="0" xfId="0">
      <alignment horizontal="left" indent="1"/>
    </xf>
    <xf numFmtId="0" fontId="0" fillId="0" borderId="5" pivotButton="0" quotePrefix="0" xfId="0"/>
    <xf numFmtId="0" fontId="0" fillId="0" borderId="6" pivotButton="0" quotePrefix="0" xfId="0"/>
    <xf numFmtId="166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right"/>
    </xf>
    <xf numFmtId="165" fontId="11" fillId="0" borderId="1" applyAlignment="1" pivotButton="0" quotePrefix="0" xfId="0">
      <alignment horizontal="right"/>
    </xf>
    <xf numFmtId="166" fontId="11" fillId="0" borderId="1" applyAlignment="1" pivotButton="0" quotePrefix="0" xfId="0">
      <alignment horizontal="right"/>
    </xf>
    <xf numFmtId="166" fontId="12" fillId="2" borderId="1" applyAlignment="1" pivotButton="0" quotePrefix="0" xfId="0">
      <alignment horizontal="right"/>
    </xf>
    <xf numFmtId="165" fontId="12" fillId="2" borderId="1" applyAlignment="1" pivotButton="0" quotePrefix="0" xfId="0">
      <alignment horizontal="right"/>
    </xf>
    <xf numFmtId="166" fontId="14" fillId="0" borderId="0" pivotButton="0" quotePrefix="0" xfId="0"/>
    <xf numFmtId="166" fontId="10" fillId="0" borderId="0" applyAlignment="1" pivotButton="0" quotePrefix="0" xfId="0">
      <alignment horizontal="right"/>
    </xf>
    <xf numFmtId="165" fontId="11" fillId="0" borderId="0" applyAlignment="1" pivotButton="0" quotePrefix="0" xfId="0">
      <alignment horizontal="right"/>
    </xf>
    <xf numFmtId="167" fontId="10" fillId="0" borderId="1" applyAlignment="1" pivotButton="0" quotePrefix="0" xfId="0">
      <alignment horizontal="right"/>
    </xf>
    <xf numFmtId="165" fontId="10" fillId="0" borderId="1" applyAlignment="1" pivotButton="0" quotePrefix="0" xfId="0">
      <alignment horizontal="right"/>
    </xf>
    <xf numFmtId="164" fontId="10" fillId="0" borderId="1" applyAlignment="1" pivotButton="0" quotePrefix="0" xfId="0">
      <alignment horizontal="right"/>
    </xf>
    <xf numFmtId="167" fontId="16" fillId="7" borderId="1" applyAlignment="1" pivotButton="0" quotePrefix="0" xfId="0">
      <alignment horizontal="right"/>
    </xf>
    <xf numFmtId="166" fontId="16" fillId="7" borderId="1" applyAlignment="1" pivotButton="0" quotePrefix="0" xfId="0">
      <alignment horizontal="right"/>
    </xf>
    <xf numFmtId="165" fontId="16" fillId="7" borderId="1" applyAlignment="1" pivotButton="0" quotePrefix="0" xfId="0">
      <alignment horizontal="right"/>
    </xf>
    <xf numFmtId="164" fontId="16" fillId="7" borderId="1" applyAlignment="1" pivotButton="0" quotePrefix="0" xfId="0">
      <alignment horizontal="right"/>
    </xf>
    <xf numFmtId="167" fontId="11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</cellXfs>
  <cellStyles count="1">
    <cellStyle name="Normal" xfId="0" builtinId="0"/>
  </cellStyles>
  <dxfs count="7">
    <dxf>
      <font>
        <name val="Arial"/>
        <charset val="1"/>
        <color rgb="FF9C0006"/>
      </font>
    </dxf>
    <dxf>
      <font>
        <name val="Arial"/>
        <charset val="1"/>
        <color rgb="FF9C0006"/>
      </font>
    </dxf>
    <dxf>
      <font>
        <name val="Arial"/>
        <charset val="1"/>
        <color rgb="FF9C0006"/>
      </font>
    </dxf>
    <dxf>
      <font>
        <name val="Arial"/>
        <charset val="1"/>
        <color rgb="FF9C0006"/>
      </font>
    </dxf>
    <dxf>
      <font>
        <name val="Arial"/>
        <charset val="1"/>
        <color rgb="FF9C0006"/>
      </font>
    </dxf>
    <dxf>
      <font>
        <name val="Arial"/>
        <charset val="1"/>
        <color rgb="FF9C0006"/>
      </font>
    </dxf>
    <dxf>
      <font>
        <name val="Arial"/>
        <charset val="1"/>
        <b val="1"/>
        <color rgb="FF9C0006"/>
      </font>
      <fill>
        <patternFill>
          <bgColor rgb="FFFF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64A2"/>
      <rgbColor rgb="FF800080"/>
      <rgbColor rgb="FF4F81BD"/>
      <rgbColor rgb="FFBFBFBF"/>
      <rgbColor rgb="FF878787"/>
      <rgbColor rgb="FF93A9CE"/>
      <rgbColor rgb="FFAB4744"/>
      <rgbColor rgb="FFFFF2CC"/>
      <rgbColor rgb="FFF2F2F2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B8CD97"/>
      <rgbColor rgb="FFD09493"/>
      <rgbColor rgb="FFCC99FF"/>
      <rgbColor rgb="FFFFCCCC"/>
      <rgbColor rgb="FF4672A8"/>
      <rgbColor rgb="FF4BACC6"/>
      <rgbColor rgb="FF9BBB59"/>
      <rgbColor rgb="FFFFCC00"/>
      <rgbColor rgb="FFF79646"/>
      <rgbColor rgb="FFFF6600"/>
      <rgbColor rgb="FF725990"/>
      <rgbColor rgb="FF8AA64F"/>
      <rgbColor rgb="FF1F3864"/>
      <rgbColor rgb="FF4299B0"/>
      <rgbColor rgb="FF003300"/>
      <rgbColor rgb="FF333300"/>
      <rgbColor rgb="FF993300"/>
      <rgbColor rgb="FFC0504D"/>
      <rgbColor rgb="FF44546A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Asset Class Allocation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doughnutChart>
        <varyColors val="1"/>
        <ser>
          <idx val="0"/>
          <order val="0"/>
          <tx>
            <strRef>
              <f>Dashboard!$D$15</f>
              <strCache>
                <ptCount val="1"/>
                <pt idx="0">
                  <v>Current Value</v>
                </pt>
              </strCache>
            </strRef>
          </tx>
          <spPr>
            <a:solidFill>
              <a:srgbClr val="4F81BD"/>
            </a:solidFill>
            <a:ln w="12600">
              <a:noFill/>
              <a:prstDash val="solid"/>
            </a:ln>
          </spPr>
          <dPt>
            <idx val="0"/>
            <bubble3D val="0"/>
            <spPr>
              <a:solidFill>
                <a:srgbClr val="4F81BD"/>
              </a:solidFill>
              <a:ln w="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C0504D"/>
              </a:solidFill>
              <a:ln w="1260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9BBB59"/>
              </a:solidFill>
              <a:ln w="1260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8064A2"/>
              </a:solidFill>
              <a:ln w="1260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4BACC6"/>
              </a:solidFill>
              <a:ln w="1260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F79646"/>
              </a:solidFill>
              <a:ln w="1260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  <a:endParaRPr lang="en-TH"/>
              </a:p>
            </txPr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Dashboard!$B$16:$B$21</f>
              <strCache>
                <ptCount val="6"/>
                <pt idx="0">
                  <v>Equity</v>
                </pt>
                <pt idx="1">
                  <v>Fixed Income</v>
                </pt>
                <pt idx="2">
                  <v>Multi-Asset</v>
                </pt>
                <pt idx="3">
                  <v>Alternatives</v>
                </pt>
                <pt idx="4">
                  <v>Cash &amp; Equivalents</v>
                </pt>
                <pt idx="5">
                  <v>Digital Assets</v>
                </pt>
              </strCache>
            </strRef>
          </cat>
          <val>
            <numRef>
              <f>Dashboard!$D$16:$D$21</f>
              <numCache>
                <formatCode>\฿#,##0;[Red]"(฿"#,##0\);\-</formatCode>
                <ptCount val="6"/>
                <pt idx="0">
                  <v>15940294.45918619</v>
                </pt>
                <pt idx="1">
                  <v>937035.2693244</v>
                </pt>
                <pt idx="2">
                  <v>1044083.42263637</v>
                </pt>
                <pt idx="3">
                  <v>547575.63405864</v>
                </pt>
                <pt idx="4">
                  <v>407979.4954874199</v>
                </pt>
                <pt idx="5">
                  <v>1465206.899391622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n-TH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Geography Allocation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Dashboard!$J$15</f>
              <strCache>
                <ptCount val="1"/>
                <pt idx="0">
                  <v>Current Value</v>
                </pt>
              </strCache>
            </strRef>
          </tx>
          <spPr>
            <a:solidFill>
              <a:srgbClr val="4F81BD"/>
            </a:solidFill>
            <a:ln w="12600">
              <a:noFill/>
              <a:prstDash val="solid"/>
            </a:ln>
          </spPr>
          <dPt>
            <idx val="0"/>
            <bubble3D val="0"/>
            <spPr>
              <a:solidFill>
                <a:srgbClr val="4672A8"/>
              </a:solidFill>
              <a:ln w="12600">
                <a:noFill/>
                <a:prstDash val="solid"/>
              </a:ln>
            </spPr>
          </dPt>
          <dPt>
            <idx val="1"/>
            <bubble3D val="0"/>
            <spPr>
              <a:solidFill>
                <a:srgbClr val="AB4744"/>
              </a:solidFill>
              <a:ln w="12600">
                <a:noFill/>
                <a:prstDash val="solid"/>
              </a:ln>
            </spPr>
          </dPt>
          <dPt>
            <idx val="2"/>
            <bubble3D val="0"/>
            <spPr>
              <a:solidFill>
                <a:srgbClr val="8AA64F"/>
              </a:solidFill>
              <a:ln w="12600">
                <a:noFill/>
                <a:prstDash val="solid"/>
              </a:ln>
            </spPr>
          </dPt>
          <dPt>
            <idx val="3"/>
            <bubble3D val="0"/>
            <spPr>
              <a:solidFill>
                <a:srgbClr val="725990"/>
              </a:solidFill>
              <a:ln w="12600">
                <a:noFill/>
                <a:prstDash val="solid"/>
              </a:ln>
            </spPr>
          </dPt>
          <dPt>
            <idx val="4"/>
            <bubble3D val="0"/>
            <spPr>
              <a:solidFill>
                <a:srgbClr val="4299B0"/>
              </a:solidFill>
              <a:ln w="12600">
                <a:noFill/>
                <a:prstDash val="solid"/>
              </a:ln>
            </spPr>
          </dPt>
          <dPt>
            <idx val="5"/>
            <bubble3D val="0"/>
            <spPr>
              <a:solidFill>
                <a:srgbClr val="DC853E"/>
              </a:solidFill>
              <a:ln w="12600">
                <a:noFill/>
                <a:prstDash val="solid"/>
              </a:ln>
            </spPr>
          </dPt>
          <dPt>
            <idx val="6"/>
            <bubble3D val="0"/>
            <spPr>
              <a:solidFill>
                <a:srgbClr val="93A9CE"/>
              </a:solidFill>
              <a:ln w="12600">
                <a:noFill/>
                <a:prstDash val="solid"/>
              </a:ln>
            </spPr>
          </dPt>
          <dPt>
            <idx val="7"/>
            <bubble3D val="0"/>
            <spPr>
              <a:solidFill>
                <a:srgbClr val="D09493"/>
              </a:solidFill>
              <a:ln w="12600">
                <a:noFill/>
                <a:prstDash val="solid"/>
              </a:ln>
            </spPr>
          </dPt>
          <dPt>
            <idx val="8"/>
            <bubble3D val="0"/>
            <spPr>
              <a:solidFill>
                <a:srgbClr val="B8CD97"/>
              </a:solidFill>
              <a:ln w="12600">
                <a:noFill/>
                <a:prstDash val="solid"/>
              </a:ln>
            </spPr>
          </dPt>
          <dLbls>
            <dLbl>
              <idx val="0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6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7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8"/>
              <spPr>
                <a:ln>
                  <a:prstDash val="solid"/>
                </a:ln>
              </spPr>
              <txPr>
                <a:bodyPr wrap="square"/>
                <a:lstStyle/>
                <a:p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r>
                    <a:t>None</a:t>
                  </a:r>
                  <a:endParaRPr lang="en-TH"/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r>
                  <a:t>None</a:t>
                </a:r>
                <a:endParaRPr lang="en-TH"/>
              </a:p>
            </txPr>
            <dLblPos val="bestFit"/>
            <showLegendKey val="1"/>
            <showVal val="1"/>
            <showCatName val="1"/>
            <showSerName val="1"/>
            <showPercent val="1"/>
            <showBubbleSize val="1"/>
            <showLeaderLines val="1"/>
          </dLbls>
          <cat>
            <strRef>
              <f>Dashboard!$H$16:$H$23</f>
              <strCache>
                <ptCount val="8"/>
                <pt idx="0">
                  <v>Thailand</v>
                </pt>
                <pt idx="1">
                  <v>United States</v>
                </pt>
                <pt idx="2">
                  <v>Global</v>
                </pt>
                <pt idx="3">
                  <v>South Korea</v>
                </pt>
                <pt idx="4">
                  <v>Vietnam</v>
                </pt>
                <pt idx="5">
                  <v>China</v>
                </pt>
                <pt idx="6">
                  <v>Japan</v>
                </pt>
                <pt idx="7">
                  <v>Europe</v>
                </pt>
              </strCache>
            </strRef>
          </cat>
          <val>
            <numRef>
              <f>Dashboard!$J$16:$J$23</f>
              <numCache>
                <formatCode>\฿#,##0;[Red]"(฿"#,##0\);\-</formatCode>
                <ptCount val="8"/>
                <pt idx="0">
                  <v>5820502.511777138</v>
                </pt>
                <pt idx="1">
                  <v>4564555.807069486</v>
                </pt>
                <pt idx="2">
                  <v>3994689.852537232</v>
                </pt>
                <pt idx="3">
                  <v>3612192.678652521</v>
                </pt>
                <pt idx="4">
                  <v>1307392.27844155</v>
                </pt>
                <pt idx="5">
                  <v>862848.9653669499</v>
                </pt>
                <pt idx="6">
                  <v>113210.86408432</v>
                </pt>
                <pt idx="7">
                  <v>66782.22215544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n-TH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Tax Status Allocation (Current Value)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tx>
            <strRef>
              <f>Dashboard!$D$27</f>
              <strCache>
                <ptCount val="1"/>
                <pt idx="0">
                  <v>Current Value</v>
                </pt>
              </strCache>
            </strRef>
          </tx>
          <spPr>
            <a:solidFill>
              <a:srgbClr val="4F81BD"/>
            </a:solidFill>
            <a:ln w="1260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  <a:endParaRPr lang="en-TH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Dashboard!$B$28:$B$33</f>
              <strCache>
                <ptCount val="6"/>
                <pt idx="0">
                  <v>Open-Ended</v>
                </pt>
                <pt idx="1">
                  <v>RMF</v>
                </pt>
                <pt idx="2">
                  <v>SSF</v>
                </pt>
                <pt idx="3">
                  <v>Thai ESG</v>
                </pt>
                <pt idx="4">
                  <v>LTF</v>
                </pt>
                <pt idx="5">
                  <v>Taxable</v>
                </pt>
              </strCache>
            </strRef>
          </cat>
          <val>
            <numRef>
              <f>Dashboard!$D$28:$D$33</f>
              <numCache>
                <formatCode>\฿#,##0;[Red]"(฿"#,##0\);\-</formatCode>
                <ptCount val="6"/>
                <pt idx="0">
                  <v>6096141.42432357</v>
                </pt>
                <pt idx="1">
                  <v>7348567.780297792</v>
                </pt>
                <pt idx="2">
                  <v>611371.0275550199</v>
                </pt>
                <pt idx="3">
                  <v>1011323.43471547</v>
                </pt>
                <pt idx="4">
                  <v>865602.5122884001</v>
                </pt>
                <pt idx="5">
                  <v>4409169.000904391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7564909"/>
        <axId val="69538398"/>
      </barChart>
      <catAx>
        <axId val="17564909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TH"/>
          </a:p>
        </txPr>
        <crossAx val="69538398"/>
        <crosses val="autoZero"/>
        <auto val="1"/>
        <lblAlgn val="ctr"/>
        <lblOffset val="100"/>
        <noMultiLvlLbl val="0"/>
      </catAx>
      <valAx>
        <axId val="69538398"/>
        <scaling>
          <orientation val="minMax"/>
        </scaling>
        <delete val="0"/>
        <axPos val="b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\฿#,##0;[Red]&quot;(฿&quot;#,##0\);\-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TH"/>
          </a:p>
        </txPr>
        <crossAx val="17564909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n-TH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Theme Allocation (Current Value)</a:t>
            </a:r>
          </a:p>
        </rich>
      </tx>
      <overlay val="0"/>
      <spPr>
        <a:noFill/>
        <a:ln w="0">
          <a:noFill/>
          <a:prstDash val="solid"/>
        </a:ln>
      </spPr>
    </title>
    <plotArea>
      <layout/>
      <barChart>
        <barDir val="bar"/>
        <grouping val="clustered"/>
        <varyColors val="0"/>
        <ser>
          <idx val="0"/>
          <order val="0"/>
          <spPr>
            <a:solidFill>
              <a:srgbClr val="4F81BD"/>
            </a:solidFill>
            <a:ln w="12600"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  <a:endParaRPr lang="en-TH"/>
              </a:p>
            </txPr>
            <dLblPos val="outEnd"/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Dashboard!$B$41:$B$60</f>
              <strCache>
                <ptCount val="20"/>
                <pt idx="0">
                  <v>US Large Cap</v>
                </pt>
                <pt idx="1">
                  <v>Korea</v>
                </pt>
                <pt idx="2">
                  <v>Thai Equity</v>
                </pt>
                <pt idx="3">
                  <v>Healthcare</v>
                </pt>
                <pt idx="4">
                  <v>Crypto (All)</v>
                </pt>
                <pt idx="5">
                  <v>Vietnam Equity</v>
                </pt>
                <pt idx="6">
                  <v>Thai Single Stock</v>
                </pt>
                <pt idx="7">
                  <v>Thai Balanced</v>
                </pt>
                <pt idx="8">
                  <v>TH Gov Bond</v>
                </pt>
                <pt idx="9">
                  <v>China Equity</v>
                </pt>
                <pt idx="10">
                  <v>US Single Stock</v>
                </pt>
                <pt idx="11">
                  <v>Gold</v>
                </pt>
                <pt idx="12">
                  <v>Brokerage Cash</v>
                </pt>
                <pt idx="13">
                  <v>Thai SET50</v>
                </pt>
                <pt idx="14">
                  <v>AI / Innovation</v>
                </pt>
                <pt idx="15">
                  <v>Japan Equity</v>
                </pt>
                <pt idx="16">
                  <v>Semiconductor</v>
                </pt>
                <pt idx="17">
                  <v>Europe Equity</v>
                </pt>
                <pt idx="18">
                  <v>TH Short-Term Bond</v>
                </pt>
                <pt idx="19">
                  <v>TH Money Market</v>
                </pt>
              </strCache>
            </strRef>
          </cat>
          <val>
            <numRef>
              <f>Dashboard!$D$40:$D$60</f>
              <numCache>
                <formatCode>\฿#,##0;[Red]"(฿"#,##0\);\-</formatCode>
                <ptCount val="21"/>
                <pt idx="0">
                  <formatCode>General</formatCode>
                  <v>0</v>
                </pt>
                <pt idx="1">
                  <v>3711296.461665759</v>
                </pt>
                <pt idx="2">
                  <v>3612192.678652521</v>
                </pt>
                <pt idx="3">
                  <v>2023745.21694227</v>
                </pt>
                <pt idx="4">
                  <v>1739772.65803938</v>
                </pt>
                <pt idx="5">
                  <v>1465206.899391622</v>
                </pt>
                <pt idx="6">
                  <v>1307392.27844155</v>
                </pt>
                <pt idx="7">
                  <v>1282138.01</v>
                </pt>
                <pt idx="8">
                  <v>1044083.42263637</v>
                </pt>
                <pt idx="9">
                  <v>937035.2693244</v>
                </pt>
                <pt idx="10">
                  <v>862848.9653669499</v>
                </pt>
                <pt idx="11">
                  <v>762461.9779237263</v>
                </pt>
                <pt idx="12">
                  <v>547575.63405864</v>
                </pt>
                <pt idx="13">
                  <v>397740.0274799999</v>
                </pt>
                <pt idx="14">
                  <v>216318.46486668</v>
                </pt>
                <pt idx="15">
                  <v>156989.10892659</v>
                </pt>
                <pt idx="16">
                  <v>113210.86408432</v>
                </pt>
                <pt idx="17">
                  <v>85145.55212099999</v>
                </pt>
                <pt idx="18">
                  <v>66782.22215544</v>
                </pt>
                <pt idx="19">
                  <v>9603.742619760002</v>
                </pt>
                <pt idx="20">
                  <v>635.72538766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38929617"/>
        <axId val="66708846"/>
      </barChart>
      <catAx>
        <axId val="38929617"/>
        <scaling>
          <orientation val="minMax"/>
        </scaling>
        <delete val="0"/>
        <axPos val="l"/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TH"/>
          </a:p>
        </txPr>
        <crossAx val="66708846"/>
        <crosses val="autoZero"/>
        <auto val="1"/>
        <lblAlgn val="ctr"/>
        <lblOffset val="100"/>
        <noMultiLvlLbl val="0"/>
      </catAx>
      <valAx>
        <axId val="66708846"/>
        <scaling>
          <orientation val="minMax"/>
        </scaling>
        <delete val="0"/>
        <axPos val="b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\฿#,##0;[Red]&quot;(฿&quot;#,##0\);\-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  <a:endParaRPr lang="en-TH"/>
          </a:p>
        </txPr>
        <crossAx val="38929617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  <a:endParaRPr lang="en-TH"/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</col>
      <colOff>0</colOff>
      <row>62</row>
      <rowOff>0</rowOff>
    </from>
    <to>
      <col>6</col>
      <colOff>757800</colOff>
      <row>78</row>
      <rowOff>188280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7</col>
      <colOff>0</colOff>
      <row>62</row>
      <rowOff>0</rowOff>
    </from>
    <to>
      <col>12</col>
      <colOff>59400</colOff>
      <row>78</row>
      <rowOff>188280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</col>
      <colOff>0</colOff>
      <row>82</row>
      <rowOff>0</rowOff>
    </from>
    <to>
      <col>6</col>
      <colOff>757800</colOff>
      <row>98</row>
      <rowOff>187920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7</col>
      <colOff>0</colOff>
      <row>82</row>
      <rowOff>0</rowOff>
    </from>
    <to>
      <col>12</col>
      <colOff>59400</colOff>
      <row>98</row>
      <rowOff>187920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style="54" min="1" max="1"/>
    <col width="120" customWidth="1" style="54" min="2" max="2"/>
  </cols>
  <sheetData>
    <row r="2" ht="31.5" customHeight="1" s="54">
      <c r="B2" s="9" t="inlineStr">
        <is>
          <t>TH INVESTMENT — PRIVATE BANKING SUMMARY</t>
        </is>
      </c>
    </row>
    <row r="4" ht="21.75" customHeight="1" s="54">
      <c r="B4" s="10" t="inlineStr">
        <is>
          <t>Weekly Update Workflow</t>
        </is>
      </c>
    </row>
    <row r="6" ht="30" customHeight="1" s="54">
      <c r="B6" s="11" t="inlineStr">
        <is>
          <t>1.  Open "FX &amp; Assumptions" — update the As-of Date and USDTHB spot rate (yellow cells).</t>
        </is>
      </c>
    </row>
    <row r="7" ht="30" customHeight="1" s="54">
      <c r="B7" s="11" t="inlineStr">
        <is>
          <t>2.  Open "Prices" — update the yellow "Current Price / NAV" column for every MF, Equity, and Crypto row.</t>
        </is>
      </c>
    </row>
    <row r="8" ht="30" customHeight="1" s="54">
      <c r="B8" s="11" t="inlineStr">
        <is>
          <t>3.  All holdings, rollups, and the Dashboard refresh automatically once prices are entered.</t>
        </is>
      </c>
    </row>
    <row r="9" ht="30" customHeight="1" s="54">
      <c r="B9" s="11" t="inlineStr">
        <is>
          <t>4.  Open "Weekly Snapshot" — copy the "Current Week" row (values only) into the next empty row to log week-over-week history.</t>
        </is>
      </c>
    </row>
    <row r="10" ht="30" customHeight="1" s="54">
      <c r="B10" s="11" t="inlineStr">
        <is>
          <t>5.  To reclassify holdings (asset class / geography / theme / tax status), edit the "Reference" sheet.</t>
        </is>
      </c>
    </row>
    <row r="11" ht="30" customHeight="1" s="54">
      <c r="B11" s="11" t="inlineStr">
        <is>
          <t>6.  Color coding: Yellow fill + blue text = user input   |   Black text = formula   |   Green text = cross-sheet link.</t>
        </is>
      </c>
    </row>
    <row r="12" ht="30" customHeight="1" s="54">
      <c r="B12" s="11" t="inlineStr">
        <is>
          <t>7.  Never overwrite black or green text — those are live formulas.</t>
        </is>
      </c>
    </row>
    <row r="14" ht="21.75" customHeight="1" s="54">
      <c r="B14" s="10" t="inlineStr">
        <is>
          <t>Sheet Map</t>
        </is>
      </c>
    </row>
    <row r="16" ht="21.75" customHeight="1" s="54">
      <c r="B16" s="12" t="inlineStr">
        <is>
          <t xml:space="preserve">   •  Dashboard — One-page executive summary — total NAV, total P&amp;L, asset-class / geography / tax-status allocation, top 10 holdings, breakdown tables.</t>
        </is>
      </c>
    </row>
    <row r="17" ht="21.75" customHeight="1" s="54">
      <c r="B17" s="12" t="inlineStr">
        <is>
          <t xml:space="preserve">   •  Weekly Snapshot — History log of total portfolio value and P&amp;L per week; append one row per week.</t>
        </is>
      </c>
    </row>
    <row r="18" ht="21.75" customHeight="1" s="54">
      <c r="B18" s="12" t="inlineStr">
        <is>
          <t xml:space="preserve">   •  FX &amp; Assumptions — As-of date and USDTHB rate — the single source of truth for every FX conversion.</t>
        </is>
      </c>
    </row>
    <row r="19" ht="21.75" customHeight="1" s="54">
      <c r="B19" s="12" t="inlineStr">
        <is>
          <t xml:space="preserve">   •  Prices — Weekly price update table. Update yellow prices; all holdings sheets pull values from here.</t>
        </is>
      </c>
    </row>
    <row r="20" ht="21.75" customHeight="1" s="54">
      <c r="B20" s="12" t="inlineStr">
        <is>
          <t xml:space="preserve">   •  MF – Lots — Lot-level mutual fund holdings (one row per purchase transaction). Full granular detail: units, avg cost, current NAV, P&amp;L.</t>
        </is>
      </c>
    </row>
    <row r="21" ht="21.75" customHeight="1" s="54">
      <c r="B21" s="12" t="inlineStr">
        <is>
          <t xml:space="preserve">   •  MF – by Fund — Mutual fund rollup aggregated by fund name across all lots.</t>
        </is>
      </c>
    </row>
    <row r="22" ht="21.75" customHeight="1" s="54">
      <c r="B22" s="12" t="inlineStr">
        <is>
          <t xml:space="preserve">   •  Equities – Lots — Lot-level equity holdings (Thai + US + ETF), with native and THB-converted P&amp;L.</t>
        </is>
      </c>
    </row>
    <row r="23" ht="21.75" customHeight="1" s="54">
      <c r="B23" s="12" t="inlineStr">
        <is>
          <t xml:space="preserve">   •  Equities – by Ticker — Equity rollup aggregated by ticker.</t>
        </is>
      </c>
    </row>
    <row r="24" ht="21.75" customHeight="1" s="54">
      <c r="B24" s="12" t="inlineStr">
        <is>
          <t xml:space="preserve">   •  Crypto – Lots — Lot-level crypto positions across OKX / Binance / Bitkub / Bitazza.</t>
        </is>
      </c>
    </row>
    <row r="25" ht="21.75" customHeight="1" s="54">
      <c r="B25" s="12" t="inlineStr">
        <is>
          <t xml:space="preserve">   •  Crypto – by Coin — Crypto rollup aggregated by coin.</t>
        </is>
      </c>
    </row>
    <row r="26" ht="21.75" customHeight="1" s="54">
      <c r="B26" s="12" t="inlineStr">
        <is>
          <t xml:space="preserve">   •  Reference — Master mapping: asset class, sub-class, geography, theme, tax status, currency, FX multiplier. Edit here to reclassify.</t>
        </is>
      </c>
    </row>
    <row r="28" ht="21.75" customHeight="1" s="54">
      <c r="B28" s="10" t="inlineStr">
        <is>
          <t>Design notes</t>
        </is>
      </c>
    </row>
    <row r="30" ht="21.75" customHeight="1" s="54">
      <c r="B30" s="12" t="inlineStr">
        <is>
          <t>•  Every holding is stored lot-by-lot so cost basis, purchase date, and lock-up (Sellable Year) are preserved for tax/withdrawal planning.</t>
        </is>
      </c>
    </row>
    <row r="31" ht="21.75" customHeight="1" s="54">
      <c r="B31" s="12" t="inlineStr">
        <is>
          <t>•  Currency handling: THB holdings multiply by 1, USD / USDT holdings multiply by the single FXRate cell — change one cell and the entire workbook revalues.</t>
        </is>
      </c>
    </row>
    <row r="32" ht="21.75" customHeight="1" s="54">
      <c r="B32" s="12" t="inlineStr">
        <is>
          <t>•  Missing prices (blank cells on the Prices sheet) are highlighted yellow. The rest of the workbook handles zeros safely via IFERROR — no division-by-zero issues.</t>
        </is>
      </c>
    </row>
    <row r="33" ht="21.75" customHeight="1" s="54">
      <c r="B33" s="12" t="inlineStr">
        <is>
          <t>•  Rollups are SUMIFS-driven, so adding a new lot at the bottom of a Lots sheet (within the pre-built range) is automatically picked up.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120"/>
  <sheetViews>
    <sheetView showGridLines="0" tabSelected="1" zoomScaleNormal="100" workbookViewId="0">
      <selection activeCell="C3" sqref="C3"/>
    </sheetView>
  </sheetViews>
  <sheetFormatPr baseColWidth="10" defaultColWidth="8.6640625" defaultRowHeight="15"/>
  <cols>
    <col width="2" customWidth="1" style="54" min="1" max="1"/>
    <col width="18.6640625" customWidth="1" style="54" min="2" max="2"/>
    <col width="11.1640625" customWidth="1" style="54" min="3" max="3"/>
    <col width="12.33203125" customWidth="1" style="54" min="4" max="4"/>
    <col width="8.33203125" customWidth="1" style="54" min="5" max="5"/>
    <col width="10.1640625" customWidth="1" style="54" min="6" max="6"/>
    <col width="18" customWidth="1" style="54" min="7" max="7"/>
    <col width="13" customWidth="1" style="54" min="8" max="8"/>
    <col width="16" customWidth="1" style="54" min="9" max="9"/>
    <col width="18.33203125" customWidth="1" style="54" min="10" max="10"/>
    <col width="12.33203125" customWidth="1" style="54" min="11" max="11"/>
    <col width="10.1640625" customWidth="1" style="54" min="12" max="12"/>
    <col hidden="1" width="13" customWidth="1" style="54" min="14" max="16"/>
  </cols>
  <sheetData>
    <row r="2" ht="36" customHeight="1" s="54">
      <c r="B2" s="9" t="inlineStr">
        <is>
          <t>PORTFOLIO DASHBOARD</t>
        </is>
      </c>
    </row>
    <row r="3" ht="19.5" customHeight="1" s="54">
      <c r="B3" s="13" t="inlineStr">
        <is>
          <t>As of:</t>
        </is>
      </c>
      <c r="C3" s="57">
        <f>AsOfDate</f>
        <v/>
      </c>
    </row>
    <row r="5" ht="21.75" customHeight="1" s="54">
      <c r="B5" s="10" t="inlineStr">
        <is>
          <t>SUMMARY METRICS</t>
        </is>
      </c>
    </row>
    <row r="7" ht="21.75" customHeight="1" s="54">
      <c r="B7" s="6" t="inlineStr">
        <is>
          <t>TOTAL PORTFOLIO VALUE (THB)</t>
        </is>
      </c>
      <c r="C7" s="58" t="n"/>
      <c r="D7" s="59" t="n"/>
      <c r="F7" s="6" t="inlineStr">
        <is>
          <t>TOTAL INVESTED (THB)</t>
        </is>
      </c>
      <c r="G7" s="58" t="n"/>
      <c r="H7" s="59" t="n"/>
      <c r="J7" s="6" t="inlineStr">
        <is>
          <t>UNREALIZED P&amp;L (THB)</t>
        </is>
      </c>
      <c r="K7" s="58" t="n"/>
      <c r="L7" s="59" t="n"/>
    </row>
    <row r="8" ht="42" customHeight="1" s="54">
      <c r="B8" s="60">
        <f>'MF - Lots'!P165+'Equities - Lots'!M46+'Crypto - Lots'!K31</f>
        <v/>
      </c>
      <c r="C8" s="58" t="n"/>
      <c r="D8" s="59" t="n"/>
      <c r="F8" s="60">
        <f>'MF - Lots'!O165+'Equities - Lots'!L46+'Crypto - Lots'!J31</f>
        <v/>
      </c>
      <c r="G8" s="58" t="n"/>
      <c r="H8" s="59" t="n"/>
      <c r="J8" s="60">
        <f>'MF - Lots'!Q165+'Equities - Lots'!N46+'Crypto - Lots'!L31</f>
        <v/>
      </c>
      <c r="K8" s="58" t="n"/>
      <c r="L8" s="59" t="n"/>
    </row>
    <row r="10" ht="21.75" customHeight="1" s="54">
      <c r="B10" s="6" t="inlineStr">
        <is>
          <t>P&amp;L % (CUMULATIVE)</t>
        </is>
      </c>
      <c r="C10" s="58" t="n"/>
      <c r="D10" s="59" t="n"/>
      <c r="F10" s="6" t="inlineStr">
        <is>
          <t>MF  |  EQUITIES  |  CRYPTO</t>
        </is>
      </c>
      <c r="G10" s="58" t="n"/>
      <c r="H10" s="59" t="n"/>
      <c r="J10" s="6" t="inlineStr">
        <is>
          <t>USD / THB USED</t>
        </is>
      </c>
      <c r="K10" s="58" t="n"/>
      <c r="L10" s="59" t="n"/>
    </row>
    <row r="11" ht="42" customHeight="1" s="54">
      <c r="B11" s="61">
        <f>IFERROR(('MF - Lots'!Q165+'Equities - Lots'!N46+'Crypto - Lots'!L31)/('MF - Lots'!O165+'Equities - Lots'!L46+'Crypto - Lots'!J31),0)</f>
        <v/>
      </c>
      <c r="C11" s="58" t="n"/>
      <c r="D11" s="59" t="n"/>
      <c r="F11" s="3">
        <f>COUNTA('MF - Lots'!C5:C164)&amp;" / "&amp;COUNTA('Equities - Lots'!C5:C45)&amp;" / "&amp;COUNTA('Crypto - Lots'!C5:C30)</f>
        <v/>
      </c>
      <c r="G11" s="58" t="n"/>
      <c r="H11" s="59" t="n"/>
      <c r="J11" s="62">
        <f>FXRate</f>
        <v/>
      </c>
      <c r="K11" s="58" t="n"/>
      <c r="L11" s="59" t="n"/>
    </row>
    <row r="14" ht="21.75" customHeight="1" s="54">
      <c r="B14" s="10" t="inlineStr">
        <is>
          <t>ASSET CLASS ALLOCATION (THB)</t>
        </is>
      </c>
      <c r="H14" s="10" t="inlineStr">
        <is>
          <t>GEOGRAPHY ALLOCATION (THB)</t>
        </is>
      </c>
    </row>
    <row r="15" ht="30" customHeight="1" s="54">
      <c r="B15" s="15" t="inlineStr">
        <is>
          <t>Asset Class</t>
        </is>
      </c>
      <c r="C15" s="15" t="inlineStr">
        <is>
          <t>Invested</t>
        </is>
      </c>
      <c r="D15" s="15" t="inlineStr">
        <is>
          <t>Current Value</t>
        </is>
      </c>
      <c r="E15" s="15" t="inlineStr">
        <is>
          <t>% of Port</t>
        </is>
      </c>
      <c r="F15" s="15" t="inlineStr">
        <is>
          <t>P&amp;L</t>
        </is>
      </c>
      <c r="H15" s="15" t="inlineStr">
        <is>
          <t>Geography</t>
        </is>
      </c>
      <c r="I15" s="15" t="inlineStr">
        <is>
          <t>Invested</t>
        </is>
      </c>
      <c r="J15" s="15" t="inlineStr">
        <is>
          <t>Current Value</t>
        </is>
      </c>
      <c r="K15" s="15" t="inlineStr">
        <is>
          <t>% of Port</t>
        </is>
      </c>
      <c r="L15" s="15" t="inlineStr">
        <is>
          <t>P&amp;L</t>
        </is>
      </c>
    </row>
    <row r="16" ht="15" customHeight="1" s="54">
      <c r="B16" s="16" t="inlineStr">
        <is>
          <t>Equity</t>
        </is>
      </c>
      <c r="C16" s="63">
        <f>SUMIFS('MF - Lots'!$O:$O,'MF - Lots'!$D:$D,B16)+SUMIFS('Equities - Lots'!$L:$L,'Equities - Lots'!$E:$E,B16)+IF(B16="Digital Assets",'Crypto - Lots'!J31,0)</f>
        <v/>
      </c>
      <c r="D16" s="63">
        <f>SUMIFS('MF - Lots'!$P:$P,'MF - Lots'!$D:$D,B16)+SUMIFS('Equities - Lots'!$M:$M,'Equities - Lots'!$E:$E,B16)+IF(B16="Digital Assets",'Crypto - Lots'!K31,0)</f>
        <v/>
      </c>
      <c r="E16" s="64">
        <f>IFERROR(D16/SUM($D$16:$D$21),0)</f>
        <v/>
      </c>
      <c r="F16" s="65">
        <f>D16-C16</f>
        <v/>
      </c>
      <c r="H16" s="16" t="inlineStr">
        <is>
          <t>Thailand</t>
        </is>
      </c>
      <c r="I16" s="63">
        <f>SUMIFS('MF - Lots'!$O:$O,'MF - Lots'!$F:$F,H16)+SUMIFS('Equities - Lots'!$L:$L,'Equities - Lots'!$F:$F,H16)+IF(H16="Global",'Crypto - Lots'!J31,0)</f>
        <v/>
      </c>
      <c r="J16" s="63">
        <f>SUMIFS('MF - Lots'!$P:$P,'MF - Lots'!$F:$F,H16)+SUMIFS('Equities - Lots'!$M:$M,'Equities - Lots'!$F:$F,H16)+IF(H16="Global",'Crypto - Lots'!K31,0)</f>
        <v/>
      </c>
      <c r="K16" s="64">
        <f>IFERROR(J16/SUM($J$16:$J$23),0)</f>
        <v/>
      </c>
      <c r="L16" s="65">
        <f>J16-I16</f>
        <v/>
      </c>
    </row>
    <row r="17" ht="15" customHeight="1" s="54">
      <c r="B17" s="16" t="inlineStr">
        <is>
          <t>Fixed Income</t>
        </is>
      </c>
      <c r="C17" s="63">
        <f>SUMIFS('MF - Lots'!$O:$O,'MF - Lots'!$D:$D,B17)+SUMIFS('Equities - Lots'!$L:$L,'Equities - Lots'!$E:$E,B17)+IF(B17="Digital Assets",'Crypto - Lots'!J31,0)</f>
        <v/>
      </c>
      <c r="D17" s="63">
        <f>SUMIFS('MF - Lots'!$P:$P,'MF - Lots'!$D:$D,B17)+SUMIFS('Equities - Lots'!$M:$M,'Equities - Lots'!$E:$E,B17)+IF(B17="Digital Assets",'Crypto - Lots'!K31,0)</f>
        <v/>
      </c>
      <c r="E17" s="64">
        <f>IFERROR(D17/SUM($D$16:$D$21),0)</f>
        <v/>
      </c>
      <c r="F17" s="65">
        <f>D17-C17</f>
        <v/>
      </c>
      <c r="H17" s="16" t="inlineStr">
        <is>
          <t>United States</t>
        </is>
      </c>
      <c r="I17" s="63">
        <f>SUMIFS('MF - Lots'!$O:$O,'MF - Lots'!$F:$F,H17)+SUMIFS('Equities - Lots'!$L:$L,'Equities - Lots'!$F:$F,H17)+IF(H17="Global",'Crypto - Lots'!J31,0)</f>
        <v/>
      </c>
      <c r="J17" s="63">
        <f>SUMIFS('MF - Lots'!$P:$P,'MF - Lots'!$F:$F,H17)+SUMIFS('Equities - Lots'!$M:$M,'Equities - Lots'!$F:$F,H17)+IF(H17="Global",'Crypto - Lots'!K31,0)</f>
        <v/>
      </c>
      <c r="K17" s="64">
        <f>IFERROR(J17/SUM($J$16:$J$23),0)</f>
        <v/>
      </c>
      <c r="L17" s="65">
        <f>J17-I17</f>
        <v/>
      </c>
    </row>
    <row r="18" ht="15" customHeight="1" s="54">
      <c r="B18" s="16" t="inlineStr">
        <is>
          <t>Multi-Asset</t>
        </is>
      </c>
      <c r="C18" s="63">
        <f>SUMIFS('MF - Lots'!$O:$O,'MF - Lots'!$D:$D,B18)+SUMIFS('Equities - Lots'!$L:$L,'Equities - Lots'!$E:$E,B18)+IF(B18="Digital Assets",'Crypto - Lots'!J31,0)</f>
        <v/>
      </c>
      <c r="D18" s="63">
        <f>SUMIFS('MF - Lots'!$P:$P,'MF - Lots'!$D:$D,B18)+SUMIFS('Equities - Lots'!$M:$M,'Equities - Lots'!$E:$E,B18)+IF(B18="Digital Assets",'Crypto - Lots'!K31,0)</f>
        <v/>
      </c>
      <c r="E18" s="64">
        <f>IFERROR(D18/SUM($D$16:$D$21),0)</f>
        <v/>
      </c>
      <c r="F18" s="65">
        <f>D18-C18</f>
        <v/>
      </c>
      <c r="H18" s="16" t="inlineStr">
        <is>
          <t>Global</t>
        </is>
      </c>
      <c r="I18" s="63">
        <f>SUMIFS('MF - Lots'!$O:$O,'MF - Lots'!$F:$F,H18)+SUMIFS('Equities - Lots'!$L:$L,'Equities - Lots'!$F:$F,H18)+IF(H18="Global",'Crypto - Lots'!J31,0)</f>
        <v/>
      </c>
      <c r="J18" s="63">
        <f>SUMIFS('MF - Lots'!$P:$P,'MF - Lots'!$F:$F,H18)+SUMIFS('Equities - Lots'!$M:$M,'Equities - Lots'!$F:$F,H18)+IF(H18="Global",'Crypto - Lots'!K31,0)</f>
        <v/>
      </c>
      <c r="K18" s="64">
        <f>IFERROR(J18/SUM($J$16:$J$23),0)</f>
        <v/>
      </c>
      <c r="L18" s="65">
        <f>J18-I18</f>
        <v/>
      </c>
    </row>
    <row r="19" ht="15" customHeight="1" s="54">
      <c r="B19" s="16" t="inlineStr">
        <is>
          <t>Alternatives</t>
        </is>
      </c>
      <c r="C19" s="63">
        <f>SUMIFS('MF - Lots'!$O:$O,'MF - Lots'!$D:$D,B19)+SUMIFS('Equities - Lots'!$L:$L,'Equities - Lots'!$E:$E,B19)+IF(B19="Digital Assets",'Crypto - Lots'!J31,0)</f>
        <v/>
      </c>
      <c r="D19" s="63">
        <f>SUMIFS('MF - Lots'!$P:$P,'MF - Lots'!$D:$D,B19)+SUMIFS('Equities - Lots'!$M:$M,'Equities - Lots'!$E:$E,B19)+IF(B19="Digital Assets",'Crypto - Lots'!K31,0)</f>
        <v/>
      </c>
      <c r="E19" s="64">
        <f>IFERROR(D19/SUM($D$16:$D$21),0)</f>
        <v/>
      </c>
      <c r="F19" s="65">
        <f>D19-C19</f>
        <v/>
      </c>
      <c r="H19" s="16" t="inlineStr">
        <is>
          <t>South Korea</t>
        </is>
      </c>
      <c r="I19" s="63">
        <f>SUMIFS('MF - Lots'!$O:$O,'MF - Lots'!$F:$F,H19)+SUMIFS('Equities - Lots'!$L:$L,'Equities - Lots'!$F:$F,H19)+IF(H19="Global",'Crypto - Lots'!J31,0)</f>
        <v/>
      </c>
      <c r="J19" s="63">
        <f>SUMIFS('MF - Lots'!$P:$P,'MF - Lots'!$F:$F,H19)+SUMIFS('Equities - Lots'!$M:$M,'Equities - Lots'!$F:$F,H19)+IF(H19="Global",'Crypto - Lots'!K31,0)</f>
        <v/>
      </c>
      <c r="K19" s="64">
        <f>IFERROR(J19/SUM($J$16:$J$23),0)</f>
        <v/>
      </c>
      <c r="L19" s="65">
        <f>J19-I19</f>
        <v/>
      </c>
    </row>
    <row r="20" ht="15" customHeight="1" s="54">
      <c r="B20" s="16" t="inlineStr">
        <is>
          <t>Cash &amp; Equivalents</t>
        </is>
      </c>
      <c r="C20" s="63">
        <f>SUMIFS('MF - Lots'!$O:$O,'MF - Lots'!$D:$D,B20)+SUMIFS('Equities - Lots'!$L:$L,'Equities - Lots'!$E:$E,B20)+IF(B20="Digital Assets",'Crypto - Lots'!J31,0)</f>
        <v/>
      </c>
      <c r="D20" s="63">
        <f>SUMIFS('MF - Lots'!$P:$P,'MF - Lots'!$D:$D,B20)+SUMIFS('Equities - Lots'!$M:$M,'Equities - Lots'!$E:$E,B20)+IF(B20="Digital Assets",'Crypto - Lots'!K31,0)</f>
        <v/>
      </c>
      <c r="E20" s="64">
        <f>IFERROR(D20/SUM($D$16:$D$21),0)</f>
        <v/>
      </c>
      <c r="F20" s="65">
        <f>D20-C20</f>
        <v/>
      </c>
      <c r="H20" s="16" t="inlineStr">
        <is>
          <t>Vietnam</t>
        </is>
      </c>
      <c r="I20" s="63">
        <f>SUMIFS('MF - Lots'!$O:$O,'MF - Lots'!$F:$F,H20)+SUMIFS('Equities - Lots'!$L:$L,'Equities - Lots'!$F:$F,H20)+IF(H20="Global",'Crypto - Lots'!J31,0)</f>
        <v/>
      </c>
      <c r="J20" s="63">
        <f>SUMIFS('MF - Lots'!$P:$P,'MF - Lots'!$F:$F,H20)+SUMIFS('Equities - Lots'!$M:$M,'Equities - Lots'!$F:$F,H20)+IF(H20="Global",'Crypto - Lots'!K31,0)</f>
        <v/>
      </c>
      <c r="K20" s="64">
        <f>IFERROR(J20/SUM($J$16:$J$23),0)</f>
        <v/>
      </c>
      <c r="L20" s="65">
        <f>J20-I20</f>
        <v/>
      </c>
    </row>
    <row r="21" ht="15" customHeight="1" s="54">
      <c r="B21" s="16" t="inlineStr">
        <is>
          <t>Digital Assets</t>
        </is>
      </c>
      <c r="C21" s="63">
        <f>SUMIFS('MF - Lots'!$O:$O,'MF - Lots'!$D:$D,B21)+SUMIFS('Equities - Lots'!$L:$L,'Equities - Lots'!$E:$E,B21)+IF(B21="Digital Assets",'Crypto - Lots'!J31,0)</f>
        <v/>
      </c>
      <c r="D21" s="63">
        <f>SUMIFS('MF - Lots'!$P:$P,'MF - Lots'!$D:$D,B21)+SUMIFS('Equities - Lots'!$M:$M,'Equities - Lots'!$E:$E,B21)+IF(B21="Digital Assets",'Crypto - Lots'!K31,0)</f>
        <v/>
      </c>
      <c r="E21" s="64">
        <f>IFERROR(D21/SUM($D$16:$D$21),0)</f>
        <v/>
      </c>
      <c r="F21" s="65">
        <f>D21-C21</f>
        <v/>
      </c>
      <c r="H21" s="16" t="inlineStr">
        <is>
          <t>China</t>
        </is>
      </c>
      <c r="I21" s="63">
        <f>SUMIFS('MF - Lots'!$O:$O,'MF - Lots'!$F:$F,H21)+SUMIFS('Equities - Lots'!$L:$L,'Equities - Lots'!$F:$F,H21)+IF(H21="Global",'Crypto - Lots'!J31,0)</f>
        <v/>
      </c>
      <c r="J21" s="63">
        <f>SUMIFS('MF - Lots'!$P:$P,'MF - Lots'!$F:$F,H21)+SUMIFS('Equities - Lots'!$M:$M,'Equities - Lots'!$F:$F,H21)+IF(H21="Global",'Crypto - Lots'!K31,0)</f>
        <v/>
      </c>
      <c r="K21" s="64">
        <f>IFERROR(J21/SUM($J$16:$J$23),0)</f>
        <v/>
      </c>
      <c r="L21" s="65">
        <f>J21-I21</f>
        <v/>
      </c>
    </row>
    <row r="22" ht="15" customHeight="1" s="54">
      <c r="B22" s="20" t="inlineStr">
        <is>
          <t>TOTAL</t>
        </is>
      </c>
      <c r="C22" s="66">
        <f>SUM(C16:C21)</f>
        <v/>
      </c>
      <c r="D22" s="66">
        <f>SUM(D16:D21)</f>
        <v/>
      </c>
      <c r="E22" s="67">
        <f>SUM(E16:E21)</f>
        <v/>
      </c>
      <c r="F22" s="66">
        <f>SUM(F16:F21)</f>
        <v/>
      </c>
      <c r="H22" s="16" t="inlineStr">
        <is>
          <t>Japan</t>
        </is>
      </c>
      <c r="I22" s="63">
        <f>SUMIFS('MF - Lots'!$O:$O,'MF - Lots'!$F:$F,H22)+SUMIFS('Equities - Lots'!$L:$L,'Equities - Lots'!$F:$F,H22)+IF(H22="Global",'Crypto - Lots'!J31,0)</f>
        <v/>
      </c>
      <c r="J22" s="63">
        <f>SUMIFS('MF - Lots'!$P:$P,'MF - Lots'!$F:$F,H22)+SUMIFS('Equities - Lots'!$M:$M,'Equities - Lots'!$F:$F,H22)+IF(H22="Global",'Crypto - Lots'!K31,0)</f>
        <v/>
      </c>
      <c r="K22" s="64">
        <f>IFERROR(J22/SUM($J$16:$J$23),0)</f>
        <v/>
      </c>
      <c r="L22" s="65">
        <f>J22-I22</f>
        <v/>
      </c>
    </row>
    <row r="23" ht="15" customHeight="1" s="54">
      <c r="H23" s="16" t="inlineStr">
        <is>
          <t>Europe</t>
        </is>
      </c>
      <c r="I23" s="63">
        <f>SUMIFS('MF - Lots'!$O:$O,'MF - Lots'!$F:$F,H23)+SUMIFS('Equities - Lots'!$L:$L,'Equities - Lots'!$F:$F,H23)+IF(H23="Global",'Crypto - Lots'!J31,0)</f>
        <v/>
      </c>
      <c r="J23" s="63">
        <f>SUMIFS('MF - Lots'!$P:$P,'MF - Lots'!$F:$F,H23)+SUMIFS('Equities - Lots'!$M:$M,'Equities - Lots'!$F:$F,H23)+IF(H23="Global",'Crypto - Lots'!K31,0)</f>
        <v/>
      </c>
      <c r="K23" s="64">
        <f>IFERROR(J23/SUM($J$16:$J$23),0)</f>
        <v/>
      </c>
      <c r="L23" s="65">
        <f>J23-I23</f>
        <v/>
      </c>
    </row>
    <row r="24" ht="15" customHeight="1" s="54">
      <c r="H24" s="20" t="inlineStr">
        <is>
          <t>TOTAL</t>
        </is>
      </c>
      <c r="I24" s="66">
        <f>SUM(I16:I23)</f>
        <v/>
      </c>
      <c r="J24" s="66">
        <f>SUM(J16:J23)</f>
        <v/>
      </c>
      <c r="K24" s="67">
        <f>SUM(K16:K23)</f>
        <v/>
      </c>
      <c r="L24" s="66">
        <f>SUM(L16:L23)</f>
        <v/>
      </c>
    </row>
    <row r="26" ht="21.75" customHeight="1" s="54">
      <c r="B26" s="10" t="inlineStr">
        <is>
          <t>TAX STATUS BREAKDOWN</t>
        </is>
      </c>
      <c r="H26" s="10" t="inlineStr">
        <is>
          <t>TOP 10 HOLDINGS (by Current Value)</t>
        </is>
      </c>
    </row>
    <row r="27" ht="30" customHeight="1" s="54">
      <c r="B27" s="15" t="inlineStr">
        <is>
          <t>Tax Status</t>
        </is>
      </c>
      <c r="C27" s="15" t="inlineStr">
        <is>
          <t>Invested</t>
        </is>
      </c>
      <c r="D27" s="15" t="inlineStr">
        <is>
          <t>Current Value</t>
        </is>
      </c>
      <c r="E27" s="15" t="inlineStr">
        <is>
          <t>% of Port</t>
        </is>
      </c>
      <c r="F27" s="15" t="inlineStr">
        <is>
          <t>P&amp;L</t>
        </is>
      </c>
      <c r="H27" s="15" t="inlineStr">
        <is>
          <t>Rank</t>
        </is>
      </c>
      <c r="I27" s="15" t="inlineStr">
        <is>
          <t>Name</t>
        </is>
      </c>
      <c r="J27" s="15" t="inlineStr">
        <is>
          <t>Custodian</t>
        </is>
      </c>
      <c r="K27" s="15" t="inlineStr">
        <is>
          <t>Current Value</t>
        </is>
      </c>
      <c r="L27" s="15" t="inlineStr">
        <is>
          <t>% of Port</t>
        </is>
      </c>
      <c r="N27" s="23" t="inlineStr">
        <is>
          <t>Pool_Name</t>
        </is>
      </c>
      <c r="O27" s="23" t="inlineStr">
        <is>
          <t>Pool_Custodian</t>
        </is>
      </c>
      <c r="P27" s="23" t="inlineStr">
        <is>
          <t>Pool_Value</t>
        </is>
      </c>
    </row>
    <row r="28" ht="15" customHeight="1" s="54">
      <c r="B28" s="16" t="inlineStr">
        <is>
          <t>Open-Ended</t>
        </is>
      </c>
      <c r="C28" s="63">
        <f>SUMIFS('MF - Lots'!$O:$O,'MF - Lots'!$G:$G,B28)+IF(B28="Taxable",'Equities - Lots'!L46+'Crypto - Lots'!J31,0)</f>
        <v/>
      </c>
      <c r="D28" s="63">
        <f>SUMIFS('MF - Lots'!$P:$P,'MF - Lots'!$G:$G,B28)+IF(B28="Taxable",'Equities - Lots'!M46+'Crypto - Lots'!K31,0)</f>
        <v/>
      </c>
      <c r="E28" s="64">
        <f>IFERROR(D28/SUM($D$28:$D$33),0)</f>
        <v/>
      </c>
      <c r="F28" s="65">
        <f>D28-C28</f>
        <v/>
      </c>
      <c r="H28" s="24" t="n">
        <v>1</v>
      </c>
      <c r="I28" s="25">
        <f>IFERROR(INDEX($N$28:$N$120,MATCH(LARGE($P$28:$P$120,1),$P$28:$P$120,0)),"")</f>
        <v/>
      </c>
      <c r="J28" s="25">
        <f>IFERROR(INDEX($O$28:$O$120,MATCH(LARGE($P$28:$P$120,1),$P$28:$P$120,0)),"")</f>
        <v/>
      </c>
      <c r="K28" s="63">
        <f>LARGE($P$28:$P$120,1)</f>
        <v/>
      </c>
      <c r="L28" s="64">
        <f>IFERROR(K28/$D$22,0)</f>
        <v/>
      </c>
      <c r="N28" s="26">
        <f>'MF - by Fund'!B5</f>
        <v/>
      </c>
      <c r="O28" s="26">
        <f>'MF - by Fund'!C5</f>
        <v/>
      </c>
      <c r="P28" s="68">
        <f>'MF - by Fund'!K5</f>
        <v/>
      </c>
    </row>
    <row r="29" ht="15" customHeight="1" s="54">
      <c r="B29" s="16" t="inlineStr">
        <is>
          <t>RMF</t>
        </is>
      </c>
      <c r="C29" s="63">
        <f>SUMIFS('MF - Lots'!$O:$O,'MF - Lots'!$G:$G,B29)+IF(B29="Taxable",'Equities - Lots'!L46+'Crypto - Lots'!J31,0)</f>
        <v/>
      </c>
      <c r="D29" s="63">
        <f>SUMIFS('MF - Lots'!$P:$P,'MF - Lots'!$G:$G,B29)+IF(B29="Taxable",'Equities - Lots'!M46+'Crypto - Lots'!K31,0)</f>
        <v/>
      </c>
      <c r="E29" s="64">
        <f>IFERROR(D29/SUM($D$28:$D$33),0)</f>
        <v/>
      </c>
      <c r="F29" s="65">
        <f>D29-C29</f>
        <v/>
      </c>
      <c r="H29" s="24" t="n">
        <v>2</v>
      </c>
      <c r="I29" s="25">
        <f>IFERROR(INDEX($N$28:$N$120,MATCH(LARGE($P$28:$P$120,2),$P$28:$P$120,0)),"")</f>
        <v/>
      </c>
      <c r="J29" s="25">
        <f>IFERROR(INDEX($O$28:$O$120,MATCH(LARGE($P$28:$P$120,2),$P$28:$P$120,0)),"")</f>
        <v/>
      </c>
      <c r="K29" s="63">
        <f>LARGE($P$28:$P$120,2)</f>
        <v/>
      </c>
      <c r="L29" s="64">
        <f>IFERROR(K29/$D$22,0)</f>
        <v/>
      </c>
      <c r="N29" s="26">
        <f>'MF - by Fund'!B6</f>
        <v/>
      </c>
      <c r="O29" s="26">
        <f>'MF - by Fund'!C6</f>
        <v/>
      </c>
      <c r="P29" s="68">
        <f>'MF - by Fund'!K6</f>
        <v/>
      </c>
    </row>
    <row r="30" ht="15" customHeight="1" s="54">
      <c r="B30" s="16" t="inlineStr">
        <is>
          <t>SSF</t>
        </is>
      </c>
      <c r="C30" s="63">
        <f>SUMIFS('MF - Lots'!$O:$O,'MF - Lots'!$G:$G,B30)+IF(B30="Taxable",'Equities - Lots'!L46+'Crypto - Lots'!J31,0)</f>
        <v/>
      </c>
      <c r="D30" s="63">
        <f>SUMIFS('MF - Lots'!$P:$P,'MF - Lots'!$G:$G,B30)+IF(B30="Taxable",'Equities - Lots'!M46+'Crypto - Lots'!K31,0)</f>
        <v/>
      </c>
      <c r="E30" s="64">
        <f>IFERROR(D30/SUM($D$28:$D$33),0)</f>
        <v/>
      </c>
      <c r="F30" s="65">
        <f>D30-C30</f>
        <v/>
      </c>
      <c r="H30" s="24" t="n">
        <v>3</v>
      </c>
      <c r="I30" s="25">
        <f>IFERROR(INDEX($N$28:$N$120,MATCH(LARGE($P$28:$P$120,3),$P$28:$P$120,0)),"")</f>
        <v/>
      </c>
      <c r="J30" s="25">
        <f>IFERROR(INDEX($O$28:$O$120,MATCH(LARGE($P$28:$P$120,3),$P$28:$P$120,0)),"")</f>
        <v/>
      </c>
      <c r="K30" s="63">
        <f>LARGE($P$28:$P$120,3)</f>
        <v/>
      </c>
      <c r="L30" s="64">
        <f>IFERROR(K30/$D$22,0)</f>
        <v/>
      </c>
      <c r="N30" s="26">
        <f>'MF - by Fund'!B7</f>
        <v/>
      </c>
      <c r="O30" s="26">
        <f>'MF - by Fund'!C7</f>
        <v/>
      </c>
      <c r="P30" s="68">
        <f>'MF - by Fund'!K7</f>
        <v/>
      </c>
    </row>
    <row r="31" ht="15" customHeight="1" s="54">
      <c r="B31" s="16" t="inlineStr">
        <is>
          <t>Thai ESG</t>
        </is>
      </c>
      <c r="C31" s="63">
        <f>SUMIFS('MF - Lots'!$O:$O,'MF - Lots'!$G:$G,B31)+IF(B31="Taxable",'Equities - Lots'!L46+'Crypto - Lots'!J31,0)</f>
        <v/>
      </c>
      <c r="D31" s="63">
        <f>SUMIFS('MF - Lots'!$P:$P,'MF - Lots'!$G:$G,B31)+IF(B31="Taxable",'Equities - Lots'!M46+'Crypto - Lots'!K31,0)</f>
        <v/>
      </c>
      <c r="E31" s="64">
        <f>IFERROR(D31/SUM($D$28:$D$33),0)</f>
        <v/>
      </c>
      <c r="F31" s="65">
        <f>D31-C31</f>
        <v/>
      </c>
      <c r="H31" s="24" t="n">
        <v>4</v>
      </c>
      <c r="I31" s="25">
        <f>IFERROR(INDEX($N$28:$N$120,MATCH(LARGE($P$28:$P$120,4),$P$28:$P$120,0)),"")</f>
        <v/>
      </c>
      <c r="J31" s="25">
        <f>IFERROR(INDEX($O$28:$O$120,MATCH(LARGE($P$28:$P$120,4),$P$28:$P$120,0)),"")</f>
        <v/>
      </c>
      <c r="K31" s="63">
        <f>LARGE($P$28:$P$120,4)</f>
        <v/>
      </c>
      <c r="L31" s="64">
        <f>IFERROR(K31/$D$22,0)</f>
        <v/>
      </c>
      <c r="N31" s="26">
        <f>'MF - by Fund'!B8</f>
        <v/>
      </c>
      <c r="O31" s="26">
        <f>'MF - by Fund'!C8</f>
        <v/>
      </c>
      <c r="P31" s="68">
        <f>'MF - by Fund'!K8</f>
        <v/>
      </c>
    </row>
    <row r="32" ht="15" customHeight="1" s="54">
      <c r="B32" s="16" t="inlineStr">
        <is>
          <t>LTF</t>
        </is>
      </c>
      <c r="C32" s="63">
        <f>SUMIFS('MF - Lots'!$O:$O,'MF - Lots'!$G:$G,B32)+IF(B32="Taxable",'Equities - Lots'!L46+'Crypto - Lots'!J31,0)</f>
        <v/>
      </c>
      <c r="D32" s="63">
        <f>SUMIFS('MF - Lots'!$P:$P,'MF - Lots'!$G:$G,B32)+IF(B32="Taxable",'Equities - Lots'!M46+'Crypto - Lots'!K31,0)</f>
        <v/>
      </c>
      <c r="E32" s="64">
        <f>IFERROR(D32/SUM($D$28:$D$33),0)</f>
        <v/>
      </c>
      <c r="F32" s="65">
        <f>D32-C32</f>
        <v/>
      </c>
      <c r="H32" s="24" t="n">
        <v>5</v>
      </c>
      <c r="I32" s="25">
        <f>IFERROR(INDEX($N$28:$N$120,MATCH(LARGE($P$28:$P$120,5),$P$28:$P$120,0)),"")</f>
        <v/>
      </c>
      <c r="J32" s="25">
        <f>IFERROR(INDEX($O$28:$O$120,MATCH(LARGE($P$28:$P$120,5),$P$28:$P$120,0)),"")</f>
        <v/>
      </c>
      <c r="K32" s="63">
        <f>LARGE($P$28:$P$120,5)</f>
        <v/>
      </c>
      <c r="L32" s="64">
        <f>IFERROR(K32/$D$22,0)</f>
        <v/>
      </c>
      <c r="N32" s="26">
        <f>'MF - by Fund'!B9</f>
        <v/>
      </c>
      <c r="O32" s="26">
        <f>'MF - by Fund'!C9</f>
        <v/>
      </c>
      <c r="P32" s="68">
        <f>'MF - by Fund'!K9</f>
        <v/>
      </c>
    </row>
    <row r="33" ht="15" customHeight="1" s="54">
      <c r="B33" s="16" t="inlineStr">
        <is>
          <t>Taxable</t>
        </is>
      </c>
      <c r="C33" s="63">
        <f>SUMIFS('MF - Lots'!$O:$O,'MF - Lots'!$G:$G,B33)+IF(B33="Taxable",'Equities - Lots'!L46+'Crypto - Lots'!J31,0)</f>
        <v/>
      </c>
      <c r="D33" s="63">
        <f>SUMIFS('MF - Lots'!$P:$P,'MF - Lots'!$G:$G,B33)+IF(B33="Taxable",'Equities - Lots'!M46+'Crypto - Lots'!K31,0)</f>
        <v/>
      </c>
      <c r="E33" s="64">
        <f>IFERROR(D33/SUM($D$28:$D$33),0)</f>
        <v/>
      </c>
      <c r="F33" s="65">
        <f>D33-C33</f>
        <v/>
      </c>
      <c r="H33" s="24" t="n">
        <v>6</v>
      </c>
      <c r="I33" s="25">
        <f>IFERROR(INDEX($N$28:$N$120,MATCH(LARGE($P$28:$P$120,6),$P$28:$P$120,0)),"")</f>
        <v/>
      </c>
      <c r="J33" s="25">
        <f>IFERROR(INDEX($O$28:$O$120,MATCH(LARGE($P$28:$P$120,6),$P$28:$P$120,0)),"")</f>
        <v/>
      </c>
      <c r="K33" s="63">
        <f>LARGE($P$28:$P$120,6)</f>
        <v/>
      </c>
      <c r="L33" s="64">
        <f>IFERROR(K33/$D$22,0)</f>
        <v/>
      </c>
      <c r="N33" s="26">
        <f>'MF - by Fund'!B10</f>
        <v/>
      </c>
      <c r="O33" s="26">
        <f>'MF - by Fund'!C10</f>
        <v/>
      </c>
      <c r="P33" s="68">
        <f>'MF - by Fund'!K10</f>
        <v/>
      </c>
    </row>
    <row r="34" ht="15" customHeight="1" s="54">
      <c r="B34" s="20" t="inlineStr">
        <is>
          <t>TOTAL</t>
        </is>
      </c>
      <c r="C34" s="66">
        <f>SUM(C28:C33)</f>
        <v/>
      </c>
      <c r="D34" s="66">
        <f>SUM(D28:D33)</f>
        <v/>
      </c>
      <c r="E34" s="67">
        <f>SUM(E28:E33)</f>
        <v/>
      </c>
      <c r="F34" s="66">
        <f>SUM(F28:F33)</f>
        <v/>
      </c>
      <c r="H34" s="24" t="n">
        <v>7</v>
      </c>
      <c r="I34" s="25">
        <f>IFERROR(INDEX($N$28:$N$120,MATCH(LARGE($P$28:$P$120,7),$P$28:$P$120,0)),"")</f>
        <v/>
      </c>
      <c r="J34" s="25">
        <f>IFERROR(INDEX($O$28:$O$120,MATCH(LARGE($P$28:$P$120,7),$P$28:$P$120,0)),"")</f>
        <v/>
      </c>
      <c r="K34" s="63">
        <f>LARGE($P$28:$P$120,7)</f>
        <v/>
      </c>
      <c r="L34" s="64">
        <f>IFERROR(K34/$D$22,0)</f>
        <v/>
      </c>
      <c r="N34" s="26">
        <f>'MF - by Fund'!B11</f>
        <v/>
      </c>
      <c r="O34" s="26">
        <f>'MF - by Fund'!C11</f>
        <v/>
      </c>
      <c r="P34" s="68">
        <f>'MF - by Fund'!K11</f>
        <v/>
      </c>
    </row>
    <row r="35" ht="15" customHeight="1" s="54">
      <c r="H35" s="24" t="n">
        <v>8</v>
      </c>
      <c r="I35" s="25">
        <f>IFERROR(INDEX($N$28:$N$120,MATCH(LARGE($P$28:$P$120,8),$P$28:$P$120,0)),"")</f>
        <v/>
      </c>
      <c r="J35" s="25">
        <f>IFERROR(INDEX($O$28:$O$120,MATCH(LARGE($P$28:$P$120,8),$P$28:$P$120,0)),"")</f>
        <v/>
      </c>
      <c r="K35" s="63">
        <f>LARGE($P$28:$P$120,8)</f>
        <v/>
      </c>
      <c r="L35" s="64">
        <f>IFERROR(K35/$D$22,0)</f>
        <v/>
      </c>
      <c r="N35" s="26">
        <f>'MF - by Fund'!B12</f>
        <v/>
      </c>
      <c r="O35" s="26">
        <f>'MF - by Fund'!C12</f>
        <v/>
      </c>
      <c r="P35" s="68">
        <f>'MF - by Fund'!K12</f>
        <v/>
      </c>
    </row>
    <row r="36" ht="15" customHeight="1" s="54">
      <c r="H36" s="24" t="n">
        <v>9</v>
      </c>
      <c r="I36" s="25">
        <f>IFERROR(INDEX($N$28:$N$120,MATCH(LARGE($P$28:$P$120,9),$P$28:$P$120,0)),"")</f>
        <v/>
      </c>
      <c r="J36" s="25">
        <f>IFERROR(INDEX($O$28:$O$120,MATCH(LARGE($P$28:$P$120,9),$P$28:$P$120,0)),"")</f>
        <v/>
      </c>
      <c r="K36" s="63">
        <f>LARGE($P$28:$P$120,9)</f>
        <v/>
      </c>
      <c r="L36" s="64">
        <f>IFERROR(K36/$D$22,0)</f>
        <v/>
      </c>
      <c r="N36" s="26">
        <f>'MF - by Fund'!B13</f>
        <v/>
      </c>
      <c r="O36" s="26">
        <f>'MF - by Fund'!C13</f>
        <v/>
      </c>
      <c r="P36" s="68">
        <f>'MF - by Fund'!K13</f>
        <v/>
      </c>
    </row>
    <row r="37" ht="15" customHeight="1" s="54">
      <c r="H37" s="24" t="n">
        <v>10</v>
      </c>
      <c r="I37" s="25">
        <f>IFERROR(INDEX($N$28:$N$120,MATCH(LARGE($P$28:$P$120,10),$P$28:$P$120,0)),"")</f>
        <v/>
      </c>
      <c r="J37" s="25">
        <f>IFERROR(INDEX($O$28:$O$120,MATCH(LARGE($P$28:$P$120,10),$P$28:$P$120,0)),"")</f>
        <v/>
      </c>
      <c r="K37" s="63">
        <f>LARGE($P$28:$P$120,10)</f>
        <v/>
      </c>
      <c r="L37" s="64">
        <f>IFERROR(K37/$D$22,0)</f>
        <v/>
      </c>
      <c r="N37" s="26">
        <f>'MF - by Fund'!B14</f>
        <v/>
      </c>
      <c r="O37" s="26">
        <f>'MF - by Fund'!C14</f>
        <v/>
      </c>
      <c r="P37" s="68">
        <f>'MF - by Fund'!K14</f>
        <v/>
      </c>
    </row>
    <row r="38" ht="15" customHeight="1" s="54">
      <c r="H38" s="28" t="n"/>
      <c r="I38" s="29" t="n"/>
      <c r="J38" s="29" t="n"/>
      <c r="K38" s="69" t="n"/>
      <c r="L38" s="70" t="n"/>
      <c r="N38" s="26" t="n"/>
      <c r="O38" s="26" t="n"/>
      <c r="P38" s="68" t="n"/>
    </row>
    <row r="39" ht="21.75" customHeight="1" s="54">
      <c r="B39" s="10" t="inlineStr">
        <is>
          <t>THEME / SECTOR ALLOCATION (top themes)</t>
        </is>
      </c>
      <c r="N39" s="26">
        <f>'MF - by Fund'!B15</f>
        <v/>
      </c>
      <c r="O39" s="26">
        <f>'MF - by Fund'!C15</f>
        <v/>
      </c>
      <c r="P39" s="68">
        <f>'MF - by Fund'!K15</f>
        <v/>
      </c>
    </row>
    <row r="40" ht="30" customHeight="1" s="54">
      <c r="B40" s="15" t="inlineStr">
        <is>
          <t>Theme</t>
        </is>
      </c>
      <c r="C40" s="15" t="inlineStr">
        <is>
          <t>Invested</t>
        </is>
      </c>
      <c r="D40" s="15" t="inlineStr">
        <is>
          <t>Current Value</t>
        </is>
      </c>
      <c r="E40" s="15" t="inlineStr">
        <is>
          <t>% of Port</t>
        </is>
      </c>
      <c r="F40" s="15" t="inlineStr">
        <is>
          <t>P&amp;L</t>
        </is>
      </c>
      <c r="N40" s="26">
        <f>'MF - by Fund'!B16</f>
        <v/>
      </c>
      <c r="O40" s="26">
        <f>'MF - by Fund'!C16</f>
        <v/>
      </c>
      <c r="P40" s="68">
        <f>'MF - by Fund'!K16</f>
        <v/>
      </c>
    </row>
    <row r="41" ht="15" customHeight="1" s="54">
      <c r="B41" s="16" t="inlineStr">
        <is>
          <t>US Large Cap</t>
        </is>
      </c>
      <c r="C41" s="63">
        <f>SUMIFS('MF - Lots'!$O:$O,'MF - Lots'!$E:$E,B41)+SUMIFS('Equities - Lots'!$L:$L,'Equities - Lots'!$G:$G,B41)+SUMIFS('Crypto - Lots'!$J:$J,'Crypto - Lots'!$E:$E,B41)</f>
        <v/>
      </c>
      <c r="D41" s="63">
        <f>SUMIFS('MF - Lots'!$P:$P,'MF - Lots'!$E:$E,B41)+SUMIFS('Equities - Lots'!$M:$M,'Equities - Lots'!$G:$G,B41)+SUMIFS('Crypto - Lots'!$K:$K,'Crypto - Lots'!$E:$E,B41)</f>
        <v/>
      </c>
      <c r="E41" s="64">
        <f>IFERROR(D41/$D$22,0)</f>
        <v/>
      </c>
      <c r="F41" s="65">
        <f>D41-C41</f>
        <v/>
      </c>
      <c r="N41" s="26">
        <f>'MF - by Fund'!B17</f>
        <v/>
      </c>
      <c r="O41" s="26">
        <f>'MF - by Fund'!C17</f>
        <v/>
      </c>
      <c r="P41" s="68">
        <f>'MF - by Fund'!K17</f>
        <v/>
      </c>
    </row>
    <row r="42" ht="15" customHeight="1" s="54">
      <c r="B42" s="16" t="inlineStr">
        <is>
          <t>Korea</t>
        </is>
      </c>
      <c r="C42" s="63">
        <f>SUMIFS('MF - Lots'!$O:$O,'MF - Lots'!$E:$E,B42)+SUMIFS('Equities - Lots'!$L:$L,'Equities - Lots'!$G:$G,B42)+SUMIFS('Crypto - Lots'!$J:$J,'Crypto - Lots'!$E:$E,B42)</f>
        <v/>
      </c>
      <c r="D42" s="63">
        <f>SUMIFS('MF - Lots'!$P:$P,'MF - Lots'!$E:$E,B42)+SUMIFS('Equities - Lots'!$M:$M,'Equities - Lots'!$G:$G,B42)+SUMIFS('Crypto - Lots'!$K:$K,'Crypto - Lots'!$E:$E,B42)</f>
        <v/>
      </c>
      <c r="E42" s="64">
        <f>IFERROR(D42/$D$22,0)</f>
        <v/>
      </c>
      <c r="F42" s="65">
        <f>D42-C42</f>
        <v/>
      </c>
      <c r="N42" s="26">
        <f>'MF - by Fund'!B18</f>
        <v/>
      </c>
      <c r="O42" s="26">
        <f>'MF - by Fund'!C18</f>
        <v/>
      </c>
      <c r="P42" s="68">
        <f>'MF - by Fund'!K18</f>
        <v/>
      </c>
    </row>
    <row r="43" ht="15" customHeight="1" s="54">
      <c r="B43" s="16" t="inlineStr">
        <is>
          <t>Thai Equity</t>
        </is>
      </c>
      <c r="C43" s="63">
        <f>SUMIFS('MF - Lots'!$O:$O,'MF - Lots'!$E:$E,B43)+SUMIFS('Equities - Lots'!$L:$L,'Equities - Lots'!$G:$G,B43)+SUMIFS('Crypto - Lots'!$J:$J,'Crypto - Lots'!$E:$E,B43)</f>
        <v/>
      </c>
      <c r="D43" s="63">
        <f>SUMIFS('MF - Lots'!$P:$P,'MF - Lots'!$E:$E,B43)+SUMIFS('Equities - Lots'!$M:$M,'Equities - Lots'!$G:$G,B43)+SUMIFS('Crypto - Lots'!$K:$K,'Crypto - Lots'!$E:$E,B43)</f>
        <v/>
      </c>
      <c r="E43" s="64">
        <f>IFERROR(D43/$D$22,0)</f>
        <v/>
      </c>
      <c r="F43" s="65">
        <f>D43-C43</f>
        <v/>
      </c>
      <c r="N43" s="26">
        <f>'MF - by Fund'!B19</f>
        <v/>
      </c>
      <c r="O43" s="26">
        <f>'MF - by Fund'!C19</f>
        <v/>
      </c>
      <c r="P43" s="68">
        <f>'MF - by Fund'!K19</f>
        <v/>
      </c>
    </row>
    <row r="44" ht="15" customHeight="1" s="54">
      <c r="B44" s="16" t="inlineStr">
        <is>
          <t>Healthcare</t>
        </is>
      </c>
      <c r="C44" s="63">
        <f>SUMIFS('MF - Lots'!$O:$O,'MF - Lots'!$E:$E,B44)+SUMIFS('Equities - Lots'!$L:$L,'Equities - Lots'!$G:$G,B44)+SUMIFS('Crypto - Lots'!$J:$J,'Crypto - Lots'!$E:$E,B44)</f>
        <v/>
      </c>
      <c r="D44" s="63">
        <f>SUMIFS('MF - Lots'!$P:$P,'MF - Lots'!$E:$E,B44)+SUMIFS('Equities - Lots'!$M:$M,'Equities - Lots'!$G:$G,B44)+SUMIFS('Crypto - Lots'!$K:$K,'Crypto - Lots'!$E:$E,B44)</f>
        <v/>
      </c>
      <c r="E44" s="64">
        <f>IFERROR(D44/$D$22,0)</f>
        <v/>
      </c>
      <c r="F44" s="65">
        <f>D44-C44</f>
        <v/>
      </c>
      <c r="N44" s="26">
        <f>'MF - by Fund'!B20</f>
        <v/>
      </c>
      <c r="O44" s="26">
        <f>'MF - by Fund'!C20</f>
        <v/>
      </c>
      <c r="P44" s="68">
        <f>'MF - by Fund'!K20</f>
        <v/>
      </c>
    </row>
    <row r="45" ht="15" customHeight="1" s="54">
      <c r="B45" s="16" t="inlineStr">
        <is>
          <t>Crypto (All)</t>
        </is>
      </c>
      <c r="C45" s="63">
        <f>'Crypto - Lots'!J31</f>
        <v/>
      </c>
      <c r="D45" s="63">
        <f>'Crypto - Lots'!K31</f>
        <v/>
      </c>
      <c r="E45" s="64">
        <f>IFERROR(D45/$D$22,0)</f>
        <v/>
      </c>
      <c r="F45" s="65">
        <f>D45-C45</f>
        <v/>
      </c>
      <c r="N45" s="26">
        <f>'MF - by Fund'!B21</f>
        <v/>
      </c>
      <c r="O45" s="26">
        <f>'MF - by Fund'!C21</f>
        <v/>
      </c>
      <c r="P45" s="68">
        <f>'MF - by Fund'!K21</f>
        <v/>
      </c>
    </row>
    <row r="46" ht="15" customHeight="1" s="54">
      <c r="B46" s="16" t="inlineStr">
        <is>
          <t>Vietnam Equity</t>
        </is>
      </c>
      <c r="C46" s="63">
        <f>SUMIFS('MF - Lots'!$O:$O,'MF - Lots'!$E:$E,B46)+SUMIFS('Equities - Lots'!$L:$L,'Equities - Lots'!$G:$G,B46)+SUMIFS('Crypto - Lots'!$J:$J,'Crypto - Lots'!$E:$E,B46)</f>
        <v/>
      </c>
      <c r="D46" s="63">
        <f>SUMIFS('MF - Lots'!$P:$P,'MF - Lots'!$E:$E,B46)+SUMIFS('Equities - Lots'!$M:$M,'Equities - Lots'!$G:$G,B46)+SUMIFS('Crypto - Lots'!$K:$K,'Crypto - Lots'!$E:$E,B46)</f>
        <v/>
      </c>
      <c r="E46" s="64">
        <f>IFERROR(D46/$D$22,0)</f>
        <v/>
      </c>
      <c r="F46" s="65">
        <f>D46-C46</f>
        <v/>
      </c>
      <c r="N46" s="26">
        <f>'MF - by Fund'!B22</f>
        <v/>
      </c>
      <c r="O46" s="26">
        <f>'MF - by Fund'!C22</f>
        <v/>
      </c>
      <c r="P46" s="68">
        <f>'MF - by Fund'!K22</f>
        <v/>
      </c>
    </row>
    <row r="47" ht="15" customHeight="1" s="54">
      <c r="B47" s="16" t="inlineStr">
        <is>
          <t>Thai Single Stock</t>
        </is>
      </c>
      <c r="C47" s="63">
        <f>SUMIFS('MF - Lots'!$O:$O,'MF - Lots'!$E:$E,B47)+SUMIFS('Equities - Lots'!$L:$L,'Equities - Lots'!$G:$G,B47)+SUMIFS('Crypto - Lots'!$J:$J,'Crypto - Lots'!$E:$E,B47)</f>
        <v/>
      </c>
      <c r="D47" s="63">
        <f>SUMIFS('MF - Lots'!$P:$P,'MF - Lots'!$E:$E,B47)+SUMIFS('Equities - Lots'!$M:$M,'Equities - Lots'!$G:$G,B47)+SUMIFS('Crypto - Lots'!$K:$K,'Crypto - Lots'!$E:$E,B47)</f>
        <v/>
      </c>
      <c r="E47" s="64">
        <f>IFERROR(D47/$D$22,0)</f>
        <v/>
      </c>
      <c r="F47" s="65">
        <f>D47-C47</f>
        <v/>
      </c>
      <c r="N47" s="26">
        <f>'MF - by Fund'!B23</f>
        <v/>
      </c>
      <c r="O47" s="26">
        <f>'MF - by Fund'!C23</f>
        <v/>
      </c>
      <c r="P47" s="68">
        <f>'MF - by Fund'!K23</f>
        <v/>
      </c>
    </row>
    <row r="48" ht="15" customHeight="1" s="54">
      <c r="B48" s="16" t="inlineStr">
        <is>
          <t>Thai Balanced</t>
        </is>
      </c>
      <c r="C48" s="63">
        <f>SUMIFS('MF - Lots'!$O:$O,'MF - Lots'!$E:$E,B48)+SUMIFS('Equities - Lots'!$L:$L,'Equities - Lots'!$G:$G,B48)+SUMIFS('Crypto - Lots'!$J:$J,'Crypto - Lots'!$E:$E,B48)</f>
        <v/>
      </c>
      <c r="D48" s="63">
        <f>SUMIFS('MF - Lots'!$P:$P,'MF - Lots'!$E:$E,B48)+SUMIFS('Equities - Lots'!$M:$M,'Equities - Lots'!$G:$G,B48)+SUMIFS('Crypto - Lots'!$K:$K,'Crypto - Lots'!$E:$E,B48)</f>
        <v/>
      </c>
      <c r="E48" s="64">
        <f>IFERROR(D48/$D$22,0)</f>
        <v/>
      </c>
      <c r="F48" s="65">
        <f>D48-C48</f>
        <v/>
      </c>
      <c r="N48" s="26">
        <f>'MF - by Fund'!B24</f>
        <v/>
      </c>
      <c r="O48" s="26">
        <f>'MF - by Fund'!C24</f>
        <v/>
      </c>
      <c r="P48" s="68">
        <f>'MF - by Fund'!K24</f>
        <v/>
      </c>
    </row>
    <row r="49" ht="15" customHeight="1" s="54">
      <c r="B49" s="16" t="inlineStr">
        <is>
          <t>TH Gov Bond</t>
        </is>
      </c>
      <c r="C49" s="63">
        <f>SUMIFS('MF - Lots'!$O:$O,'MF - Lots'!$E:$E,B49)+SUMIFS('Equities - Lots'!$L:$L,'Equities - Lots'!$G:$G,B49)+SUMIFS('Crypto - Lots'!$J:$J,'Crypto - Lots'!$E:$E,B49)</f>
        <v/>
      </c>
      <c r="D49" s="63">
        <f>SUMIFS('MF - Lots'!$P:$P,'MF - Lots'!$E:$E,B49)+SUMIFS('Equities - Lots'!$M:$M,'Equities - Lots'!$G:$G,B49)+SUMIFS('Crypto - Lots'!$K:$K,'Crypto - Lots'!$E:$E,B49)</f>
        <v/>
      </c>
      <c r="E49" s="64">
        <f>IFERROR(D49/$D$22,0)</f>
        <v/>
      </c>
      <c r="F49" s="65">
        <f>D49-C49</f>
        <v/>
      </c>
      <c r="N49" s="26">
        <f>'MF - by Fund'!B25</f>
        <v/>
      </c>
      <c r="O49" s="26">
        <f>'MF - by Fund'!C25</f>
        <v/>
      </c>
      <c r="P49" s="68">
        <f>'MF - by Fund'!K25</f>
        <v/>
      </c>
    </row>
    <row r="50" ht="15" customHeight="1" s="54">
      <c r="B50" s="16" t="inlineStr">
        <is>
          <t>China Equity</t>
        </is>
      </c>
      <c r="C50" s="63">
        <f>SUMIFS('MF - Lots'!$O:$O,'MF - Lots'!$E:$E,B50)+SUMIFS('Equities - Lots'!$L:$L,'Equities - Lots'!$G:$G,B50)+SUMIFS('Crypto - Lots'!$J:$J,'Crypto - Lots'!$E:$E,B50)</f>
        <v/>
      </c>
      <c r="D50" s="63">
        <f>SUMIFS('MF - Lots'!$P:$P,'MF - Lots'!$E:$E,B50)+SUMIFS('Equities - Lots'!$M:$M,'Equities - Lots'!$G:$G,B50)+SUMIFS('Crypto - Lots'!$K:$K,'Crypto - Lots'!$E:$E,B50)</f>
        <v/>
      </c>
      <c r="E50" s="64">
        <f>IFERROR(D50/$D$22,0)</f>
        <v/>
      </c>
      <c r="F50" s="65">
        <f>D50-C50</f>
        <v/>
      </c>
      <c r="N50" s="26">
        <f>'MF - by Fund'!B26</f>
        <v/>
      </c>
      <c r="O50" s="26">
        <f>'MF - by Fund'!C26</f>
        <v/>
      </c>
      <c r="P50" s="68">
        <f>'MF - by Fund'!K26</f>
        <v/>
      </c>
    </row>
    <row r="51" ht="15" customHeight="1" s="54">
      <c r="B51" s="16" t="inlineStr">
        <is>
          <t>US Single Stock</t>
        </is>
      </c>
      <c r="C51" s="63">
        <f>SUMIFS('MF - Lots'!$O:$O,'MF - Lots'!$E:$E,B51)+SUMIFS('Equities - Lots'!$L:$L,'Equities - Lots'!$G:$G,B51)+SUMIFS('Crypto - Lots'!$J:$J,'Crypto - Lots'!$E:$E,B51)</f>
        <v/>
      </c>
      <c r="D51" s="63">
        <f>SUMIFS('MF - Lots'!$P:$P,'MF - Lots'!$E:$E,B51)+SUMIFS('Equities - Lots'!$M:$M,'Equities - Lots'!$G:$G,B51)+SUMIFS('Crypto - Lots'!$K:$K,'Crypto - Lots'!$E:$E,B51)</f>
        <v/>
      </c>
      <c r="E51" s="64">
        <f>IFERROR(D51/$D$22,0)</f>
        <v/>
      </c>
      <c r="F51" s="65">
        <f>D51-C51</f>
        <v/>
      </c>
      <c r="N51" s="26">
        <f>'MF - by Fund'!B28</f>
        <v/>
      </c>
      <c r="O51" s="26">
        <f>'MF - by Fund'!C28</f>
        <v/>
      </c>
      <c r="P51" s="68">
        <f>'MF - by Fund'!K28</f>
        <v/>
      </c>
    </row>
    <row r="52" ht="15" customHeight="1" s="54">
      <c r="B52" s="16" t="inlineStr">
        <is>
          <t>Gold</t>
        </is>
      </c>
      <c r="C52" s="63">
        <f>SUMIFS('MF - Lots'!$O:$O,'MF - Lots'!$E:$E,B52)+SUMIFS('Equities - Lots'!$L:$L,'Equities - Lots'!$G:$G,B52)+SUMIFS('Crypto - Lots'!$J:$J,'Crypto - Lots'!$E:$E,B52)</f>
        <v/>
      </c>
      <c r="D52" s="63">
        <f>SUMIFS('MF - Lots'!$P:$P,'MF - Lots'!$E:$E,B52)+SUMIFS('Equities - Lots'!$M:$M,'Equities - Lots'!$G:$G,B52)+SUMIFS('Crypto - Lots'!$K:$K,'Crypto - Lots'!$E:$E,B52)</f>
        <v/>
      </c>
      <c r="E52" s="64">
        <f>IFERROR(D52/$D$22,0)</f>
        <v/>
      </c>
      <c r="F52" s="65">
        <f>D52-C52</f>
        <v/>
      </c>
      <c r="N52" s="26">
        <f>'MF - by Fund'!B29</f>
        <v/>
      </c>
      <c r="O52" s="26">
        <f>'MF - by Fund'!C29</f>
        <v/>
      </c>
      <c r="P52" s="68">
        <f>'MF - by Fund'!K29</f>
        <v/>
      </c>
    </row>
    <row r="53" ht="15" customHeight="1" s="54">
      <c r="B53" s="16" t="inlineStr">
        <is>
          <t>Brokerage Cash</t>
        </is>
      </c>
      <c r="C53" s="63">
        <f>SUMIFS('MF - Lots'!$O:$O,'MF - Lots'!$E:$E,B53)+SUMIFS('Equities - Lots'!$L:$L,'Equities - Lots'!$G:$G,B53)+SUMIFS('Crypto - Lots'!$J:$J,'Crypto - Lots'!$E:$E,B53)</f>
        <v/>
      </c>
      <c r="D53" s="63">
        <f>SUMIFS('MF - Lots'!$P:$P,'MF - Lots'!$E:$E,B53)+SUMIFS('Equities - Lots'!$M:$M,'Equities - Lots'!$G:$G,B53)+SUMIFS('Crypto - Lots'!$K:$K,'Crypto - Lots'!$E:$E,B53)</f>
        <v/>
      </c>
      <c r="E53" s="64">
        <f>IFERROR(D53/$D$22,0)</f>
        <v/>
      </c>
      <c r="F53" s="65">
        <f>D53-C53</f>
        <v/>
      </c>
      <c r="N53" s="26">
        <f>'MF - by Fund'!B30</f>
        <v/>
      </c>
      <c r="O53" s="26">
        <f>'MF - by Fund'!C30</f>
        <v/>
      </c>
      <c r="P53" s="68">
        <f>'MF - by Fund'!K30</f>
        <v/>
      </c>
    </row>
    <row r="54" ht="15" customHeight="1" s="54">
      <c r="B54" s="16" t="inlineStr">
        <is>
          <t>Thai SET50</t>
        </is>
      </c>
      <c r="C54" s="63">
        <f>SUMIFS('MF - Lots'!$O:$O,'MF - Lots'!$E:$E,B54)+SUMIFS('Equities - Lots'!$L:$L,'Equities - Lots'!$G:$G,B54)+SUMIFS('Crypto - Lots'!$J:$J,'Crypto - Lots'!$E:$E,B54)</f>
        <v/>
      </c>
      <c r="D54" s="63">
        <f>SUMIFS('MF - Lots'!$P:$P,'MF - Lots'!$E:$E,B54)+SUMIFS('Equities - Lots'!$M:$M,'Equities - Lots'!$G:$G,B54)+SUMIFS('Crypto - Lots'!$K:$K,'Crypto - Lots'!$E:$E,B54)</f>
        <v/>
      </c>
      <c r="E54" s="64">
        <f>IFERROR(D54/$D$22,0)</f>
        <v/>
      </c>
      <c r="F54" s="65">
        <f>D54-C54</f>
        <v/>
      </c>
      <c r="N54" s="26">
        <f>'MF - by Fund'!B31</f>
        <v/>
      </c>
      <c r="O54" s="26">
        <f>'MF - by Fund'!C31</f>
        <v/>
      </c>
      <c r="P54" s="68">
        <f>'MF - by Fund'!K31</f>
        <v/>
      </c>
    </row>
    <row r="55" ht="15" customHeight="1" s="54">
      <c r="B55" s="16" t="inlineStr">
        <is>
          <t>AI / Innovation</t>
        </is>
      </c>
      <c r="C55" s="63">
        <f>SUMIFS('MF - Lots'!$O:$O,'MF - Lots'!$E:$E,B55)+SUMIFS('Equities - Lots'!$L:$L,'Equities - Lots'!$G:$G,B55)+SUMIFS('Crypto - Lots'!$J:$J,'Crypto - Lots'!$E:$E,B55)</f>
        <v/>
      </c>
      <c r="D55" s="63">
        <f>SUMIFS('MF - Lots'!$P:$P,'MF - Lots'!$E:$E,B55)+SUMIFS('Equities - Lots'!$M:$M,'Equities - Lots'!$G:$G,B55)+SUMIFS('Crypto - Lots'!$K:$K,'Crypto - Lots'!$E:$E,B55)</f>
        <v/>
      </c>
      <c r="E55" s="64">
        <f>IFERROR(D55/$D$22,0)</f>
        <v/>
      </c>
      <c r="F55" s="65">
        <f>D55-C55</f>
        <v/>
      </c>
      <c r="N55" s="26">
        <f>'MF - by Fund'!B32</f>
        <v/>
      </c>
      <c r="O55" s="26">
        <f>'MF - by Fund'!C32</f>
        <v/>
      </c>
      <c r="P55" s="68">
        <f>'MF - by Fund'!K32</f>
        <v/>
      </c>
    </row>
    <row r="56" ht="15" customHeight="1" s="54">
      <c r="B56" s="16" t="inlineStr">
        <is>
          <t>Japan Equity</t>
        </is>
      </c>
      <c r="C56" s="63">
        <f>SUMIFS('MF - Lots'!$O:$O,'MF - Lots'!$E:$E,B56)+SUMIFS('Equities - Lots'!$L:$L,'Equities - Lots'!$G:$G,B56)+SUMIFS('Crypto - Lots'!$J:$J,'Crypto - Lots'!$E:$E,B56)</f>
        <v/>
      </c>
      <c r="D56" s="63">
        <f>SUMIFS('MF - Lots'!$P:$P,'MF - Lots'!$E:$E,B56)+SUMIFS('Equities - Lots'!$M:$M,'Equities - Lots'!$G:$G,B56)+SUMIFS('Crypto - Lots'!$K:$K,'Crypto - Lots'!$E:$E,B56)</f>
        <v/>
      </c>
      <c r="E56" s="64">
        <f>IFERROR(D56/$D$22,0)</f>
        <v/>
      </c>
      <c r="F56" s="65">
        <f>D56-C56</f>
        <v/>
      </c>
      <c r="N56" s="26">
        <f>'MF - by Fund'!B34</f>
        <v/>
      </c>
      <c r="O56" s="26">
        <f>'MF - by Fund'!C34</f>
        <v/>
      </c>
      <c r="P56" s="68">
        <f>'MF - by Fund'!K34</f>
        <v/>
      </c>
    </row>
    <row r="57" ht="15" customHeight="1" s="54">
      <c r="B57" s="16" t="inlineStr">
        <is>
          <t>Semiconductor</t>
        </is>
      </c>
      <c r="C57" s="63">
        <f>SUMIFS('MF - Lots'!$O:$O,'MF - Lots'!$E:$E,B57)+SUMIFS('Equities - Lots'!$L:$L,'Equities - Lots'!$G:$G,B57)+SUMIFS('Crypto - Lots'!$J:$J,'Crypto - Lots'!$E:$E,B57)</f>
        <v/>
      </c>
      <c r="D57" s="63">
        <f>SUMIFS('MF - Lots'!$P:$P,'MF - Lots'!$E:$E,B57)+SUMIFS('Equities - Lots'!$M:$M,'Equities - Lots'!$G:$G,B57)+SUMIFS('Crypto - Lots'!$K:$K,'Crypto - Lots'!$E:$E,B57)</f>
        <v/>
      </c>
      <c r="E57" s="64">
        <f>IFERROR(D57/$D$22,0)</f>
        <v/>
      </c>
      <c r="F57" s="65">
        <f>D57-C57</f>
        <v/>
      </c>
      <c r="N57" s="26">
        <f>'MF - by Fund'!B35</f>
        <v/>
      </c>
      <c r="O57" s="26">
        <f>'MF - by Fund'!C35</f>
        <v/>
      </c>
      <c r="P57" s="68">
        <f>'MF - by Fund'!K35</f>
        <v/>
      </c>
    </row>
    <row r="58" ht="15" customHeight="1" s="54">
      <c r="B58" s="16" t="inlineStr">
        <is>
          <t>Europe Equity</t>
        </is>
      </c>
      <c r="C58" s="63">
        <f>SUMIFS('MF - Lots'!$O:$O,'MF - Lots'!$E:$E,B58)+SUMIFS('Equities - Lots'!$L:$L,'Equities - Lots'!$G:$G,B58)+SUMIFS('Crypto - Lots'!$J:$J,'Crypto - Lots'!$E:$E,B58)</f>
        <v/>
      </c>
      <c r="D58" s="63">
        <f>SUMIFS('MF - Lots'!$P:$P,'MF - Lots'!$E:$E,B58)+SUMIFS('Equities - Lots'!$M:$M,'Equities - Lots'!$G:$G,B58)+SUMIFS('Crypto - Lots'!$K:$K,'Crypto - Lots'!$E:$E,B58)</f>
        <v/>
      </c>
      <c r="E58" s="64">
        <f>IFERROR(D58/$D$22,0)</f>
        <v/>
      </c>
      <c r="F58" s="65">
        <f>D58-C58</f>
        <v/>
      </c>
      <c r="N58" s="26">
        <f>'Equities - by Ticker'!C5</f>
        <v/>
      </c>
      <c r="O58" s="26">
        <f>'Equities - by Ticker'!B5</f>
        <v/>
      </c>
      <c r="P58" s="68">
        <f>'Equities - by Ticker'!K5</f>
        <v/>
      </c>
    </row>
    <row r="59" ht="15" customHeight="1" s="54">
      <c r="B59" s="16" t="inlineStr">
        <is>
          <t>TH Short-Term Bond</t>
        </is>
      </c>
      <c r="C59" s="63">
        <f>SUMIFS('MF - Lots'!$O:$O,'MF - Lots'!$E:$E,B59)+SUMIFS('Equities - Lots'!$L:$L,'Equities - Lots'!$G:$G,B59)+SUMIFS('Crypto - Lots'!$J:$J,'Crypto - Lots'!$E:$E,B59)</f>
        <v/>
      </c>
      <c r="D59" s="63">
        <f>SUMIFS('MF - Lots'!$P:$P,'MF - Lots'!$E:$E,B59)+SUMIFS('Equities - Lots'!$M:$M,'Equities - Lots'!$G:$G,B59)+SUMIFS('Crypto - Lots'!$K:$K,'Crypto - Lots'!$E:$E,B59)</f>
        <v/>
      </c>
      <c r="E59" s="64">
        <f>IFERROR(D59/$D$22,0)</f>
        <v/>
      </c>
      <c r="F59" s="65">
        <f>D59-C59</f>
        <v/>
      </c>
      <c r="N59" s="26">
        <f>'Equities - by Ticker'!C6</f>
        <v/>
      </c>
      <c r="O59" s="26">
        <f>'Equities - by Ticker'!B6</f>
        <v/>
      </c>
      <c r="P59" s="68">
        <f>'Equities - by Ticker'!K6</f>
        <v/>
      </c>
    </row>
    <row r="60" ht="15" customHeight="1" s="54">
      <c r="B60" s="16" t="inlineStr">
        <is>
          <t>TH Money Market</t>
        </is>
      </c>
      <c r="C60" s="63">
        <f>SUMIFS('MF - Lots'!$O:$O,'MF - Lots'!$E:$E,B60)+SUMIFS('Equities - Lots'!$L:$L,'Equities - Lots'!$G:$G,B60)+SUMIFS('Crypto - Lots'!$J:$J,'Crypto - Lots'!$E:$E,B60)</f>
        <v/>
      </c>
      <c r="D60" s="63">
        <f>SUMIFS('MF - Lots'!$P:$P,'MF - Lots'!$E:$E,B60)+SUMIFS('Equities - Lots'!$M:$M,'Equities - Lots'!$G:$G,B60)+SUMIFS('Crypto - Lots'!$K:$K,'Crypto - Lots'!$E:$E,B60)</f>
        <v/>
      </c>
      <c r="E60" s="64">
        <f>IFERROR(D60/$D$22,0)</f>
        <v/>
      </c>
      <c r="F60" s="65">
        <f>D60-C60</f>
        <v/>
      </c>
      <c r="N60" s="26">
        <f>'Equities - by Ticker'!C7</f>
        <v/>
      </c>
      <c r="O60" s="26">
        <f>'Equities - by Ticker'!B7</f>
        <v/>
      </c>
      <c r="P60" s="68">
        <f>'Equities - by Ticker'!K7</f>
        <v/>
      </c>
    </row>
    <row r="61" ht="15" customHeight="1" s="54">
      <c r="B61" s="20" t="inlineStr">
        <is>
          <t>TOTAL</t>
        </is>
      </c>
      <c r="C61" s="66">
        <f>SUM(C41:C60)</f>
        <v/>
      </c>
      <c r="D61" s="66">
        <f>SUM(D41:D60)</f>
        <v/>
      </c>
      <c r="E61" s="67">
        <f>SUM(E41:E60)</f>
        <v/>
      </c>
      <c r="F61" s="66">
        <f>SUM(F41:F60)</f>
        <v/>
      </c>
      <c r="N61" s="26">
        <f>'Equities - by Ticker'!C8</f>
        <v/>
      </c>
      <c r="O61" s="26">
        <f>'Equities - by Ticker'!B8</f>
        <v/>
      </c>
      <c r="P61" s="68">
        <f>'Equities - by Ticker'!K8</f>
        <v/>
      </c>
    </row>
    <row r="62" ht="15" customHeight="1" s="54">
      <c r="N62" s="26">
        <f>'Equities - by Ticker'!C9</f>
        <v/>
      </c>
      <c r="O62" s="26">
        <f>'Equities - by Ticker'!B9</f>
        <v/>
      </c>
      <c r="P62" s="68">
        <f>'Equities - by Ticker'!K9</f>
        <v/>
      </c>
    </row>
    <row r="63" ht="15" customHeight="1" s="54">
      <c r="N63" s="26">
        <f>'Equities - by Ticker'!C10</f>
        <v/>
      </c>
      <c r="O63" s="26">
        <f>'Equities - by Ticker'!B10</f>
        <v/>
      </c>
      <c r="P63" s="68">
        <f>'Equities - by Ticker'!K10</f>
        <v/>
      </c>
    </row>
    <row r="64" ht="15" customHeight="1" s="54">
      <c r="N64" s="26">
        <f>'Equities - by Ticker'!C11</f>
        <v/>
      </c>
      <c r="O64" s="26">
        <f>'Equities - by Ticker'!B11</f>
        <v/>
      </c>
      <c r="P64" s="68">
        <f>'Equities - by Ticker'!K11</f>
        <v/>
      </c>
    </row>
    <row r="65" ht="15" customHeight="1" s="54">
      <c r="N65" s="26">
        <f>'Equities - by Ticker'!C12</f>
        <v/>
      </c>
      <c r="O65" s="26">
        <f>'Equities - by Ticker'!B12</f>
        <v/>
      </c>
      <c r="P65" s="68">
        <f>'Equities - by Ticker'!K12</f>
        <v/>
      </c>
    </row>
    <row r="66" ht="15" customHeight="1" s="54">
      <c r="N66" s="26">
        <f>'Equities - by Ticker'!C13</f>
        <v/>
      </c>
      <c r="O66" s="26">
        <f>'Equities - by Ticker'!B13</f>
        <v/>
      </c>
      <c r="P66" s="68">
        <f>'Equities - by Ticker'!K13</f>
        <v/>
      </c>
    </row>
    <row r="67" ht="15" customHeight="1" s="54">
      <c r="N67" s="26">
        <f>'Equities - by Ticker'!C14</f>
        <v/>
      </c>
      <c r="O67" s="26">
        <f>'Equities - by Ticker'!B14</f>
        <v/>
      </c>
      <c r="P67" s="68">
        <f>'Equities - by Ticker'!K14</f>
        <v/>
      </c>
    </row>
    <row r="68" ht="15" customHeight="1" s="54">
      <c r="N68" s="26">
        <f>'Equities - by Ticker'!C15</f>
        <v/>
      </c>
      <c r="O68" s="26">
        <f>'Equities - by Ticker'!B15</f>
        <v/>
      </c>
      <c r="P68" s="68">
        <f>'Equities - by Ticker'!K15</f>
        <v/>
      </c>
    </row>
    <row r="69" ht="15" customHeight="1" s="54">
      <c r="N69" s="26">
        <f>'Equities - by Ticker'!C16</f>
        <v/>
      </c>
      <c r="O69" s="26">
        <f>'Equities - by Ticker'!B16</f>
        <v/>
      </c>
      <c r="P69" s="68">
        <f>'Equities - by Ticker'!K16</f>
        <v/>
      </c>
    </row>
    <row r="70" ht="15" customHeight="1" s="54">
      <c r="N70" s="26">
        <f>'Equities - by Ticker'!C17</f>
        <v/>
      </c>
      <c r="O70" s="26">
        <f>'Equities - by Ticker'!B17</f>
        <v/>
      </c>
      <c r="P70" s="68">
        <f>'Equities - by Ticker'!K17</f>
        <v/>
      </c>
    </row>
    <row r="71" ht="15" customHeight="1" s="54">
      <c r="N71" s="26">
        <f>'Equities - by Ticker'!C18</f>
        <v/>
      </c>
      <c r="O71" s="26">
        <f>'Equities - by Ticker'!B18</f>
        <v/>
      </c>
      <c r="P71" s="68">
        <f>'Equities - by Ticker'!K18</f>
        <v/>
      </c>
    </row>
    <row r="72" ht="15" customHeight="1" s="54">
      <c r="N72" s="26">
        <f>'Equities - by Ticker'!C19</f>
        <v/>
      </c>
      <c r="O72" s="26">
        <f>'Equities - by Ticker'!B19</f>
        <v/>
      </c>
      <c r="P72" s="68">
        <f>'Equities - by Ticker'!K19</f>
        <v/>
      </c>
    </row>
    <row r="73" ht="15" customHeight="1" s="54">
      <c r="N73" s="26">
        <f>'Equities - by Ticker'!C20</f>
        <v/>
      </c>
      <c r="O73" s="26">
        <f>'Equities - by Ticker'!B20</f>
        <v/>
      </c>
      <c r="P73" s="68">
        <f>'Equities - by Ticker'!K20</f>
        <v/>
      </c>
    </row>
    <row r="74" ht="15" customHeight="1" s="54">
      <c r="N74" s="26">
        <f>'Equities - by Ticker'!C21</f>
        <v/>
      </c>
      <c r="O74" s="26">
        <f>'Equities - by Ticker'!B21</f>
        <v/>
      </c>
      <c r="P74" s="68">
        <f>'Equities - by Ticker'!K21</f>
        <v/>
      </c>
    </row>
    <row r="75" ht="15" customHeight="1" s="54">
      <c r="N75" s="26">
        <f>'Equities - by Ticker'!C22</f>
        <v/>
      </c>
      <c r="O75" s="26">
        <f>'Equities - by Ticker'!B22</f>
        <v/>
      </c>
      <c r="P75" s="68">
        <f>'Equities - by Ticker'!K22</f>
        <v/>
      </c>
    </row>
    <row r="76" ht="15" customHeight="1" s="54">
      <c r="N76" s="26">
        <f>'Equities - by Ticker'!C23</f>
        <v/>
      </c>
      <c r="O76" s="26">
        <f>'Equities - by Ticker'!B23</f>
        <v/>
      </c>
      <c r="P76" s="68">
        <f>'Equities - by Ticker'!K23</f>
        <v/>
      </c>
    </row>
    <row r="77" ht="15" customHeight="1" s="54">
      <c r="N77" s="26">
        <f>'Equities - by Ticker'!C24</f>
        <v/>
      </c>
      <c r="O77" s="26">
        <f>'Equities - by Ticker'!B24</f>
        <v/>
      </c>
      <c r="P77" s="68">
        <f>'Equities - by Ticker'!K24</f>
        <v/>
      </c>
    </row>
    <row r="78" ht="15" customHeight="1" s="54">
      <c r="N78" s="26">
        <f>'Equities - by Ticker'!C25</f>
        <v/>
      </c>
      <c r="O78" s="26">
        <f>'Equities - by Ticker'!B25</f>
        <v/>
      </c>
      <c r="P78" s="68">
        <f>'Equities - by Ticker'!K25</f>
        <v/>
      </c>
    </row>
    <row r="79" ht="15" customHeight="1" s="54">
      <c r="N79" s="26">
        <f>'Equities - by Ticker'!C26</f>
        <v/>
      </c>
      <c r="O79" s="26">
        <f>'Equities - by Ticker'!B26</f>
        <v/>
      </c>
      <c r="P79" s="68">
        <f>'Equities - by Ticker'!K26</f>
        <v/>
      </c>
    </row>
    <row r="80" ht="15" customHeight="1" s="54">
      <c r="N80" s="26">
        <f>'Equities - by Ticker'!C27</f>
        <v/>
      </c>
      <c r="O80" s="26">
        <f>'Equities - by Ticker'!B27</f>
        <v/>
      </c>
      <c r="P80" s="68">
        <f>'Equities - by Ticker'!K27</f>
        <v/>
      </c>
    </row>
    <row r="81" ht="15" customHeight="1" s="54">
      <c r="N81" s="26">
        <f>'Equities - by Ticker'!C28</f>
        <v/>
      </c>
      <c r="O81" s="26">
        <f>'Equities - by Ticker'!B28</f>
        <v/>
      </c>
      <c r="P81" s="68">
        <f>'Equities - by Ticker'!K28</f>
        <v/>
      </c>
    </row>
    <row r="82" ht="15" customHeight="1" s="54">
      <c r="N82" s="26">
        <f>'Equities - by Ticker'!C29</f>
        <v/>
      </c>
      <c r="O82" s="26">
        <f>'Equities - by Ticker'!B29</f>
        <v/>
      </c>
      <c r="P82" s="68">
        <f>'Equities - by Ticker'!K29</f>
        <v/>
      </c>
    </row>
    <row r="83" ht="15" customHeight="1" s="54">
      <c r="N83" s="26">
        <f>'Equities - by Ticker'!C30</f>
        <v/>
      </c>
      <c r="O83" s="26">
        <f>'Equities - by Ticker'!B30</f>
        <v/>
      </c>
      <c r="P83" s="68">
        <f>'Equities - by Ticker'!K30</f>
        <v/>
      </c>
    </row>
    <row r="84" ht="15" customHeight="1" s="54">
      <c r="N84" s="26">
        <f>'Equities - by Ticker'!C31</f>
        <v/>
      </c>
      <c r="O84" s="26">
        <f>'Equities - by Ticker'!B31</f>
        <v/>
      </c>
      <c r="P84" s="68">
        <f>'Equities - by Ticker'!K31</f>
        <v/>
      </c>
    </row>
    <row r="85" ht="15" customHeight="1" s="54">
      <c r="N85" s="26">
        <f>'Equities - by Ticker'!C32</f>
        <v/>
      </c>
      <c r="O85" s="26">
        <f>'Equities - by Ticker'!B32</f>
        <v/>
      </c>
      <c r="P85" s="68">
        <f>'Equities - by Ticker'!K32</f>
        <v/>
      </c>
    </row>
    <row r="86" ht="15" customHeight="1" s="54">
      <c r="N86" s="26">
        <f>'Equities - by Ticker'!C33</f>
        <v/>
      </c>
      <c r="O86" s="26">
        <f>'Equities - by Ticker'!B33</f>
        <v/>
      </c>
      <c r="P86" s="68">
        <f>'Equities - by Ticker'!K33</f>
        <v/>
      </c>
    </row>
    <row r="87" ht="15" customHeight="1" s="54">
      <c r="N87" s="26">
        <f>'Equities - by Ticker'!C34</f>
        <v/>
      </c>
      <c r="O87" s="26">
        <f>'Equities - by Ticker'!B34</f>
        <v/>
      </c>
      <c r="P87" s="68">
        <f>'Equities - by Ticker'!K34</f>
        <v/>
      </c>
    </row>
    <row r="88" ht="15" customHeight="1" s="54">
      <c r="N88" s="26">
        <f>'Equities - by Ticker'!C35</f>
        <v/>
      </c>
      <c r="O88" s="26">
        <f>'Equities - by Ticker'!B35</f>
        <v/>
      </c>
      <c r="P88" s="68">
        <f>'Equities - by Ticker'!K35</f>
        <v/>
      </c>
    </row>
    <row r="89" ht="15" customHeight="1" s="54">
      <c r="N89" s="26">
        <f>'Equities - by Ticker'!C36</f>
        <v/>
      </c>
      <c r="O89" s="26">
        <f>'Equities - by Ticker'!B36</f>
        <v/>
      </c>
      <c r="P89" s="68">
        <f>'Equities - by Ticker'!K36</f>
        <v/>
      </c>
    </row>
    <row r="90" ht="15" customHeight="1" s="54">
      <c r="N90" s="26">
        <f>'Equities - by Ticker'!C37</f>
        <v/>
      </c>
      <c r="O90" s="26">
        <f>'Equities - by Ticker'!B37</f>
        <v/>
      </c>
      <c r="P90" s="68">
        <f>'Equities - by Ticker'!K37</f>
        <v/>
      </c>
    </row>
    <row r="91" ht="15" customHeight="1" s="54">
      <c r="N91" s="26">
        <f>'Equities - by Ticker'!C38</f>
        <v/>
      </c>
      <c r="O91" s="26">
        <f>'Equities - by Ticker'!B38</f>
        <v/>
      </c>
      <c r="P91" s="68">
        <f>'Equities - by Ticker'!K38</f>
        <v/>
      </c>
    </row>
    <row r="92" ht="15" customHeight="1" s="54">
      <c r="N92" s="26">
        <f>'Equities - by Ticker'!C39</f>
        <v/>
      </c>
      <c r="O92" s="26">
        <f>'Equities - by Ticker'!B39</f>
        <v/>
      </c>
      <c r="P92" s="68">
        <f>'Equities - by Ticker'!K39</f>
        <v/>
      </c>
    </row>
    <row r="93" ht="15" customHeight="1" s="54">
      <c r="N93" s="26">
        <f>'Equities - by Ticker'!C40</f>
        <v/>
      </c>
      <c r="O93" s="26">
        <f>'Equities - by Ticker'!B40</f>
        <v/>
      </c>
      <c r="P93" s="68">
        <f>'Equities - by Ticker'!K40</f>
        <v/>
      </c>
    </row>
    <row r="94" ht="15" customHeight="1" s="54">
      <c r="N94" s="26">
        <f>'Equities - by Ticker'!C41</f>
        <v/>
      </c>
      <c r="O94" s="26">
        <f>'Equities - by Ticker'!B41</f>
        <v/>
      </c>
      <c r="P94" s="68">
        <f>'Equities - by Ticker'!K41</f>
        <v/>
      </c>
    </row>
    <row r="95" ht="15" customHeight="1" s="54">
      <c r="N95" s="26">
        <f>'Equities - by Ticker'!C42</f>
        <v/>
      </c>
      <c r="O95" s="26">
        <f>'Equities - by Ticker'!B42</f>
        <v/>
      </c>
      <c r="P95" s="68">
        <f>'Equities - by Ticker'!K42</f>
        <v/>
      </c>
    </row>
    <row r="96" ht="15" customHeight="1" s="54">
      <c r="N96" s="26">
        <f>'Equities - by Ticker'!C43</f>
        <v/>
      </c>
      <c r="O96" s="26">
        <f>'Equities - by Ticker'!B43</f>
        <v/>
      </c>
      <c r="P96" s="68">
        <f>'Equities - by Ticker'!K43</f>
        <v/>
      </c>
    </row>
    <row r="97" ht="15" customHeight="1" s="54">
      <c r="N97" s="26">
        <f>'Crypto - by Coin'!C5</f>
        <v/>
      </c>
      <c r="O97" s="26">
        <f>'Crypto - by Coin'!B5</f>
        <v/>
      </c>
      <c r="P97" s="68">
        <f>'Crypto - by Coin'!I5</f>
        <v/>
      </c>
    </row>
    <row r="98" ht="15" customHeight="1" s="54">
      <c r="N98" s="26">
        <f>'Crypto - by Coin'!C6</f>
        <v/>
      </c>
      <c r="O98" s="26">
        <f>'Crypto - by Coin'!B6</f>
        <v/>
      </c>
      <c r="P98" s="68">
        <f>'Crypto - by Coin'!I6</f>
        <v/>
      </c>
    </row>
    <row r="99" ht="15" customHeight="1" s="54">
      <c r="N99" s="26">
        <f>'Crypto - by Coin'!C7</f>
        <v/>
      </c>
      <c r="O99" s="26">
        <f>'Crypto - by Coin'!B7</f>
        <v/>
      </c>
      <c r="P99" s="68">
        <f>'Crypto - by Coin'!I7</f>
        <v/>
      </c>
    </row>
    <row r="100" ht="15" customHeight="1" s="54">
      <c r="N100" s="26">
        <f>'Crypto - by Coin'!C8</f>
        <v/>
      </c>
      <c r="O100" s="26">
        <f>'Crypto - by Coin'!B8</f>
        <v/>
      </c>
      <c r="P100" s="68">
        <f>'Crypto - by Coin'!I8</f>
        <v/>
      </c>
    </row>
    <row r="101" ht="15" customHeight="1" s="54">
      <c r="N101" s="26">
        <f>'Crypto - by Coin'!C9</f>
        <v/>
      </c>
      <c r="O101" s="26">
        <f>'Crypto - by Coin'!B9</f>
        <v/>
      </c>
      <c r="P101" s="68">
        <f>'Crypto - by Coin'!I9</f>
        <v/>
      </c>
    </row>
    <row r="102" ht="15" customHeight="1" s="54">
      <c r="N102" s="26">
        <f>'Crypto - by Coin'!C10</f>
        <v/>
      </c>
      <c r="O102" s="26">
        <f>'Crypto - by Coin'!B10</f>
        <v/>
      </c>
      <c r="P102" s="68">
        <f>'Crypto - by Coin'!I10</f>
        <v/>
      </c>
    </row>
    <row r="103" ht="15" customHeight="1" s="54">
      <c r="N103" s="26">
        <f>'Crypto - by Coin'!C11</f>
        <v/>
      </c>
      <c r="O103" s="26">
        <f>'Crypto - by Coin'!B11</f>
        <v/>
      </c>
      <c r="P103" s="68">
        <f>'Crypto - by Coin'!I11</f>
        <v/>
      </c>
    </row>
    <row r="104" ht="15" customHeight="1" s="54">
      <c r="N104" s="26">
        <f>'Crypto - by Coin'!C12</f>
        <v/>
      </c>
      <c r="O104" s="26">
        <f>'Crypto - by Coin'!B12</f>
        <v/>
      </c>
      <c r="P104" s="68">
        <f>'Crypto - by Coin'!I12</f>
        <v/>
      </c>
    </row>
    <row r="105" ht="15" customHeight="1" s="54">
      <c r="N105" s="26">
        <f>'Crypto - by Coin'!C13</f>
        <v/>
      </c>
      <c r="O105" s="26">
        <f>'Crypto - by Coin'!B13</f>
        <v/>
      </c>
      <c r="P105" s="68">
        <f>'Crypto - by Coin'!I13</f>
        <v/>
      </c>
    </row>
    <row r="106" ht="15" customHeight="1" s="54">
      <c r="N106" s="26">
        <f>'Crypto - by Coin'!C14</f>
        <v/>
      </c>
      <c r="O106" s="26">
        <f>'Crypto - by Coin'!B14</f>
        <v/>
      </c>
      <c r="P106" s="68">
        <f>'Crypto - by Coin'!I14</f>
        <v/>
      </c>
    </row>
    <row r="107" ht="15" customHeight="1" s="54">
      <c r="N107" s="26">
        <f>'Crypto - by Coin'!C15</f>
        <v/>
      </c>
      <c r="O107" s="26">
        <f>'Crypto - by Coin'!B15</f>
        <v/>
      </c>
      <c r="P107" s="68">
        <f>'Crypto - by Coin'!I15</f>
        <v/>
      </c>
    </row>
    <row r="108" ht="15" customHeight="1" s="54">
      <c r="N108" s="26">
        <f>'Crypto - by Coin'!C16</f>
        <v/>
      </c>
      <c r="O108" s="26">
        <f>'Crypto - by Coin'!B16</f>
        <v/>
      </c>
      <c r="P108" s="68">
        <f>'Crypto - by Coin'!I16</f>
        <v/>
      </c>
    </row>
    <row r="109" ht="15" customHeight="1" s="54">
      <c r="N109" s="26">
        <f>'Crypto - by Coin'!C17</f>
        <v/>
      </c>
      <c r="O109" s="26">
        <f>'Crypto - by Coin'!B17</f>
        <v/>
      </c>
      <c r="P109" s="68">
        <f>'Crypto - by Coin'!I17</f>
        <v/>
      </c>
    </row>
    <row r="110" ht="15" customHeight="1" s="54">
      <c r="N110" s="26">
        <f>'Crypto - by Coin'!C18</f>
        <v/>
      </c>
      <c r="O110" s="26">
        <f>'Crypto - by Coin'!B18</f>
        <v/>
      </c>
      <c r="P110" s="68">
        <f>'Crypto - by Coin'!I18</f>
        <v/>
      </c>
    </row>
    <row r="111" ht="15" customHeight="1" s="54">
      <c r="N111" s="26">
        <f>'Crypto - by Coin'!C19</f>
        <v/>
      </c>
      <c r="O111" s="26">
        <f>'Crypto - by Coin'!B19</f>
        <v/>
      </c>
      <c r="P111" s="68">
        <f>'Crypto - by Coin'!I19</f>
        <v/>
      </c>
    </row>
    <row r="112" ht="15" customHeight="1" s="54">
      <c r="N112" s="26">
        <f>'Crypto - by Coin'!C20</f>
        <v/>
      </c>
      <c r="O112" s="26">
        <f>'Crypto - by Coin'!B20</f>
        <v/>
      </c>
      <c r="P112" s="68">
        <f>'Crypto - by Coin'!I20</f>
        <v/>
      </c>
    </row>
    <row r="113" ht="15" customHeight="1" s="54">
      <c r="N113" s="26">
        <f>'Crypto - by Coin'!C21</f>
        <v/>
      </c>
      <c r="O113" s="26">
        <f>'Crypto - by Coin'!B21</f>
        <v/>
      </c>
      <c r="P113" s="68">
        <f>'Crypto - by Coin'!I21</f>
        <v/>
      </c>
    </row>
    <row r="114" ht="15" customHeight="1" s="54">
      <c r="N114" s="26">
        <f>'Crypto - by Coin'!C22</f>
        <v/>
      </c>
      <c r="O114" s="26">
        <f>'Crypto - by Coin'!B22</f>
        <v/>
      </c>
      <c r="P114" s="68">
        <f>'Crypto - by Coin'!I22</f>
        <v/>
      </c>
    </row>
    <row r="115" ht="15" customHeight="1" s="54">
      <c r="N115" s="26">
        <f>'Crypto - by Coin'!C23</f>
        <v/>
      </c>
      <c r="O115" s="26">
        <f>'Crypto - by Coin'!B23</f>
        <v/>
      </c>
      <c r="P115" s="68">
        <f>'Crypto - by Coin'!I23</f>
        <v/>
      </c>
    </row>
    <row r="116" ht="15" customHeight="1" s="54">
      <c r="N116" s="26">
        <f>'Crypto - by Coin'!C24</f>
        <v/>
      </c>
      <c r="O116" s="26">
        <f>'Crypto - by Coin'!B24</f>
        <v/>
      </c>
      <c r="P116" s="68">
        <f>'Crypto - by Coin'!I24</f>
        <v/>
      </c>
    </row>
    <row r="117" ht="15" customHeight="1" s="54">
      <c r="N117" s="26">
        <f>'Crypto - by Coin'!C25</f>
        <v/>
      </c>
      <c r="O117" s="26">
        <f>'Crypto - by Coin'!B25</f>
        <v/>
      </c>
      <c r="P117" s="68">
        <f>'Crypto - by Coin'!I25</f>
        <v/>
      </c>
    </row>
    <row r="118" ht="15" customHeight="1" s="54">
      <c r="N118" s="26">
        <f>'Crypto - by Coin'!C26</f>
        <v/>
      </c>
      <c r="O118" s="26">
        <f>'Crypto - by Coin'!B26</f>
        <v/>
      </c>
      <c r="P118" s="68">
        <f>'Crypto - by Coin'!I26</f>
        <v/>
      </c>
    </row>
    <row r="119" ht="15" customHeight="1" s="54">
      <c r="N119" s="26">
        <f>'Crypto - by Coin'!C27</f>
        <v/>
      </c>
      <c r="O119" s="26">
        <f>'Crypto - by Coin'!B27</f>
        <v/>
      </c>
      <c r="P119" s="68">
        <f>'Crypto - by Coin'!I27</f>
        <v/>
      </c>
    </row>
    <row r="120" ht="15" customHeight="1" s="54">
      <c r="N120" s="26">
        <f>'Crypto - by Coin'!C28</f>
        <v/>
      </c>
      <c r="O120" s="26">
        <f>'Crypto - by Coin'!B28</f>
        <v/>
      </c>
      <c r="P120" s="68">
        <f>'Crypto - by Coin'!I28</f>
        <v/>
      </c>
    </row>
  </sheetData>
  <mergeCells count="19">
    <mergeCell ref="B11:D11"/>
    <mergeCell ref="H26:L26"/>
    <mergeCell ref="B8:D8"/>
    <mergeCell ref="F8:H8"/>
    <mergeCell ref="J11:L11"/>
    <mergeCell ref="B10:D10"/>
    <mergeCell ref="J7:L7"/>
    <mergeCell ref="B39:L39"/>
    <mergeCell ref="B2:L2"/>
    <mergeCell ref="B14:F14"/>
    <mergeCell ref="J8:L8"/>
    <mergeCell ref="B7:D7"/>
    <mergeCell ref="F11:H11"/>
    <mergeCell ref="F10:H10"/>
    <mergeCell ref="J10:L10"/>
    <mergeCell ref="B5:L5"/>
    <mergeCell ref="H14:L14"/>
    <mergeCell ref="F7:H7"/>
    <mergeCell ref="B26:F26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0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8.6640625" defaultRowHeight="15"/>
  <cols>
    <col width="3" customWidth="1" style="54" min="1" max="1"/>
    <col width="14" customWidth="1" style="54" min="2" max="2"/>
    <col width="16" customWidth="1" style="54" min="3" max="3"/>
    <col width="18" customWidth="1" style="54" min="4" max="5"/>
    <col width="16" customWidth="1" style="54" min="6" max="6"/>
    <col width="14" customWidth="1" style="54" min="7" max="12"/>
  </cols>
  <sheetData>
    <row r="2" ht="30" customHeight="1" s="54">
      <c r="B2" s="9" t="inlineStr">
        <is>
          <t>WEEKLY SNAPSHOT LOG</t>
        </is>
      </c>
    </row>
    <row r="3" ht="19.5" customHeight="1" s="54">
      <c r="B3" s="32" t="inlineStr">
        <is>
          <t>Row 5 shows the live current-week snapshot. Each Friday, copy row 5 (values only) into the next empty row below to preserve history.</t>
        </is>
      </c>
    </row>
    <row r="4" ht="31.5" customHeight="1" s="54">
      <c r="B4" s="15" t="inlineStr">
        <is>
          <t>Date</t>
        </is>
      </c>
      <c r="C4" s="15" t="inlineStr">
        <is>
          <t>Total Value</t>
        </is>
      </c>
      <c r="D4" s="15" t="inlineStr">
        <is>
          <t>Total Invested</t>
        </is>
      </c>
      <c r="E4" s="15" t="inlineStr">
        <is>
          <t>Unrealized P&amp;L</t>
        </is>
      </c>
      <c r="F4" s="15" t="inlineStr">
        <is>
          <t>P&amp;L %</t>
        </is>
      </c>
      <c r="G4" s="15" t="inlineStr">
        <is>
          <t>MF Value</t>
        </is>
      </c>
      <c r="H4" s="15" t="inlineStr">
        <is>
          <t>EQ Value</t>
        </is>
      </c>
      <c r="I4" s="15" t="inlineStr">
        <is>
          <t>Crypto Value</t>
        </is>
      </c>
      <c r="J4" s="15" t="inlineStr">
        <is>
          <t>USDTHB</t>
        </is>
      </c>
      <c r="K4" s="15" t="inlineStr">
        <is>
          <t>Notes</t>
        </is>
      </c>
    </row>
    <row r="5" ht="21.75" customHeight="1" s="54">
      <c r="B5" s="71">
        <f>AsOfDate</f>
        <v/>
      </c>
      <c r="C5" s="63">
        <f>'MF - Lots'!P165+'Equities - Lots'!M46+'Crypto - Lots'!K31</f>
        <v/>
      </c>
      <c r="D5" s="63">
        <f>'MF - Lots'!O165+'Equities - Lots'!L46+'Crypto - Lots'!J31</f>
        <v/>
      </c>
      <c r="E5" s="63">
        <f>C5-D5</f>
        <v/>
      </c>
      <c r="F5" s="72">
        <f>IFERROR(E5/D5,0)</f>
        <v/>
      </c>
      <c r="G5" s="63">
        <f>'MF - Lots'!P165</f>
        <v/>
      </c>
      <c r="H5" s="63">
        <f>'Equities - Lots'!M46</f>
        <v/>
      </c>
      <c r="I5" s="63">
        <f>'Crypto - Lots'!K31</f>
        <v/>
      </c>
      <c r="J5" s="73">
        <f>FXRate</f>
        <v/>
      </c>
      <c r="K5" s="32" t="inlineStr">
        <is>
          <t>Live (current workbook state)</t>
        </is>
      </c>
    </row>
    <row r="6" ht="15" customHeight="1" s="54">
      <c r="B6" s="74" t="n"/>
      <c r="C6" s="75" t="n"/>
      <c r="D6" s="75" t="n"/>
      <c r="E6" s="75" t="n"/>
      <c r="F6" s="76" t="n"/>
      <c r="G6" s="75" t="n"/>
      <c r="H6" s="75" t="n"/>
      <c r="I6" s="75" t="n"/>
      <c r="J6" s="77" t="n"/>
      <c r="K6" s="40" t="n"/>
    </row>
    <row r="7" ht="15" customHeight="1" s="54">
      <c r="B7" s="74" t="n"/>
      <c r="C7" s="75" t="n"/>
      <c r="D7" s="75" t="n"/>
      <c r="E7" s="75" t="n"/>
      <c r="F7" s="76" t="n"/>
      <c r="G7" s="75" t="n"/>
      <c r="H7" s="75" t="n"/>
      <c r="I7" s="75" t="n"/>
      <c r="J7" s="77" t="n"/>
      <c r="K7" s="40" t="n"/>
    </row>
    <row r="8" ht="15" customHeight="1" s="54">
      <c r="B8" s="74" t="n"/>
      <c r="C8" s="75" t="n"/>
      <c r="D8" s="75" t="n"/>
      <c r="E8" s="75" t="n"/>
      <c r="F8" s="76" t="n"/>
      <c r="G8" s="75" t="n"/>
      <c r="H8" s="75" t="n"/>
      <c r="I8" s="75" t="n"/>
      <c r="J8" s="77" t="n"/>
      <c r="K8" s="40" t="n"/>
    </row>
    <row r="9" ht="15" customHeight="1" s="54">
      <c r="B9" s="74" t="n"/>
      <c r="C9" s="75" t="n"/>
      <c r="D9" s="75" t="n"/>
      <c r="E9" s="75" t="n"/>
      <c r="F9" s="76" t="n"/>
      <c r="G9" s="75" t="n"/>
      <c r="H9" s="75" t="n"/>
      <c r="I9" s="75" t="n"/>
      <c r="J9" s="77" t="n"/>
      <c r="K9" s="40" t="n"/>
    </row>
    <row r="10" ht="15" customHeight="1" s="54">
      <c r="B10" s="74" t="n"/>
      <c r="C10" s="75" t="n"/>
      <c r="D10" s="75" t="n"/>
      <c r="E10" s="75" t="n"/>
      <c r="F10" s="76" t="n"/>
      <c r="G10" s="75" t="n"/>
      <c r="H10" s="75" t="n"/>
      <c r="I10" s="75" t="n"/>
      <c r="J10" s="77" t="n"/>
      <c r="K10" s="40" t="n"/>
    </row>
    <row r="11" ht="15" customHeight="1" s="54">
      <c r="B11" s="74" t="n"/>
      <c r="C11" s="75" t="n"/>
      <c r="D11" s="75" t="n"/>
      <c r="E11" s="75" t="n"/>
      <c r="F11" s="76" t="n"/>
      <c r="G11" s="75" t="n"/>
      <c r="H11" s="75" t="n"/>
      <c r="I11" s="75" t="n"/>
      <c r="J11" s="77" t="n"/>
      <c r="K11" s="40" t="n"/>
    </row>
    <row r="12" ht="15" customHeight="1" s="54">
      <c r="B12" s="74" t="n"/>
      <c r="C12" s="75" t="n"/>
      <c r="D12" s="75" t="n"/>
      <c r="E12" s="75" t="n"/>
      <c r="F12" s="76" t="n"/>
      <c r="G12" s="75" t="n"/>
      <c r="H12" s="75" t="n"/>
      <c r="I12" s="75" t="n"/>
      <c r="J12" s="77" t="n"/>
      <c r="K12" s="40" t="n"/>
    </row>
    <row r="13" ht="15" customHeight="1" s="54">
      <c r="B13" s="74" t="n"/>
      <c r="C13" s="75" t="n"/>
      <c r="D13" s="75" t="n"/>
      <c r="E13" s="75" t="n"/>
      <c r="F13" s="76" t="n"/>
      <c r="G13" s="75" t="n"/>
      <c r="H13" s="75" t="n"/>
      <c r="I13" s="75" t="n"/>
      <c r="J13" s="77" t="n"/>
      <c r="K13" s="40" t="n"/>
    </row>
    <row r="14" ht="15" customHeight="1" s="54">
      <c r="B14" s="74" t="n"/>
      <c r="C14" s="75" t="n"/>
      <c r="D14" s="75" t="n"/>
      <c r="E14" s="75" t="n"/>
      <c r="F14" s="76" t="n"/>
      <c r="G14" s="75" t="n"/>
      <c r="H14" s="75" t="n"/>
      <c r="I14" s="75" t="n"/>
      <c r="J14" s="77" t="n"/>
      <c r="K14" s="40" t="n"/>
    </row>
    <row r="15" ht="15" customHeight="1" s="54">
      <c r="B15" s="74" t="n"/>
      <c r="C15" s="75" t="n"/>
      <c r="D15" s="75" t="n"/>
      <c r="E15" s="75" t="n"/>
      <c r="F15" s="76" t="n"/>
      <c r="G15" s="75" t="n"/>
      <c r="H15" s="75" t="n"/>
      <c r="I15" s="75" t="n"/>
      <c r="J15" s="77" t="n"/>
      <c r="K15" s="40" t="n"/>
    </row>
    <row r="16" ht="15" customHeight="1" s="54">
      <c r="B16" s="74" t="n"/>
      <c r="C16" s="75" t="n"/>
      <c r="D16" s="75" t="n"/>
      <c r="E16" s="75" t="n"/>
      <c r="F16" s="76" t="n"/>
      <c r="G16" s="75" t="n"/>
      <c r="H16" s="75" t="n"/>
      <c r="I16" s="75" t="n"/>
      <c r="J16" s="77" t="n"/>
      <c r="K16" s="40" t="n"/>
    </row>
    <row r="17" ht="15" customHeight="1" s="54">
      <c r="B17" s="74" t="n"/>
      <c r="C17" s="75" t="n"/>
      <c r="D17" s="75" t="n"/>
      <c r="E17" s="75" t="n"/>
      <c r="F17" s="76" t="n"/>
      <c r="G17" s="75" t="n"/>
      <c r="H17" s="75" t="n"/>
      <c r="I17" s="75" t="n"/>
      <c r="J17" s="77" t="n"/>
      <c r="K17" s="40" t="n"/>
    </row>
    <row r="18" ht="15" customHeight="1" s="54">
      <c r="B18" s="74" t="n"/>
      <c r="C18" s="75" t="n"/>
      <c r="D18" s="75" t="n"/>
      <c r="E18" s="75" t="n"/>
      <c r="F18" s="76" t="n"/>
      <c r="G18" s="75" t="n"/>
      <c r="H18" s="75" t="n"/>
      <c r="I18" s="75" t="n"/>
      <c r="J18" s="77" t="n"/>
      <c r="K18" s="40" t="n"/>
    </row>
    <row r="19" ht="15" customHeight="1" s="54">
      <c r="B19" s="74" t="n"/>
      <c r="C19" s="75" t="n"/>
      <c r="D19" s="75" t="n"/>
      <c r="E19" s="75" t="n"/>
      <c r="F19" s="76" t="n"/>
      <c r="G19" s="75" t="n"/>
      <c r="H19" s="75" t="n"/>
      <c r="I19" s="75" t="n"/>
      <c r="J19" s="77" t="n"/>
      <c r="K19" s="40" t="n"/>
    </row>
    <row r="20" ht="15" customHeight="1" s="54">
      <c r="B20" s="74" t="n"/>
      <c r="C20" s="75" t="n"/>
      <c r="D20" s="75" t="n"/>
      <c r="E20" s="75" t="n"/>
      <c r="F20" s="76" t="n"/>
      <c r="G20" s="75" t="n"/>
      <c r="H20" s="75" t="n"/>
      <c r="I20" s="75" t="n"/>
      <c r="J20" s="77" t="n"/>
      <c r="K20" s="40" t="n"/>
    </row>
    <row r="21" ht="15" customHeight="1" s="54">
      <c r="B21" s="74" t="n"/>
      <c r="C21" s="75" t="n"/>
      <c r="D21" s="75" t="n"/>
      <c r="E21" s="75" t="n"/>
      <c r="F21" s="76" t="n"/>
      <c r="G21" s="75" t="n"/>
      <c r="H21" s="75" t="n"/>
      <c r="I21" s="75" t="n"/>
      <c r="J21" s="77" t="n"/>
      <c r="K21" s="40" t="n"/>
    </row>
    <row r="22" ht="15" customHeight="1" s="54">
      <c r="B22" s="74" t="n"/>
      <c r="C22" s="75" t="n"/>
      <c r="D22" s="75" t="n"/>
      <c r="E22" s="75" t="n"/>
      <c r="F22" s="76" t="n"/>
      <c r="G22" s="75" t="n"/>
      <c r="H22" s="75" t="n"/>
      <c r="I22" s="75" t="n"/>
      <c r="J22" s="77" t="n"/>
      <c r="K22" s="40" t="n"/>
    </row>
    <row r="23" ht="15" customHeight="1" s="54">
      <c r="B23" s="74" t="n"/>
      <c r="C23" s="75" t="n"/>
      <c r="D23" s="75" t="n"/>
      <c r="E23" s="75" t="n"/>
      <c r="F23" s="76" t="n"/>
      <c r="G23" s="75" t="n"/>
      <c r="H23" s="75" t="n"/>
      <c r="I23" s="75" t="n"/>
      <c r="J23" s="77" t="n"/>
      <c r="K23" s="40" t="n"/>
    </row>
    <row r="24" ht="15" customHeight="1" s="54">
      <c r="B24" s="74" t="n"/>
      <c r="C24" s="75" t="n"/>
      <c r="D24" s="75" t="n"/>
      <c r="E24" s="75" t="n"/>
      <c r="F24" s="76" t="n"/>
      <c r="G24" s="75" t="n"/>
      <c r="H24" s="75" t="n"/>
      <c r="I24" s="75" t="n"/>
      <c r="J24" s="77" t="n"/>
      <c r="K24" s="40" t="n"/>
    </row>
    <row r="25" ht="15" customHeight="1" s="54">
      <c r="B25" s="74" t="n"/>
      <c r="C25" s="75" t="n"/>
      <c r="D25" s="75" t="n"/>
      <c r="E25" s="75" t="n"/>
      <c r="F25" s="76" t="n"/>
      <c r="G25" s="75" t="n"/>
      <c r="H25" s="75" t="n"/>
      <c r="I25" s="75" t="n"/>
      <c r="J25" s="77" t="n"/>
      <c r="K25" s="40" t="n"/>
    </row>
    <row r="26" ht="15" customHeight="1" s="54">
      <c r="B26" s="74" t="n"/>
      <c r="C26" s="75" t="n"/>
      <c r="D26" s="75" t="n"/>
      <c r="E26" s="75" t="n"/>
      <c r="F26" s="76" t="n"/>
      <c r="G26" s="75" t="n"/>
      <c r="H26" s="75" t="n"/>
      <c r="I26" s="75" t="n"/>
      <c r="J26" s="77" t="n"/>
      <c r="K26" s="40" t="n"/>
    </row>
    <row r="27" ht="15" customHeight="1" s="54">
      <c r="B27" s="74" t="n"/>
      <c r="C27" s="75" t="n"/>
      <c r="D27" s="75" t="n"/>
      <c r="E27" s="75" t="n"/>
      <c r="F27" s="76" t="n"/>
      <c r="G27" s="75" t="n"/>
      <c r="H27" s="75" t="n"/>
      <c r="I27" s="75" t="n"/>
      <c r="J27" s="77" t="n"/>
      <c r="K27" s="40" t="n"/>
    </row>
    <row r="28" ht="15" customHeight="1" s="54">
      <c r="B28" s="74" t="n"/>
      <c r="C28" s="75" t="n"/>
      <c r="D28" s="75" t="n"/>
      <c r="E28" s="75" t="n"/>
      <c r="F28" s="76" t="n"/>
      <c r="G28" s="75" t="n"/>
      <c r="H28" s="75" t="n"/>
      <c r="I28" s="75" t="n"/>
      <c r="J28" s="77" t="n"/>
      <c r="K28" s="40" t="n"/>
    </row>
    <row r="29" ht="15" customHeight="1" s="54">
      <c r="B29" s="74" t="n"/>
      <c r="C29" s="75" t="n"/>
      <c r="D29" s="75" t="n"/>
      <c r="E29" s="75" t="n"/>
      <c r="F29" s="76" t="n"/>
      <c r="G29" s="75" t="n"/>
      <c r="H29" s="75" t="n"/>
      <c r="I29" s="75" t="n"/>
      <c r="J29" s="77" t="n"/>
      <c r="K29" s="40" t="n"/>
    </row>
    <row r="30" ht="15" customHeight="1" s="54">
      <c r="B30" s="74" t="n"/>
      <c r="C30" s="75" t="n"/>
      <c r="D30" s="75" t="n"/>
      <c r="E30" s="75" t="n"/>
      <c r="F30" s="76" t="n"/>
      <c r="G30" s="75" t="n"/>
      <c r="H30" s="75" t="n"/>
      <c r="I30" s="75" t="n"/>
      <c r="J30" s="77" t="n"/>
      <c r="K30" s="40" t="n"/>
    </row>
    <row r="31" ht="15" customHeight="1" s="54">
      <c r="B31" s="74" t="n"/>
      <c r="C31" s="75" t="n"/>
      <c r="D31" s="75" t="n"/>
      <c r="E31" s="75" t="n"/>
      <c r="F31" s="76" t="n"/>
      <c r="G31" s="75" t="n"/>
      <c r="H31" s="75" t="n"/>
      <c r="I31" s="75" t="n"/>
      <c r="J31" s="77" t="n"/>
      <c r="K31" s="40" t="n"/>
    </row>
    <row r="32" ht="15" customHeight="1" s="54">
      <c r="B32" s="74" t="n"/>
      <c r="C32" s="75" t="n"/>
      <c r="D32" s="75" t="n"/>
      <c r="E32" s="75" t="n"/>
      <c r="F32" s="76" t="n"/>
      <c r="G32" s="75" t="n"/>
      <c r="H32" s="75" t="n"/>
      <c r="I32" s="75" t="n"/>
      <c r="J32" s="77" t="n"/>
      <c r="K32" s="40" t="n"/>
    </row>
    <row r="33" ht="15" customHeight="1" s="54">
      <c r="B33" s="74" t="n"/>
      <c r="C33" s="75" t="n"/>
      <c r="D33" s="75" t="n"/>
      <c r="E33" s="75" t="n"/>
      <c r="F33" s="76" t="n"/>
      <c r="G33" s="75" t="n"/>
      <c r="H33" s="75" t="n"/>
      <c r="I33" s="75" t="n"/>
      <c r="J33" s="77" t="n"/>
      <c r="K33" s="40" t="n"/>
    </row>
    <row r="34" ht="15" customHeight="1" s="54">
      <c r="B34" s="74" t="n"/>
      <c r="C34" s="75" t="n"/>
      <c r="D34" s="75" t="n"/>
      <c r="E34" s="75" t="n"/>
      <c r="F34" s="76" t="n"/>
      <c r="G34" s="75" t="n"/>
      <c r="H34" s="75" t="n"/>
      <c r="I34" s="75" t="n"/>
      <c r="J34" s="77" t="n"/>
      <c r="K34" s="40" t="n"/>
    </row>
    <row r="35" ht="15" customHeight="1" s="54">
      <c r="B35" s="74" t="n"/>
      <c r="C35" s="75" t="n"/>
      <c r="D35" s="75" t="n"/>
      <c r="E35" s="75" t="n"/>
      <c r="F35" s="76" t="n"/>
      <c r="G35" s="75" t="n"/>
      <c r="H35" s="75" t="n"/>
      <c r="I35" s="75" t="n"/>
      <c r="J35" s="77" t="n"/>
      <c r="K35" s="40" t="n"/>
    </row>
    <row r="36" ht="15" customHeight="1" s="54">
      <c r="B36" s="74" t="n"/>
      <c r="C36" s="75" t="n"/>
      <c r="D36" s="75" t="n"/>
      <c r="E36" s="75" t="n"/>
      <c r="F36" s="76" t="n"/>
      <c r="G36" s="75" t="n"/>
      <c r="H36" s="75" t="n"/>
      <c r="I36" s="75" t="n"/>
      <c r="J36" s="77" t="n"/>
      <c r="K36" s="40" t="n"/>
    </row>
    <row r="37" ht="15" customHeight="1" s="54">
      <c r="B37" s="74" t="n"/>
      <c r="C37" s="75" t="n"/>
      <c r="D37" s="75" t="n"/>
      <c r="E37" s="75" t="n"/>
      <c r="F37" s="76" t="n"/>
      <c r="G37" s="75" t="n"/>
      <c r="H37" s="75" t="n"/>
      <c r="I37" s="75" t="n"/>
      <c r="J37" s="77" t="n"/>
      <c r="K37" s="40" t="n"/>
    </row>
    <row r="38" ht="15" customHeight="1" s="54">
      <c r="B38" s="74" t="n"/>
      <c r="C38" s="75" t="n"/>
      <c r="D38" s="75" t="n"/>
      <c r="E38" s="75" t="n"/>
      <c r="F38" s="76" t="n"/>
      <c r="G38" s="75" t="n"/>
      <c r="H38" s="75" t="n"/>
      <c r="I38" s="75" t="n"/>
      <c r="J38" s="77" t="n"/>
      <c r="K38" s="40" t="n"/>
    </row>
    <row r="39" ht="15" customHeight="1" s="54">
      <c r="B39" s="74" t="n"/>
      <c r="C39" s="75" t="n"/>
      <c r="D39" s="75" t="n"/>
      <c r="E39" s="75" t="n"/>
      <c r="F39" s="76" t="n"/>
      <c r="G39" s="75" t="n"/>
      <c r="H39" s="75" t="n"/>
      <c r="I39" s="75" t="n"/>
      <c r="J39" s="77" t="n"/>
      <c r="K39" s="40" t="n"/>
    </row>
    <row r="40" ht="15" customHeight="1" s="54">
      <c r="B40" s="74" t="n"/>
      <c r="C40" s="75" t="n"/>
      <c r="D40" s="75" t="n"/>
      <c r="E40" s="75" t="n"/>
      <c r="F40" s="76" t="n"/>
      <c r="G40" s="75" t="n"/>
      <c r="H40" s="75" t="n"/>
      <c r="I40" s="75" t="n"/>
      <c r="J40" s="77" t="n"/>
      <c r="K40" s="40" t="n"/>
    </row>
    <row r="41" ht="15" customHeight="1" s="54">
      <c r="B41" s="74" t="n"/>
      <c r="C41" s="75" t="n"/>
      <c r="D41" s="75" t="n"/>
      <c r="E41" s="75" t="n"/>
      <c r="F41" s="76" t="n"/>
      <c r="G41" s="75" t="n"/>
      <c r="H41" s="75" t="n"/>
      <c r="I41" s="75" t="n"/>
      <c r="J41" s="77" t="n"/>
      <c r="K41" s="40" t="n"/>
    </row>
    <row r="42" ht="15" customHeight="1" s="54">
      <c r="B42" s="74" t="n"/>
      <c r="C42" s="75" t="n"/>
      <c r="D42" s="75" t="n"/>
      <c r="E42" s="75" t="n"/>
      <c r="F42" s="76" t="n"/>
      <c r="G42" s="75" t="n"/>
      <c r="H42" s="75" t="n"/>
      <c r="I42" s="75" t="n"/>
      <c r="J42" s="77" t="n"/>
      <c r="K42" s="40" t="n"/>
    </row>
    <row r="43" ht="15" customHeight="1" s="54">
      <c r="B43" s="74" t="n"/>
      <c r="C43" s="75" t="n"/>
      <c r="D43" s="75" t="n"/>
      <c r="E43" s="75" t="n"/>
      <c r="F43" s="76" t="n"/>
      <c r="G43" s="75" t="n"/>
      <c r="H43" s="75" t="n"/>
      <c r="I43" s="75" t="n"/>
      <c r="J43" s="77" t="n"/>
      <c r="K43" s="40" t="n"/>
    </row>
    <row r="44" ht="15" customHeight="1" s="54">
      <c r="B44" s="74" t="n"/>
      <c r="C44" s="75" t="n"/>
      <c r="D44" s="75" t="n"/>
      <c r="E44" s="75" t="n"/>
      <c r="F44" s="76" t="n"/>
      <c r="G44" s="75" t="n"/>
      <c r="H44" s="75" t="n"/>
      <c r="I44" s="75" t="n"/>
      <c r="J44" s="77" t="n"/>
      <c r="K44" s="40" t="n"/>
    </row>
    <row r="45" ht="15" customHeight="1" s="54">
      <c r="B45" s="74" t="n"/>
      <c r="C45" s="75" t="n"/>
      <c r="D45" s="75" t="n"/>
      <c r="E45" s="75" t="n"/>
      <c r="F45" s="76" t="n"/>
      <c r="G45" s="75" t="n"/>
      <c r="H45" s="75" t="n"/>
      <c r="I45" s="75" t="n"/>
      <c r="J45" s="77" t="n"/>
      <c r="K45" s="40" t="n"/>
    </row>
    <row r="46" ht="15" customHeight="1" s="54">
      <c r="B46" s="74" t="n"/>
      <c r="C46" s="75" t="n"/>
      <c r="D46" s="75" t="n"/>
      <c r="E46" s="75" t="n"/>
      <c r="F46" s="76" t="n"/>
      <c r="G46" s="75" t="n"/>
      <c r="H46" s="75" t="n"/>
      <c r="I46" s="75" t="n"/>
      <c r="J46" s="77" t="n"/>
      <c r="K46" s="40" t="n"/>
    </row>
    <row r="47" ht="15" customHeight="1" s="54">
      <c r="B47" s="74" t="n"/>
      <c r="C47" s="75" t="n"/>
      <c r="D47" s="75" t="n"/>
      <c r="E47" s="75" t="n"/>
      <c r="F47" s="76" t="n"/>
      <c r="G47" s="75" t="n"/>
      <c r="H47" s="75" t="n"/>
      <c r="I47" s="75" t="n"/>
      <c r="J47" s="77" t="n"/>
      <c r="K47" s="40" t="n"/>
    </row>
    <row r="48" ht="15" customHeight="1" s="54">
      <c r="B48" s="74" t="n"/>
      <c r="C48" s="75" t="n"/>
      <c r="D48" s="75" t="n"/>
      <c r="E48" s="75" t="n"/>
      <c r="F48" s="76" t="n"/>
      <c r="G48" s="75" t="n"/>
      <c r="H48" s="75" t="n"/>
      <c r="I48" s="75" t="n"/>
      <c r="J48" s="77" t="n"/>
      <c r="K48" s="40" t="n"/>
    </row>
    <row r="49" ht="15" customHeight="1" s="54">
      <c r="B49" s="74" t="n"/>
      <c r="C49" s="75" t="n"/>
      <c r="D49" s="75" t="n"/>
      <c r="E49" s="75" t="n"/>
      <c r="F49" s="76" t="n"/>
      <c r="G49" s="75" t="n"/>
      <c r="H49" s="75" t="n"/>
      <c r="I49" s="75" t="n"/>
      <c r="J49" s="77" t="n"/>
      <c r="K49" s="40" t="n"/>
    </row>
    <row r="50" ht="15" customHeight="1" s="54">
      <c r="B50" s="74" t="n"/>
      <c r="C50" s="75" t="n"/>
      <c r="D50" s="75" t="n"/>
      <c r="E50" s="75" t="n"/>
      <c r="F50" s="76" t="n"/>
      <c r="G50" s="75" t="n"/>
      <c r="H50" s="75" t="n"/>
      <c r="I50" s="75" t="n"/>
      <c r="J50" s="77" t="n"/>
      <c r="K50" s="40" t="n"/>
    </row>
    <row r="51" ht="15" customHeight="1" s="54">
      <c r="B51" s="74" t="n"/>
      <c r="C51" s="75" t="n"/>
      <c r="D51" s="75" t="n"/>
      <c r="E51" s="75" t="n"/>
      <c r="F51" s="76" t="n"/>
      <c r="G51" s="75" t="n"/>
      <c r="H51" s="75" t="n"/>
      <c r="I51" s="75" t="n"/>
      <c r="J51" s="77" t="n"/>
      <c r="K51" s="40" t="n"/>
    </row>
    <row r="52" ht="15" customHeight="1" s="54">
      <c r="B52" s="74" t="n"/>
      <c r="C52" s="75" t="n"/>
      <c r="D52" s="75" t="n"/>
      <c r="E52" s="75" t="n"/>
      <c r="F52" s="76" t="n"/>
      <c r="G52" s="75" t="n"/>
      <c r="H52" s="75" t="n"/>
      <c r="I52" s="75" t="n"/>
      <c r="J52" s="77" t="n"/>
      <c r="K52" s="40" t="n"/>
    </row>
    <row r="53" ht="15" customHeight="1" s="54">
      <c r="B53" s="74" t="n"/>
      <c r="C53" s="75" t="n"/>
      <c r="D53" s="75" t="n"/>
      <c r="E53" s="75" t="n"/>
      <c r="F53" s="76" t="n"/>
      <c r="G53" s="75" t="n"/>
      <c r="H53" s="75" t="n"/>
      <c r="I53" s="75" t="n"/>
      <c r="J53" s="77" t="n"/>
      <c r="K53" s="40" t="n"/>
    </row>
    <row r="54" ht="15" customHeight="1" s="54">
      <c r="B54" s="74" t="n"/>
      <c r="C54" s="75" t="n"/>
      <c r="D54" s="75" t="n"/>
      <c r="E54" s="75" t="n"/>
      <c r="F54" s="76" t="n"/>
      <c r="G54" s="75" t="n"/>
      <c r="H54" s="75" t="n"/>
      <c r="I54" s="75" t="n"/>
      <c r="J54" s="77" t="n"/>
      <c r="K54" s="40" t="n"/>
    </row>
    <row r="55" ht="15" customHeight="1" s="54">
      <c r="B55" s="74" t="n"/>
      <c r="C55" s="75" t="n"/>
      <c r="D55" s="75" t="n"/>
      <c r="E55" s="75" t="n"/>
      <c r="F55" s="76" t="n"/>
      <c r="G55" s="75" t="n"/>
      <c r="H55" s="75" t="n"/>
      <c r="I55" s="75" t="n"/>
      <c r="J55" s="77" t="n"/>
      <c r="K55" s="40" t="n"/>
    </row>
    <row r="56" ht="15" customHeight="1" s="54">
      <c r="B56" s="74" t="n"/>
      <c r="C56" s="75" t="n"/>
      <c r="D56" s="75" t="n"/>
      <c r="E56" s="75" t="n"/>
      <c r="F56" s="76" t="n"/>
      <c r="G56" s="75" t="n"/>
      <c r="H56" s="75" t="n"/>
      <c r="I56" s="75" t="n"/>
      <c r="J56" s="77" t="n"/>
      <c r="K56" s="40" t="n"/>
    </row>
    <row r="57" ht="15" customHeight="1" s="54">
      <c r="B57" s="74" t="n"/>
      <c r="C57" s="75" t="n"/>
      <c r="D57" s="75" t="n"/>
      <c r="E57" s="75" t="n"/>
      <c r="F57" s="76" t="n"/>
      <c r="G57" s="75" t="n"/>
      <c r="H57" s="75" t="n"/>
      <c r="I57" s="75" t="n"/>
      <c r="J57" s="77" t="n"/>
      <c r="K57" s="40" t="n"/>
    </row>
    <row r="58" ht="15" customHeight="1" s="54">
      <c r="B58" s="74" t="n"/>
      <c r="C58" s="75" t="n"/>
      <c r="D58" s="75" t="n"/>
      <c r="E58" s="75" t="n"/>
      <c r="F58" s="76" t="n"/>
      <c r="G58" s="75" t="n"/>
      <c r="H58" s="75" t="n"/>
      <c r="I58" s="75" t="n"/>
      <c r="J58" s="77" t="n"/>
      <c r="K58" s="40" t="n"/>
    </row>
    <row r="59" ht="15" customHeight="1" s="54">
      <c r="B59" s="74" t="n"/>
      <c r="C59" s="75" t="n"/>
      <c r="D59" s="75" t="n"/>
      <c r="E59" s="75" t="n"/>
      <c r="F59" s="76" t="n"/>
      <c r="G59" s="75" t="n"/>
      <c r="H59" s="75" t="n"/>
      <c r="I59" s="75" t="n"/>
      <c r="J59" s="77" t="n"/>
      <c r="K59" s="40" t="n"/>
    </row>
    <row r="60" ht="15" customHeight="1" s="54">
      <c r="B60" s="74" t="n"/>
      <c r="C60" s="75" t="n"/>
      <c r="D60" s="75" t="n"/>
      <c r="E60" s="75" t="n"/>
      <c r="F60" s="76" t="n"/>
      <c r="G60" s="75" t="n"/>
      <c r="H60" s="75" t="n"/>
      <c r="I60" s="75" t="n"/>
      <c r="J60" s="77" t="n"/>
      <c r="K60" s="40" t="n"/>
    </row>
    <row r="61" ht="15" customHeight="1" s="54">
      <c r="B61" s="74" t="n"/>
      <c r="C61" s="75" t="n"/>
      <c r="D61" s="75" t="n"/>
      <c r="E61" s="75" t="n"/>
      <c r="F61" s="76" t="n"/>
      <c r="G61" s="75" t="n"/>
      <c r="H61" s="75" t="n"/>
      <c r="I61" s="75" t="n"/>
      <c r="J61" s="77" t="n"/>
      <c r="K61" s="40" t="n"/>
    </row>
    <row r="62" ht="15" customHeight="1" s="54">
      <c r="B62" s="74" t="n"/>
      <c r="C62" s="75" t="n"/>
      <c r="D62" s="75" t="n"/>
      <c r="E62" s="75" t="n"/>
      <c r="F62" s="76" t="n"/>
      <c r="G62" s="75" t="n"/>
      <c r="H62" s="75" t="n"/>
      <c r="I62" s="75" t="n"/>
      <c r="J62" s="77" t="n"/>
      <c r="K62" s="40" t="n"/>
    </row>
    <row r="63" ht="15" customHeight="1" s="54">
      <c r="B63" s="74" t="n"/>
      <c r="C63" s="75" t="n"/>
      <c r="D63" s="75" t="n"/>
      <c r="E63" s="75" t="n"/>
      <c r="F63" s="76" t="n"/>
      <c r="G63" s="75" t="n"/>
      <c r="H63" s="75" t="n"/>
      <c r="I63" s="75" t="n"/>
      <c r="J63" s="77" t="n"/>
      <c r="K63" s="40" t="n"/>
    </row>
    <row r="64" ht="15" customHeight="1" s="54">
      <c r="B64" s="74" t="n"/>
      <c r="C64" s="75" t="n"/>
      <c r="D64" s="75" t="n"/>
      <c r="E64" s="75" t="n"/>
      <c r="F64" s="76" t="n"/>
      <c r="G64" s="75" t="n"/>
      <c r="H64" s="75" t="n"/>
      <c r="I64" s="75" t="n"/>
      <c r="J64" s="77" t="n"/>
      <c r="K64" s="40" t="n"/>
    </row>
    <row r="65" ht="15" customHeight="1" s="54">
      <c r="B65" s="74" t="n"/>
      <c r="C65" s="75" t="n"/>
      <c r="D65" s="75" t="n"/>
      <c r="E65" s="75" t="n"/>
      <c r="F65" s="76" t="n"/>
      <c r="G65" s="75" t="n"/>
      <c r="H65" s="75" t="n"/>
      <c r="I65" s="75" t="n"/>
      <c r="J65" s="77" t="n"/>
      <c r="K65" s="40" t="n"/>
    </row>
    <row r="66" ht="15" customHeight="1" s="54">
      <c r="B66" s="74" t="n"/>
      <c r="C66" s="75" t="n"/>
      <c r="D66" s="75" t="n"/>
      <c r="E66" s="75" t="n"/>
      <c r="F66" s="76" t="n"/>
      <c r="G66" s="75" t="n"/>
      <c r="H66" s="75" t="n"/>
      <c r="I66" s="75" t="n"/>
      <c r="J66" s="77" t="n"/>
      <c r="K66" s="40" t="n"/>
    </row>
    <row r="67" ht="15" customHeight="1" s="54">
      <c r="B67" s="74" t="n"/>
      <c r="C67" s="75" t="n"/>
      <c r="D67" s="75" t="n"/>
      <c r="E67" s="75" t="n"/>
      <c r="F67" s="76" t="n"/>
      <c r="G67" s="75" t="n"/>
      <c r="H67" s="75" t="n"/>
      <c r="I67" s="75" t="n"/>
      <c r="J67" s="77" t="n"/>
      <c r="K67" s="40" t="n"/>
    </row>
    <row r="68" ht="15" customHeight="1" s="54">
      <c r="B68" s="74" t="n"/>
      <c r="C68" s="75" t="n"/>
      <c r="D68" s="75" t="n"/>
      <c r="E68" s="75" t="n"/>
      <c r="F68" s="76" t="n"/>
      <c r="G68" s="75" t="n"/>
      <c r="H68" s="75" t="n"/>
      <c r="I68" s="75" t="n"/>
      <c r="J68" s="77" t="n"/>
      <c r="K68" s="40" t="n"/>
    </row>
    <row r="69" ht="15" customHeight="1" s="54">
      <c r="B69" s="74" t="n"/>
      <c r="C69" s="75" t="n"/>
      <c r="D69" s="75" t="n"/>
      <c r="E69" s="75" t="n"/>
      <c r="F69" s="76" t="n"/>
      <c r="G69" s="75" t="n"/>
      <c r="H69" s="75" t="n"/>
      <c r="I69" s="75" t="n"/>
      <c r="J69" s="77" t="n"/>
      <c r="K69" s="40" t="n"/>
    </row>
    <row r="70" ht="15" customHeight="1" s="54">
      <c r="B70" s="74" t="n"/>
      <c r="C70" s="75" t="n"/>
      <c r="D70" s="75" t="n"/>
      <c r="E70" s="75" t="n"/>
      <c r="F70" s="76" t="n"/>
      <c r="G70" s="75" t="n"/>
      <c r="H70" s="75" t="n"/>
      <c r="I70" s="75" t="n"/>
      <c r="J70" s="77" t="n"/>
      <c r="K70" s="40" t="n"/>
    </row>
    <row r="71" ht="15" customHeight="1" s="54">
      <c r="B71" s="74" t="n"/>
      <c r="C71" s="75" t="n"/>
      <c r="D71" s="75" t="n"/>
      <c r="E71" s="75" t="n"/>
      <c r="F71" s="76" t="n"/>
      <c r="G71" s="75" t="n"/>
      <c r="H71" s="75" t="n"/>
      <c r="I71" s="75" t="n"/>
      <c r="J71" s="77" t="n"/>
      <c r="K71" s="40" t="n"/>
    </row>
    <row r="72" ht="15" customHeight="1" s="54">
      <c r="B72" s="74" t="n"/>
      <c r="C72" s="75" t="n"/>
      <c r="D72" s="75" t="n"/>
      <c r="E72" s="75" t="n"/>
      <c r="F72" s="76" t="n"/>
      <c r="G72" s="75" t="n"/>
      <c r="H72" s="75" t="n"/>
      <c r="I72" s="75" t="n"/>
      <c r="J72" s="77" t="n"/>
      <c r="K72" s="40" t="n"/>
    </row>
    <row r="73" ht="15" customHeight="1" s="54">
      <c r="B73" s="74" t="n"/>
      <c r="C73" s="75" t="n"/>
      <c r="D73" s="75" t="n"/>
      <c r="E73" s="75" t="n"/>
      <c r="F73" s="76" t="n"/>
      <c r="G73" s="75" t="n"/>
      <c r="H73" s="75" t="n"/>
      <c r="I73" s="75" t="n"/>
      <c r="J73" s="77" t="n"/>
      <c r="K73" s="40" t="n"/>
    </row>
    <row r="74" ht="15" customHeight="1" s="54">
      <c r="B74" s="74" t="n"/>
      <c r="C74" s="75" t="n"/>
      <c r="D74" s="75" t="n"/>
      <c r="E74" s="75" t="n"/>
      <c r="F74" s="76" t="n"/>
      <c r="G74" s="75" t="n"/>
      <c r="H74" s="75" t="n"/>
      <c r="I74" s="75" t="n"/>
      <c r="J74" s="77" t="n"/>
      <c r="K74" s="40" t="n"/>
    </row>
    <row r="75" ht="15" customHeight="1" s="54">
      <c r="B75" s="74" t="n"/>
      <c r="C75" s="75" t="n"/>
      <c r="D75" s="75" t="n"/>
      <c r="E75" s="75" t="n"/>
      <c r="F75" s="76" t="n"/>
      <c r="G75" s="75" t="n"/>
      <c r="H75" s="75" t="n"/>
      <c r="I75" s="75" t="n"/>
      <c r="J75" s="77" t="n"/>
      <c r="K75" s="40" t="n"/>
    </row>
    <row r="76" ht="15" customHeight="1" s="54">
      <c r="B76" s="74" t="n"/>
      <c r="C76" s="75" t="n"/>
      <c r="D76" s="75" t="n"/>
      <c r="E76" s="75" t="n"/>
      <c r="F76" s="76" t="n"/>
      <c r="G76" s="75" t="n"/>
      <c r="H76" s="75" t="n"/>
      <c r="I76" s="75" t="n"/>
      <c r="J76" s="77" t="n"/>
      <c r="K76" s="40" t="n"/>
    </row>
    <row r="77" ht="15" customHeight="1" s="54">
      <c r="B77" s="74" t="n"/>
      <c r="C77" s="75" t="n"/>
      <c r="D77" s="75" t="n"/>
      <c r="E77" s="75" t="n"/>
      <c r="F77" s="76" t="n"/>
      <c r="G77" s="75" t="n"/>
      <c r="H77" s="75" t="n"/>
      <c r="I77" s="75" t="n"/>
      <c r="J77" s="77" t="n"/>
      <c r="K77" s="40" t="n"/>
    </row>
    <row r="78" ht="15" customHeight="1" s="54">
      <c r="B78" s="74" t="n"/>
      <c r="C78" s="75" t="n"/>
      <c r="D78" s="75" t="n"/>
      <c r="E78" s="75" t="n"/>
      <c r="F78" s="76" t="n"/>
      <c r="G78" s="75" t="n"/>
      <c r="H78" s="75" t="n"/>
      <c r="I78" s="75" t="n"/>
      <c r="J78" s="77" t="n"/>
      <c r="K78" s="40" t="n"/>
    </row>
    <row r="79" ht="15" customHeight="1" s="54">
      <c r="B79" s="74" t="n"/>
      <c r="C79" s="75" t="n"/>
      <c r="D79" s="75" t="n"/>
      <c r="E79" s="75" t="n"/>
      <c r="F79" s="76" t="n"/>
      <c r="G79" s="75" t="n"/>
      <c r="H79" s="75" t="n"/>
      <c r="I79" s="75" t="n"/>
      <c r="J79" s="77" t="n"/>
      <c r="K79" s="40" t="n"/>
    </row>
    <row r="80" ht="15" customHeight="1" s="54">
      <c r="B80" s="74" t="n"/>
      <c r="C80" s="75" t="n"/>
      <c r="D80" s="75" t="n"/>
      <c r="E80" s="75" t="n"/>
      <c r="F80" s="76" t="n"/>
      <c r="G80" s="75" t="n"/>
      <c r="H80" s="75" t="n"/>
      <c r="I80" s="75" t="n"/>
      <c r="J80" s="77" t="n"/>
      <c r="K80" s="40" t="n"/>
    </row>
    <row r="81" ht="15" customHeight="1" s="54">
      <c r="B81" s="74" t="n"/>
      <c r="C81" s="75" t="n"/>
      <c r="D81" s="75" t="n"/>
      <c r="E81" s="75" t="n"/>
      <c r="F81" s="76" t="n"/>
      <c r="G81" s="75" t="n"/>
      <c r="H81" s="75" t="n"/>
      <c r="I81" s="75" t="n"/>
      <c r="J81" s="77" t="n"/>
      <c r="K81" s="40" t="n"/>
    </row>
    <row r="82" ht="15" customHeight="1" s="54">
      <c r="B82" s="74" t="n"/>
      <c r="C82" s="75" t="n"/>
      <c r="D82" s="75" t="n"/>
      <c r="E82" s="75" t="n"/>
      <c r="F82" s="76" t="n"/>
      <c r="G82" s="75" t="n"/>
      <c r="H82" s="75" t="n"/>
      <c r="I82" s="75" t="n"/>
      <c r="J82" s="77" t="n"/>
      <c r="K82" s="40" t="n"/>
    </row>
    <row r="83" ht="15" customHeight="1" s="54">
      <c r="B83" s="74" t="n"/>
      <c r="C83" s="75" t="n"/>
      <c r="D83" s="75" t="n"/>
      <c r="E83" s="75" t="n"/>
      <c r="F83" s="76" t="n"/>
      <c r="G83" s="75" t="n"/>
      <c r="H83" s="75" t="n"/>
      <c r="I83" s="75" t="n"/>
      <c r="J83" s="77" t="n"/>
      <c r="K83" s="40" t="n"/>
    </row>
    <row r="84" ht="15" customHeight="1" s="54">
      <c r="B84" s="74" t="n"/>
      <c r="C84" s="75" t="n"/>
      <c r="D84" s="75" t="n"/>
      <c r="E84" s="75" t="n"/>
      <c r="F84" s="76" t="n"/>
      <c r="G84" s="75" t="n"/>
      <c r="H84" s="75" t="n"/>
      <c r="I84" s="75" t="n"/>
      <c r="J84" s="77" t="n"/>
      <c r="K84" s="40" t="n"/>
    </row>
    <row r="85" ht="15" customHeight="1" s="54">
      <c r="B85" s="74" t="n"/>
      <c r="C85" s="75" t="n"/>
      <c r="D85" s="75" t="n"/>
      <c r="E85" s="75" t="n"/>
      <c r="F85" s="76" t="n"/>
      <c r="G85" s="75" t="n"/>
      <c r="H85" s="75" t="n"/>
      <c r="I85" s="75" t="n"/>
      <c r="J85" s="77" t="n"/>
      <c r="K85" s="40" t="n"/>
    </row>
    <row r="86" ht="15" customHeight="1" s="54">
      <c r="B86" s="74" t="n"/>
      <c r="C86" s="75" t="n"/>
      <c r="D86" s="75" t="n"/>
      <c r="E86" s="75" t="n"/>
      <c r="F86" s="76" t="n"/>
      <c r="G86" s="75" t="n"/>
      <c r="H86" s="75" t="n"/>
      <c r="I86" s="75" t="n"/>
      <c r="J86" s="77" t="n"/>
      <c r="K86" s="40" t="n"/>
    </row>
    <row r="87" ht="15" customHeight="1" s="54">
      <c r="B87" s="74" t="n"/>
      <c r="C87" s="75" t="n"/>
      <c r="D87" s="75" t="n"/>
      <c r="E87" s="75" t="n"/>
      <c r="F87" s="76" t="n"/>
      <c r="G87" s="75" t="n"/>
      <c r="H87" s="75" t="n"/>
      <c r="I87" s="75" t="n"/>
      <c r="J87" s="77" t="n"/>
      <c r="K87" s="40" t="n"/>
    </row>
    <row r="88" ht="15" customHeight="1" s="54">
      <c r="B88" s="74" t="n"/>
      <c r="C88" s="75" t="n"/>
      <c r="D88" s="75" t="n"/>
      <c r="E88" s="75" t="n"/>
      <c r="F88" s="76" t="n"/>
      <c r="G88" s="75" t="n"/>
      <c r="H88" s="75" t="n"/>
      <c r="I88" s="75" t="n"/>
      <c r="J88" s="77" t="n"/>
      <c r="K88" s="40" t="n"/>
    </row>
    <row r="89" ht="15" customHeight="1" s="54">
      <c r="B89" s="74" t="n"/>
      <c r="C89" s="75" t="n"/>
      <c r="D89" s="75" t="n"/>
      <c r="E89" s="75" t="n"/>
      <c r="F89" s="76" t="n"/>
      <c r="G89" s="75" t="n"/>
      <c r="H89" s="75" t="n"/>
      <c r="I89" s="75" t="n"/>
      <c r="J89" s="77" t="n"/>
      <c r="K89" s="40" t="n"/>
    </row>
    <row r="90" ht="15" customHeight="1" s="54">
      <c r="B90" s="74" t="n"/>
      <c r="C90" s="75" t="n"/>
      <c r="D90" s="75" t="n"/>
      <c r="E90" s="75" t="n"/>
      <c r="F90" s="76" t="n"/>
      <c r="G90" s="75" t="n"/>
      <c r="H90" s="75" t="n"/>
      <c r="I90" s="75" t="n"/>
      <c r="J90" s="77" t="n"/>
      <c r="K90" s="40" t="n"/>
    </row>
    <row r="91" ht="15" customHeight="1" s="54">
      <c r="B91" s="74" t="n"/>
      <c r="C91" s="75" t="n"/>
      <c r="D91" s="75" t="n"/>
      <c r="E91" s="75" t="n"/>
      <c r="F91" s="76" t="n"/>
      <c r="G91" s="75" t="n"/>
      <c r="H91" s="75" t="n"/>
      <c r="I91" s="75" t="n"/>
      <c r="J91" s="77" t="n"/>
      <c r="K91" s="40" t="n"/>
    </row>
    <row r="92" ht="15" customHeight="1" s="54">
      <c r="B92" s="74" t="n"/>
      <c r="C92" s="75" t="n"/>
      <c r="D92" s="75" t="n"/>
      <c r="E92" s="75" t="n"/>
      <c r="F92" s="76" t="n"/>
      <c r="G92" s="75" t="n"/>
      <c r="H92" s="75" t="n"/>
      <c r="I92" s="75" t="n"/>
      <c r="J92" s="77" t="n"/>
      <c r="K92" s="40" t="n"/>
    </row>
    <row r="93" ht="15" customHeight="1" s="54">
      <c r="B93" s="74" t="n"/>
      <c r="C93" s="75" t="n"/>
      <c r="D93" s="75" t="n"/>
      <c r="E93" s="75" t="n"/>
      <c r="F93" s="76" t="n"/>
      <c r="G93" s="75" t="n"/>
      <c r="H93" s="75" t="n"/>
      <c r="I93" s="75" t="n"/>
      <c r="J93" s="77" t="n"/>
      <c r="K93" s="40" t="n"/>
    </row>
    <row r="94" ht="15" customHeight="1" s="54">
      <c r="B94" s="74" t="n"/>
      <c r="C94" s="75" t="n"/>
      <c r="D94" s="75" t="n"/>
      <c r="E94" s="75" t="n"/>
      <c r="F94" s="76" t="n"/>
      <c r="G94" s="75" t="n"/>
      <c r="H94" s="75" t="n"/>
      <c r="I94" s="75" t="n"/>
      <c r="J94" s="77" t="n"/>
      <c r="K94" s="40" t="n"/>
    </row>
    <row r="95" ht="15" customHeight="1" s="54">
      <c r="B95" s="74" t="n"/>
      <c r="C95" s="75" t="n"/>
      <c r="D95" s="75" t="n"/>
      <c r="E95" s="75" t="n"/>
      <c r="F95" s="76" t="n"/>
      <c r="G95" s="75" t="n"/>
      <c r="H95" s="75" t="n"/>
      <c r="I95" s="75" t="n"/>
      <c r="J95" s="77" t="n"/>
      <c r="K95" s="40" t="n"/>
    </row>
    <row r="96" ht="15" customHeight="1" s="54">
      <c r="B96" s="74" t="n"/>
      <c r="C96" s="75" t="n"/>
      <c r="D96" s="75" t="n"/>
      <c r="E96" s="75" t="n"/>
      <c r="F96" s="76" t="n"/>
      <c r="G96" s="75" t="n"/>
      <c r="H96" s="75" t="n"/>
      <c r="I96" s="75" t="n"/>
      <c r="J96" s="77" t="n"/>
      <c r="K96" s="40" t="n"/>
    </row>
    <row r="97" ht="15" customHeight="1" s="54">
      <c r="B97" s="74" t="n"/>
      <c r="C97" s="75" t="n"/>
      <c r="D97" s="75" t="n"/>
      <c r="E97" s="75" t="n"/>
      <c r="F97" s="76" t="n"/>
      <c r="G97" s="75" t="n"/>
      <c r="H97" s="75" t="n"/>
      <c r="I97" s="75" t="n"/>
      <c r="J97" s="77" t="n"/>
      <c r="K97" s="40" t="n"/>
    </row>
    <row r="98" ht="15" customHeight="1" s="54">
      <c r="B98" s="74" t="n"/>
      <c r="C98" s="75" t="n"/>
      <c r="D98" s="75" t="n"/>
      <c r="E98" s="75" t="n"/>
      <c r="F98" s="76" t="n"/>
      <c r="G98" s="75" t="n"/>
      <c r="H98" s="75" t="n"/>
      <c r="I98" s="75" t="n"/>
      <c r="J98" s="77" t="n"/>
      <c r="K98" s="40" t="n"/>
    </row>
    <row r="99" ht="15" customHeight="1" s="54">
      <c r="B99" s="74" t="n"/>
      <c r="C99" s="75" t="n"/>
      <c r="D99" s="75" t="n"/>
      <c r="E99" s="75" t="n"/>
      <c r="F99" s="76" t="n"/>
      <c r="G99" s="75" t="n"/>
      <c r="H99" s="75" t="n"/>
      <c r="I99" s="75" t="n"/>
      <c r="J99" s="77" t="n"/>
      <c r="K99" s="40" t="n"/>
    </row>
    <row r="100" ht="15" customHeight="1" s="54">
      <c r="B100" s="74" t="n"/>
      <c r="C100" s="75" t="n"/>
      <c r="D100" s="75" t="n"/>
      <c r="E100" s="75" t="n"/>
      <c r="F100" s="76" t="n"/>
      <c r="G100" s="75" t="n"/>
      <c r="H100" s="75" t="n"/>
      <c r="I100" s="75" t="n"/>
      <c r="J100" s="77" t="n"/>
      <c r="K100" s="40" t="n"/>
    </row>
    <row r="101" ht="15" customHeight="1" s="54">
      <c r="B101" s="74" t="n"/>
      <c r="C101" s="75" t="n"/>
      <c r="D101" s="75" t="n"/>
      <c r="E101" s="75" t="n"/>
      <c r="F101" s="76" t="n"/>
      <c r="G101" s="75" t="n"/>
      <c r="H101" s="75" t="n"/>
      <c r="I101" s="75" t="n"/>
      <c r="J101" s="77" t="n"/>
      <c r="K101" s="40" t="n"/>
    </row>
    <row r="102" ht="15" customHeight="1" s="54">
      <c r="B102" s="74" t="n"/>
      <c r="C102" s="75" t="n"/>
      <c r="D102" s="75" t="n"/>
      <c r="E102" s="75" t="n"/>
      <c r="F102" s="76" t="n"/>
      <c r="G102" s="75" t="n"/>
      <c r="H102" s="75" t="n"/>
      <c r="I102" s="75" t="n"/>
      <c r="J102" s="77" t="n"/>
      <c r="K102" s="40" t="n"/>
    </row>
    <row r="103" ht="15" customHeight="1" s="54">
      <c r="B103" s="74" t="n"/>
      <c r="C103" s="75" t="n"/>
      <c r="D103" s="75" t="n"/>
      <c r="E103" s="75" t="n"/>
      <c r="F103" s="76" t="n"/>
      <c r="G103" s="75" t="n"/>
      <c r="H103" s="75" t="n"/>
      <c r="I103" s="75" t="n"/>
      <c r="J103" s="77" t="n"/>
      <c r="K103" s="40" t="n"/>
    </row>
    <row r="104" ht="15" customHeight="1" s="54">
      <c r="B104" s="74" t="n"/>
      <c r="C104" s="75" t="n"/>
      <c r="D104" s="75" t="n"/>
      <c r="E104" s="75" t="n"/>
      <c r="F104" s="76" t="n"/>
      <c r="G104" s="75" t="n"/>
      <c r="H104" s="75" t="n"/>
      <c r="I104" s="75" t="n"/>
      <c r="J104" s="77" t="n"/>
      <c r="K104" s="40" t="n"/>
    </row>
    <row r="105" ht="15" customHeight="1" s="54">
      <c r="B105" s="74" t="n"/>
      <c r="C105" s="75" t="n"/>
      <c r="D105" s="75" t="n"/>
      <c r="E105" s="75" t="n"/>
      <c r="F105" s="76" t="n"/>
      <c r="G105" s="75" t="n"/>
      <c r="H105" s="75" t="n"/>
      <c r="I105" s="75" t="n"/>
      <c r="J105" s="77" t="n"/>
      <c r="K105" s="40" t="n"/>
    </row>
    <row r="106" ht="15" customHeight="1" s="54">
      <c r="B106" s="74" t="n"/>
      <c r="C106" s="75" t="n"/>
      <c r="D106" s="75" t="n"/>
      <c r="E106" s="75" t="n"/>
      <c r="F106" s="76" t="n"/>
      <c r="G106" s="75" t="n"/>
      <c r="H106" s="75" t="n"/>
      <c r="I106" s="75" t="n"/>
      <c r="J106" s="77" t="n"/>
      <c r="K106" s="40" t="n"/>
    </row>
    <row r="107" ht="15" customHeight="1" s="54">
      <c r="B107" s="74" t="n"/>
      <c r="C107" s="75" t="n"/>
      <c r="D107" s="75" t="n"/>
      <c r="E107" s="75" t="n"/>
      <c r="F107" s="76" t="n"/>
      <c r="G107" s="75" t="n"/>
      <c r="H107" s="75" t="n"/>
      <c r="I107" s="75" t="n"/>
      <c r="J107" s="77" t="n"/>
      <c r="K107" s="40" t="n"/>
    </row>
    <row r="108" ht="15" customHeight="1" s="54">
      <c r="B108" s="74" t="n"/>
      <c r="C108" s="75" t="n"/>
      <c r="D108" s="75" t="n"/>
      <c r="E108" s="75" t="n"/>
      <c r="F108" s="76" t="n"/>
      <c r="G108" s="75" t="n"/>
      <c r="H108" s="75" t="n"/>
      <c r="I108" s="75" t="n"/>
      <c r="J108" s="77" t="n"/>
      <c r="K108" s="40" t="n"/>
    </row>
    <row r="109" ht="15" customHeight="1" s="54">
      <c r="B109" s="74" t="n"/>
      <c r="C109" s="75" t="n"/>
      <c r="D109" s="75" t="n"/>
      <c r="E109" s="75" t="n"/>
      <c r="F109" s="76" t="n"/>
      <c r="G109" s="75" t="n"/>
      <c r="H109" s="75" t="n"/>
      <c r="I109" s="75" t="n"/>
      <c r="J109" s="77" t="n"/>
      <c r="K109" s="40" t="n"/>
    </row>
  </sheetData>
  <mergeCells count="2">
    <mergeCell ref="B2:L2"/>
    <mergeCell ref="B3:L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8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3" customWidth="1" style="54" min="1" max="1"/>
    <col width="32" customWidth="1" style="54" min="2" max="2"/>
    <col width="20" customWidth="1" style="54" min="3" max="3"/>
    <col width="70" customWidth="1" style="54" min="4" max="4"/>
  </cols>
  <sheetData>
    <row r="2" ht="30" customHeight="1" s="54">
      <c r="B2" s="9" t="inlineStr">
        <is>
          <t>FX &amp; ASSUMPTIONS</t>
        </is>
      </c>
    </row>
    <row r="4" ht="27.75" customHeight="1" s="54">
      <c r="B4" s="15" t="inlineStr">
        <is>
          <t>Item</t>
        </is>
      </c>
      <c r="C4" s="15" t="inlineStr">
        <is>
          <t>Value</t>
        </is>
      </c>
      <c r="D4" s="15" t="inlineStr">
        <is>
          <t>Notes</t>
        </is>
      </c>
    </row>
    <row r="5" ht="21.75" customHeight="1" s="54">
      <c r="B5" s="16" t="inlineStr">
        <is>
          <t>As-of Date</t>
        </is>
      </c>
      <c r="C5" s="74" t="n">
        <v>46023</v>
      </c>
      <c r="D5" s="32" t="inlineStr">
        <is>
          <t>Reporting date — updated weekly.</t>
        </is>
      </c>
    </row>
    <row r="6" ht="21.75" customHeight="1" s="54">
      <c r="B6" s="16" t="inlineStr">
        <is>
          <t>USD / THB Spot</t>
        </is>
      </c>
      <c r="C6" s="41" t="n">
        <v>33</v>
      </c>
      <c r="D6" s="32" t="inlineStr">
        <is>
          <t>Enter weekly USD/THB spot (or let the auto-fetch fill it).</t>
        </is>
      </c>
    </row>
    <row r="7" ht="21.75" customHeight="1" s="54">
      <c r="B7" s="16" t="inlineStr">
        <is>
          <t>Reporting Currency</t>
        </is>
      </c>
      <c r="C7" s="42" t="inlineStr">
        <is>
          <t>THB</t>
        </is>
      </c>
      <c r="D7" s="32" t="inlineStr">
        <is>
          <t>Base currency for all totals.</t>
        </is>
      </c>
    </row>
    <row r="8" ht="21.75" customHeight="1" s="54">
      <c r="B8" s="16" t="inlineStr">
        <is>
          <t>Total Lots (MF / EQ / Crypto)</t>
        </is>
      </c>
      <c r="C8" s="42" t="inlineStr">
        <is>
          <t>0 / 0 / 0</t>
        </is>
      </c>
      <c r="D8" s="32" t="inlineStr">
        <is>
          <t>Record count from source file.</t>
        </is>
      </c>
    </row>
  </sheetData>
  <mergeCells count="1">
    <mergeCell ref="B2:D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9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5" sqref="A55"/>
      <selection pane="bottomRight" activeCell="G73" sqref="G73:G89"/>
    </sheetView>
  </sheetViews>
  <sheetFormatPr baseColWidth="10" defaultColWidth="8.6640625" defaultRowHeight="15"/>
  <cols>
    <col hidden="1" width="22" customWidth="1" style="54" min="1" max="1"/>
    <col width="8" customWidth="1" style="54" min="2" max="2"/>
    <col width="14" customWidth="1" style="54" min="3" max="3"/>
    <col width="22" customWidth="1" style="54" min="4" max="4"/>
    <col width="16" customWidth="1" style="54" min="5" max="5"/>
    <col width="18" customWidth="1" style="54" min="6" max="6"/>
    <col width="12" customWidth="1" style="54" min="7" max="7"/>
    <col width="16" customWidth="1" style="54" min="8" max="8"/>
  </cols>
  <sheetData>
    <row r="2" ht="30" customHeight="1" s="54">
      <c r="A2" s="9" t="inlineStr">
        <is>
          <t>PRICES — Weekly Update Sheet  (update yellow "Current Price / NAV" column every week)</t>
        </is>
      </c>
    </row>
    <row r="4" ht="31.5" customHeight="1" s="54">
      <c r="A4" s="15" t="inlineStr">
        <is>
          <t>Key (auto)</t>
        </is>
      </c>
      <c r="B4" s="15" t="inlineStr">
        <is>
          <t>Type</t>
        </is>
      </c>
      <c r="C4" s="15" t="inlineStr">
        <is>
          <t>Name</t>
        </is>
      </c>
      <c r="D4" s="15" t="inlineStr">
        <is>
          <t>Custodian</t>
        </is>
      </c>
      <c r="E4" s="15" t="inlineStr">
        <is>
          <t>Current Price / NAV</t>
        </is>
      </c>
      <c r="F4" s="15" t="inlineStr">
        <is>
          <t>Currency</t>
        </is>
      </c>
      <c r="G4" s="15" t="inlineStr">
        <is>
          <t>Last Update</t>
        </is>
      </c>
      <c r="H4" s="15" t="inlineStr">
        <is>
          <t>CHECK</t>
        </is>
      </c>
    </row>
    <row r="5" ht="15" customHeight="1" s="54">
      <c r="A5" s="43">
        <f>B5&amp;"|"&amp;C5&amp;"|"&amp;D5</f>
        <v/>
      </c>
      <c r="B5" s="16" t="n"/>
      <c r="C5" s="43" t="n"/>
      <c r="D5" s="43" t="n"/>
      <c r="E5" s="41" t="n"/>
      <c r="F5" s="42" t="n"/>
      <c r="G5" s="74" t="n"/>
      <c r="H5" s="42" t="n"/>
    </row>
    <row r="6" ht="15" customHeight="1" s="54">
      <c r="A6" s="43">
        <f>B6&amp;"|"&amp;C6&amp;"|"&amp;D6</f>
        <v/>
      </c>
      <c r="B6" s="16" t="n"/>
      <c r="C6" s="43" t="n"/>
      <c r="D6" s="43" t="n"/>
      <c r="E6" s="41" t="n"/>
      <c r="F6" s="42" t="n"/>
      <c r="G6" s="74" t="n"/>
      <c r="H6" s="42" t="n"/>
    </row>
    <row r="7" ht="15" customHeight="1" s="54">
      <c r="A7" s="43">
        <f>B7&amp;"|"&amp;C7&amp;"|"&amp;D7</f>
        <v/>
      </c>
      <c r="B7" s="16" t="n"/>
      <c r="C7" s="43" t="n"/>
      <c r="D7" s="43" t="n"/>
      <c r="E7" s="41" t="n"/>
      <c r="F7" s="42" t="n"/>
      <c r="G7" s="74" t="n"/>
      <c r="H7" s="42" t="n"/>
    </row>
    <row r="8" ht="15" customHeight="1" s="54">
      <c r="A8" s="43">
        <f>B8&amp;"|"&amp;C8&amp;"|"&amp;D8</f>
        <v/>
      </c>
      <c r="B8" s="16" t="n"/>
      <c r="C8" s="43" t="n"/>
      <c r="D8" s="43" t="n"/>
      <c r="E8" s="41" t="n"/>
      <c r="F8" s="42" t="n"/>
      <c r="G8" s="74" t="n"/>
      <c r="H8" s="42" t="n"/>
    </row>
    <row r="9" ht="15" customHeight="1" s="54">
      <c r="A9" s="43">
        <f>B9&amp;"|"&amp;C9&amp;"|"&amp;D9</f>
        <v/>
      </c>
      <c r="B9" s="16" t="n"/>
      <c r="C9" s="43" t="n"/>
      <c r="D9" s="43" t="n"/>
      <c r="E9" s="41" t="n"/>
      <c r="F9" s="42" t="n"/>
      <c r="G9" s="74" t="n"/>
      <c r="H9" s="42" t="n"/>
    </row>
    <row r="10" ht="15" customHeight="1" s="54">
      <c r="A10" s="43">
        <f>B10&amp;"|"&amp;C10&amp;"|"&amp;D10</f>
        <v/>
      </c>
      <c r="B10" s="16" t="n"/>
      <c r="C10" s="43" t="n"/>
      <c r="D10" s="43" t="n"/>
      <c r="E10" s="41" t="n"/>
      <c r="F10" s="42" t="n"/>
      <c r="G10" s="74" t="n"/>
      <c r="H10" s="42" t="n"/>
    </row>
    <row r="11" ht="15" customHeight="1" s="54">
      <c r="A11" s="43">
        <f>B11&amp;"|"&amp;C11&amp;"|"&amp;D11</f>
        <v/>
      </c>
      <c r="B11" s="16" t="n"/>
      <c r="C11" s="43" t="n"/>
      <c r="D11" s="43" t="n"/>
      <c r="E11" s="41" t="n"/>
      <c r="F11" s="42" t="n"/>
      <c r="G11" s="74" t="n"/>
      <c r="H11" s="42" t="n"/>
    </row>
    <row r="12" ht="15" customHeight="1" s="54">
      <c r="A12" s="43">
        <f>B12&amp;"|"&amp;C12&amp;"|"&amp;D12</f>
        <v/>
      </c>
      <c r="B12" s="16" t="n"/>
      <c r="C12" s="43" t="n"/>
      <c r="D12" s="43" t="n"/>
      <c r="E12" s="41" t="n"/>
      <c r="F12" s="42" t="n"/>
      <c r="G12" s="74" t="n"/>
      <c r="H12" s="42" t="n"/>
    </row>
    <row r="13" ht="15" customHeight="1" s="54">
      <c r="A13" s="43">
        <f>B13&amp;"|"&amp;C13&amp;"|"&amp;D13</f>
        <v/>
      </c>
      <c r="B13" s="16" t="n"/>
      <c r="C13" s="43" t="n"/>
      <c r="D13" s="43" t="n"/>
      <c r="E13" s="41" t="n"/>
      <c r="F13" s="42" t="n"/>
      <c r="G13" s="74" t="n"/>
      <c r="H13" s="42" t="n"/>
    </row>
    <row r="14" ht="15" customHeight="1" s="54">
      <c r="A14" s="43">
        <f>B14&amp;"|"&amp;C14&amp;"|"&amp;D14</f>
        <v/>
      </c>
      <c r="B14" s="16" t="n"/>
      <c r="C14" s="43" t="n"/>
      <c r="D14" s="43" t="n"/>
      <c r="E14" s="41" t="n"/>
      <c r="F14" s="42" t="n"/>
      <c r="G14" s="74" t="n"/>
      <c r="H14" s="42" t="n"/>
    </row>
    <row r="15" ht="15" customHeight="1" s="54">
      <c r="A15" s="43">
        <f>B15&amp;"|"&amp;C15&amp;"|"&amp;D15</f>
        <v/>
      </c>
      <c r="B15" s="16" t="n"/>
      <c r="C15" s="43" t="n"/>
      <c r="D15" s="43" t="n"/>
      <c r="E15" s="41" t="n"/>
      <c r="F15" s="42" t="n"/>
      <c r="G15" s="74" t="n"/>
      <c r="H15" s="42" t="n"/>
    </row>
    <row r="16" ht="15" customHeight="1" s="54">
      <c r="A16" s="43">
        <f>B16&amp;"|"&amp;C16&amp;"|"&amp;D16</f>
        <v/>
      </c>
      <c r="B16" s="16" t="n"/>
      <c r="C16" s="43" t="n"/>
      <c r="D16" s="43" t="n"/>
      <c r="E16" s="41" t="n"/>
      <c r="F16" s="42" t="n"/>
      <c r="G16" s="74" t="n"/>
      <c r="H16" s="42" t="n"/>
    </row>
    <row r="17" ht="15" customHeight="1" s="54">
      <c r="A17" s="43">
        <f>B17&amp;"|"&amp;C17&amp;"|"&amp;D17</f>
        <v/>
      </c>
      <c r="B17" s="16" t="n"/>
      <c r="C17" s="43" t="n"/>
      <c r="D17" s="43" t="n"/>
      <c r="E17" s="41" t="n"/>
      <c r="F17" s="42" t="n"/>
      <c r="G17" s="74" t="n"/>
      <c r="H17" s="42" t="n"/>
    </row>
    <row r="18" ht="15" customHeight="1" s="54">
      <c r="A18" s="43">
        <f>B18&amp;"|"&amp;C18&amp;"|"&amp;D18</f>
        <v/>
      </c>
      <c r="B18" s="16" t="n"/>
      <c r="C18" s="43" t="n"/>
      <c r="D18" s="43" t="n"/>
      <c r="E18" s="41" t="n"/>
      <c r="F18" s="42" t="n"/>
      <c r="G18" s="74" t="n"/>
      <c r="H18" s="42" t="n"/>
    </row>
    <row r="19" ht="15" customHeight="1" s="54">
      <c r="A19" s="43">
        <f>B19&amp;"|"&amp;C19&amp;"|"&amp;D19</f>
        <v/>
      </c>
      <c r="B19" s="16" t="n"/>
      <c r="C19" s="43" t="n"/>
      <c r="D19" s="43" t="n"/>
      <c r="E19" s="41" t="n"/>
      <c r="F19" s="42" t="n"/>
      <c r="G19" s="74" t="n"/>
      <c r="H19" s="42" t="n"/>
    </row>
    <row r="20" ht="15" customHeight="1" s="54">
      <c r="A20" s="43">
        <f>B20&amp;"|"&amp;C20&amp;"|"&amp;D20</f>
        <v/>
      </c>
      <c r="B20" s="16" t="n"/>
      <c r="C20" s="43" t="n"/>
      <c r="D20" s="43" t="n"/>
      <c r="E20" s="41" t="n"/>
      <c r="F20" s="42" t="n"/>
      <c r="G20" s="74" t="n"/>
      <c r="H20" s="42" t="n"/>
    </row>
    <row r="21" ht="15" customHeight="1" s="54">
      <c r="A21" s="43">
        <f>B21&amp;"|"&amp;C21&amp;"|"&amp;D21</f>
        <v/>
      </c>
      <c r="B21" s="16" t="n"/>
      <c r="C21" s="43" t="n"/>
      <c r="D21" s="43" t="n"/>
      <c r="E21" s="41" t="n"/>
      <c r="F21" s="42" t="n"/>
      <c r="G21" s="74" t="n"/>
      <c r="H21" s="42" t="n"/>
    </row>
    <row r="22" ht="15" customHeight="1" s="54">
      <c r="A22" s="43">
        <f>B22&amp;"|"&amp;C22&amp;"|"&amp;D22</f>
        <v/>
      </c>
      <c r="B22" s="16" t="n"/>
      <c r="C22" s="43" t="n"/>
      <c r="D22" s="43" t="n"/>
      <c r="E22" s="41" t="n"/>
      <c r="F22" s="42" t="n"/>
      <c r="G22" s="74" t="n"/>
      <c r="H22" s="42" t="n"/>
    </row>
    <row r="23" ht="15" customHeight="1" s="54">
      <c r="A23" s="43">
        <f>B23&amp;"|"&amp;C23&amp;"|"&amp;D23</f>
        <v/>
      </c>
      <c r="B23" s="16" t="n"/>
      <c r="C23" s="43" t="n"/>
      <c r="D23" s="43" t="n"/>
      <c r="E23" s="41" t="n"/>
      <c r="F23" s="42" t="n"/>
      <c r="G23" s="74" t="n"/>
      <c r="H23" s="42" t="n"/>
    </row>
    <row r="24" ht="15" customHeight="1" s="54">
      <c r="A24" s="43">
        <f>B24&amp;"|"&amp;C24&amp;"|"&amp;D24</f>
        <v/>
      </c>
      <c r="B24" s="16" t="n"/>
      <c r="C24" s="43" t="n"/>
      <c r="D24" s="43" t="n"/>
      <c r="E24" s="41" t="n"/>
      <c r="F24" s="42" t="n"/>
      <c r="G24" s="74" t="n"/>
      <c r="H24" s="42" t="n"/>
    </row>
    <row r="25" ht="15" customHeight="1" s="54">
      <c r="A25" s="43">
        <f>B25&amp;"|"&amp;C25&amp;"|"&amp;D25</f>
        <v/>
      </c>
      <c r="B25" s="16" t="n"/>
      <c r="C25" s="43" t="n"/>
      <c r="D25" s="43" t="n"/>
      <c r="E25" s="41" t="n"/>
      <c r="F25" s="42" t="n"/>
      <c r="G25" s="74" t="n"/>
      <c r="H25" s="42" t="n"/>
    </row>
    <row r="26" ht="15" customHeight="1" s="54">
      <c r="A26" s="43">
        <f>B26&amp;"|"&amp;C26&amp;"|"&amp;D26</f>
        <v/>
      </c>
      <c r="B26" s="16" t="n"/>
      <c r="C26" s="43" t="n"/>
      <c r="D26" s="43" t="n"/>
      <c r="E26" s="41" t="n"/>
      <c r="F26" s="42" t="n"/>
      <c r="G26" s="74" t="n"/>
      <c r="H26" s="42" t="n"/>
    </row>
    <row r="27" ht="15" customHeight="1" s="54">
      <c r="A27" s="43">
        <f>B27&amp;"|"&amp;C27&amp;"|"&amp;D27</f>
        <v/>
      </c>
      <c r="B27" s="16" t="n"/>
      <c r="C27" s="43" t="n"/>
      <c r="D27" s="43" t="n"/>
      <c r="E27" s="41" t="n"/>
      <c r="F27" s="42" t="n"/>
      <c r="G27" s="74" t="n"/>
      <c r="H27" s="42" t="n"/>
    </row>
    <row r="28" ht="15" customHeight="1" s="54">
      <c r="A28" s="43">
        <f>B28&amp;"|"&amp;C28&amp;"|"&amp;D28</f>
        <v/>
      </c>
      <c r="B28" s="16" t="n"/>
      <c r="C28" s="43" t="n"/>
      <c r="D28" s="43" t="n"/>
      <c r="E28" s="41" t="n"/>
      <c r="F28" s="42" t="n"/>
      <c r="G28" s="74" t="n"/>
      <c r="H28" s="42" t="n"/>
    </row>
    <row r="29" ht="15" customHeight="1" s="54">
      <c r="A29" s="43">
        <f>B29&amp;"|"&amp;C29&amp;"|"&amp;D29</f>
        <v/>
      </c>
      <c r="B29" s="16" t="n"/>
      <c r="C29" s="43" t="n"/>
      <c r="D29" s="43" t="n"/>
      <c r="E29" s="41" t="n"/>
      <c r="F29" s="42" t="n"/>
      <c r="G29" s="74" t="n"/>
      <c r="H29" s="42" t="n"/>
    </row>
    <row r="30" ht="15" customHeight="1" s="54">
      <c r="A30" s="43">
        <f>B30&amp;"|"&amp;C30&amp;"|"&amp;D30</f>
        <v/>
      </c>
      <c r="B30" s="16" t="n"/>
      <c r="C30" s="43" t="n"/>
      <c r="D30" s="43" t="n"/>
      <c r="E30" s="41" t="n"/>
      <c r="F30" s="42" t="n"/>
      <c r="G30" s="74" t="n"/>
      <c r="H30" s="42" t="n"/>
    </row>
    <row r="31" ht="15" customHeight="1" s="54">
      <c r="A31" s="43">
        <f>B31&amp;"|"&amp;C31&amp;"|"&amp;D31</f>
        <v/>
      </c>
      <c r="B31" s="16" t="n"/>
      <c r="C31" s="43" t="n"/>
      <c r="D31" s="43" t="n"/>
      <c r="E31" s="41" t="n"/>
      <c r="F31" s="42" t="n"/>
      <c r="G31" s="74" t="n"/>
      <c r="H31" s="42" t="n"/>
    </row>
    <row r="32" ht="15" customHeight="1" s="54">
      <c r="A32" s="43">
        <f>B32&amp;"|"&amp;C32&amp;"|"&amp;D32</f>
        <v/>
      </c>
      <c r="B32" s="16" t="n"/>
      <c r="C32" s="43" t="n"/>
      <c r="D32" s="43" t="n"/>
      <c r="E32" s="41" t="n"/>
      <c r="F32" s="42" t="n"/>
      <c r="G32" s="74" t="n"/>
      <c r="H32" s="42" t="n"/>
    </row>
    <row r="33" ht="15" customHeight="1" s="54">
      <c r="A33" s="43">
        <f>B33&amp;"|"&amp;C33&amp;"|"&amp;D33</f>
        <v/>
      </c>
      <c r="B33" s="16" t="n"/>
      <c r="C33" s="43" t="n"/>
      <c r="D33" s="43" t="n"/>
      <c r="E33" s="41" t="n"/>
      <c r="F33" s="42" t="n"/>
      <c r="G33" s="74" t="n"/>
      <c r="H33" s="42" t="n"/>
    </row>
    <row r="34" ht="15" customHeight="1" s="54">
      <c r="A34" s="43">
        <f>B34&amp;"|"&amp;C34&amp;"|"&amp;D34</f>
        <v/>
      </c>
      <c r="B34" s="16" t="n"/>
      <c r="C34" s="43" t="n"/>
      <c r="D34" s="43" t="n"/>
      <c r="E34" s="41" t="n"/>
      <c r="F34" s="42" t="n"/>
      <c r="G34" s="74" t="n"/>
      <c r="H34" s="42" t="n"/>
    </row>
    <row r="35" ht="15" customHeight="1" s="54">
      <c r="A35" s="43">
        <f>B35&amp;"|"&amp;C35&amp;"|"&amp;D35</f>
        <v/>
      </c>
      <c r="B35" s="16" t="n"/>
      <c r="C35" s="43" t="n"/>
      <c r="D35" s="43" t="n"/>
      <c r="E35" s="41" t="n"/>
      <c r="F35" s="42" t="n"/>
      <c r="G35" s="74" t="n"/>
      <c r="H35" s="42" t="n"/>
    </row>
    <row r="36" ht="15" customHeight="1" s="54">
      <c r="A36" s="43">
        <f>B36&amp;"|"&amp;C36&amp;"|"&amp;D36</f>
        <v/>
      </c>
      <c r="B36" s="16" t="n"/>
      <c r="C36" s="43" t="n"/>
      <c r="D36" s="43" t="n"/>
      <c r="E36" s="41" t="n"/>
      <c r="F36" s="42" t="n"/>
      <c r="G36" s="74" t="n"/>
      <c r="H36" s="42" t="n"/>
    </row>
    <row r="37" ht="15" customHeight="1" s="54">
      <c r="A37" s="43">
        <f>B37&amp;"|"&amp;C37&amp;"|"&amp;D37</f>
        <v/>
      </c>
      <c r="B37" s="16" t="n"/>
      <c r="C37" s="43" t="n"/>
      <c r="D37" s="43" t="n"/>
      <c r="E37" s="41" t="n"/>
      <c r="F37" s="42" t="n"/>
      <c r="G37" s="74" t="n"/>
      <c r="H37" s="42" t="n"/>
    </row>
    <row r="38" ht="15" customHeight="1" s="54">
      <c r="A38" s="43">
        <f>B38&amp;"|"&amp;C38&amp;"|"&amp;D38</f>
        <v/>
      </c>
      <c r="B38" s="16" t="n"/>
      <c r="C38" s="43" t="n"/>
      <c r="D38" s="43" t="n"/>
      <c r="E38" s="41" t="n"/>
      <c r="F38" s="42" t="n"/>
      <c r="G38" s="74" t="n"/>
      <c r="H38" s="42" t="n"/>
    </row>
    <row r="39" ht="15" customHeight="1" s="54">
      <c r="A39" s="43">
        <f>B39&amp;"|"&amp;C39&amp;"|"&amp;D39</f>
        <v/>
      </c>
      <c r="B39" s="16" t="n"/>
      <c r="C39" s="43" t="n"/>
      <c r="D39" s="43" t="n"/>
      <c r="E39" s="41" t="n"/>
      <c r="F39" s="42" t="n"/>
      <c r="G39" s="74" t="n"/>
      <c r="H39" s="42" t="n"/>
    </row>
    <row r="40" ht="15" customHeight="1" s="54">
      <c r="A40" s="43">
        <f>B40&amp;"|"&amp;C40&amp;"|"&amp;D40</f>
        <v/>
      </c>
      <c r="B40" s="16" t="n"/>
      <c r="C40" s="43" t="n"/>
      <c r="D40" s="43" t="n"/>
      <c r="E40" s="41" t="n"/>
      <c r="F40" s="42" t="n"/>
      <c r="G40" s="74" t="n"/>
      <c r="H40" s="42" t="n"/>
    </row>
    <row r="41" ht="15" customHeight="1" s="54">
      <c r="A41" s="43">
        <f>B41&amp;"|"&amp;C41&amp;"|"&amp;D41</f>
        <v/>
      </c>
      <c r="B41" s="16" t="n"/>
      <c r="C41" s="43" t="n"/>
      <c r="D41" s="43" t="n"/>
      <c r="E41" s="41" t="n"/>
      <c r="F41" s="42" t="n"/>
      <c r="G41" s="74" t="n"/>
      <c r="H41" s="42" t="n"/>
    </row>
    <row r="42" ht="15" customHeight="1" s="54">
      <c r="A42" s="43">
        <f>B42&amp;"|"&amp;C42&amp;"|"&amp;D42</f>
        <v/>
      </c>
      <c r="B42" s="16" t="n"/>
      <c r="C42" s="43" t="n"/>
      <c r="D42" s="43" t="n"/>
      <c r="E42" s="41" t="n"/>
      <c r="F42" s="42" t="n"/>
      <c r="G42" s="74" t="n"/>
      <c r="H42" s="42" t="n"/>
    </row>
    <row r="43" ht="15" customHeight="1" s="54">
      <c r="A43" s="43">
        <f>B43&amp;"|"&amp;C43&amp;"|"&amp;D43</f>
        <v/>
      </c>
      <c r="B43" s="16" t="n"/>
      <c r="C43" s="43" t="n"/>
      <c r="D43" s="43" t="n"/>
      <c r="E43" s="41" t="n"/>
      <c r="F43" s="42" t="n"/>
      <c r="G43" s="74" t="n"/>
      <c r="H43" s="42" t="n"/>
    </row>
    <row r="44" ht="15" customHeight="1" s="54">
      <c r="A44" s="43">
        <f>B44&amp;"|"&amp;C44&amp;"|"&amp;D44</f>
        <v/>
      </c>
      <c r="B44" s="16" t="n"/>
      <c r="C44" s="43" t="n"/>
      <c r="D44" s="43" t="n"/>
      <c r="E44" s="41" t="n"/>
      <c r="F44" s="42" t="n"/>
      <c r="G44" s="74" t="n"/>
      <c r="H44" s="42" t="n"/>
    </row>
    <row r="45" ht="15" customHeight="1" s="54">
      <c r="A45" s="43">
        <f>B45&amp;"|"&amp;C45&amp;"|"&amp;D45</f>
        <v/>
      </c>
      <c r="B45" s="16" t="n"/>
      <c r="C45" s="43" t="n"/>
      <c r="D45" s="43" t="n"/>
      <c r="E45" s="41" t="n"/>
      <c r="F45" s="42" t="n"/>
      <c r="G45" s="74" t="n"/>
      <c r="H45" s="42" t="n"/>
    </row>
    <row r="46" ht="15" customHeight="1" s="54">
      <c r="A46" s="43">
        <f>B46&amp;"|"&amp;C46&amp;"|"&amp;D46</f>
        <v/>
      </c>
      <c r="B46" s="16" t="n"/>
      <c r="C46" s="43" t="n"/>
      <c r="D46" s="43" t="n"/>
      <c r="E46" s="41" t="n"/>
      <c r="F46" s="42" t="n"/>
      <c r="G46" s="74" t="n"/>
      <c r="H46" s="42" t="n"/>
    </row>
    <row r="47" ht="15" customHeight="1" s="54">
      <c r="A47" s="43">
        <f>B47&amp;"|"&amp;C47&amp;"|"&amp;D47</f>
        <v/>
      </c>
      <c r="B47" s="16" t="n"/>
      <c r="C47" s="43" t="n"/>
      <c r="D47" s="43" t="n"/>
      <c r="E47" s="41" t="n"/>
      <c r="F47" s="42" t="n"/>
      <c r="G47" s="74" t="n"/>
      <c r="H47" s="42" t="n"/>
    </row>
    <row r="48" ht="15" customHeight="1" s="54">
      <c r="A48" s="43">
        <f>B48&amp;"|"&amp;C48&amp;"|"&amp;D48</f>
        <v/>
      </c>
      <c r="B48" s="16" t="n"/>
      <c r="C48" s="43" t="n"/>
      <c r="D48" s="43" t="n"/>
      <c r="E48" s="41" t="n"/>
      <c r="F48" s="42" t="n"/>
      <c r="G48" s="74" t="n"/>
      <c r="H48" s="42" t="n"/>
    </row>
    <row r="49" ht="15" customHeight="1" s="54">
      <c r="A49" s="43">
        <f>B49&amp;"|"&amp;C49&amp;"|"&amp;D49</f>
        <v/>
      </c>
      <c r="B49" s="16" t="n"/>
      <c r="C49" s="43" t="n"/>
      <c r="D49" s="43" t="n"/>
      <c r="E49" s="41" t="n"/>
      <c r="F49" s="42" t="n"/>
      <c r="G49" s="74" t="n"/>
      <c r="H49" s="42" t="n"/>
    </row>
    <row r="50" ht="15" customHeight="1" s="54">
      <c r="A50" s="43">
        <f>B50&amp;"|"&amp;C50&amp;"|"&amp;D50</f>
        <v/>
      </c>
      <c r="B50" s="16" t="n"/>
      <c r="C50" s="43" t="n"/>
      <c r="D50" s="43" t="n"/>
      <c r="E50" s="41" t="n"/>
      <c r="F50" s="42" t="n"/>
      <c r="G50" s="74" t="n"/>
      <c r="H50" s="42" t="n"/>
    </row>
    <row r="51" ht="15" customHeight="1" s="54">
      <c r="A51" s="43">
        <f>B51&amp;"|"&amp;C51&amp;"|"&amp;D51</f>
        <v/>
      </c>
      <c r="B51" s="16" t="n"/>
      <c r="C51" s="43" t="n"/>
      <c r="D51" s="43" t="n"/>
      <c r="E51" s="41" t="n"/>
      <c r="F51" s="42" t="n"/>
      <c r="G51" s="74" t="n"/>
      <c r="H51" s="42" t="n"/>
    </row>
    <row r="52" ht="15" customHeight="1" s="54">
      <c r="A52" s="43">
        <f>B52&amp;"|"&amp;C52&amp;"|"&amp;D52</f>
        <v/>
      </c>
      <c r="B52" s="16" t="n"/>
      <c r="C52" s="43" t="n"/>
      <c r="D52" s="43" t="n"/>
      <c r="E52" s="41" t="n"/>
      <c r="F52" s="42" t="n"/>
      <c r="G52" s="74" t="n"/>
      <c r="H52" s="42" t="n"/>
    </row>
    <row r="53" ht="15" customHeight="1" s="54">
      <c r="A53" s="43">
        <f>B53&amp;"|"&amp;C53&amp;"|"&amp;D53</f>
        <v/>
      </c>
      <c r="B53" s="16" t="n"/>
      <c r="C53" s="43" t="n"/>
      <c r="D53" s="43" t="n"/>
      <c r="E53" s="41" t="n"/>
      <c r="F53" s="42" t="n"/>
      <c r="G53" s="74" t="n"/>
      <c r="H53" s="42" t="n"/>
    </row>
    <row r="54" ht="15" customHeight="1" s="54">
      <c r="A54" s="43">
        <f>B54&amp;"|"&amp;C54&amp;"|"&amp;D54</f>
        <v/>
      </c>
      <c r="B54" s="16" t="n"/>
      <c r="C54" s="43" t="n"/>
      <c r="D54" s="43" t="n"/>
      <c r="E54" s="41" t="n"/>
      <c r="F54" s="42" t="n"/>
      <c r="G54" s="74" t="n"/>
      <c r="H54" s="42" t="n"/>
    </row>
    <row r="55" ht="15" customHeight="1" s="54">
      <c r="A55" s="43">
        <f>B55&amp;"|"&amp;C55&amp;"|"&amp;D55</f>
        <v/>
      </c>
      <c r="B55" s="16" t="n"/>
      <c r="C55" s="43" t="n"/>
      <c r="D55" s="43" t="n"/>
      <c r="E55" s="41" t="n"/>
      <c r="F55" s="42" t="n"/>
      <c r="G55" s="74" t="n"/>
      <c r="H55" s="42" t="n"/>
    </row>
    <row r="56" ht="15" customHeight="1" s="54">
      <c r="A56" s="43">
        <f>B56&amp;"|"&amp;C56&amp;"|"&amp;D56</f>
        <v/>
      </c>
      <c r="B56" s="16" t="n"/>
      <c r="C56" s="43" t="n"/>
      <c r="D56" s="43" t="n"/>
      <c r="E56" s="41" t="n"/>
      <c r="F56" s="42" t="n"/>
      <c r="G56" s="74" t="n"/>
      <c r="H56" s="42" t="n"/>
    </row>
    <row r="57" ht="15" customHeight="1" s="54">
      <c r="A57" s="43">
        <f>B57&amp;"|"&amp;C57&amp;"|"&amp;D57</f>
        <v/>
      </c>
      <c r="B57" s="16" t="n"/>
      <c r="C57" s="43" t="n"/>
      <c r="D57" s="43" t="n"/>
      <c r="E57" s="41" t="n"/>
      <c r="F57" s="42" t="n"/>
      <c r="G57" s="74" t="n"/>
      <c r="H57" s="42" t="n"/>
    </row>
    <row r="58" ht="15" customHeight="1" s="54">
      <c r="A58" s="43">
        <f>B58&amp;"|"&amp;C58&amp;"|"&amp;D58</f>
        <v/>
      </c>
      <c r="B58" s="16" t="n"/>
      <c r="C58" s="43" t="n"/>
      <c r="D58" s="43" t="n"/>
      <c r="E58" s="41" t="n"/>
      <c r="F58" s="42" t="n"/>
      <c r="G58" s="74" t="n"/>
      <c r="H58" s="42" t="n"/>
    </row>
    <row r="59" ht="15" customHeight="1" s="54">
      <c r="A59" s="43">
        <f>B59&amp;"|"&amp;C59&amp;"|"&amp;D59</f>
        <v/>
      </c>
      <c r="B59" s="16" t="n"/>
      <c r="C59" s="43" t="n"/>
      <c r="D59" s="43" t="n"/>
      <c r="E59" s="41" t="n"/>
      <c r="F59" s="42" t="n"/>
      <c r="G59" s="74" t="n"/>
      <c r="H59" s="42" t="n"/>
    </row>
    <row r="60" ht="15" customHeight="1" s="54">
      <c r="A60" s="43">
        <f>B60&amp;"|"&amp;C60&amp;"|"&amp;D60</f>
        <v/>
      </c>
      <c r="B60" s="16" t="n"/>
      <c r="C60" s="43" t="n"/>
      <c r="D60" s="43" t="n"/>
      <c r="E60" s="41" t="n"/>
      <c r="F60" s="42" t="n"/>
      <c r="G60" s="74" t="n"/>
      <c r="H60" s="42" t="n"/>
    </row>
    <row r="61" ht="15" customHeight="1" s="54">
      <c r="A61" s="43">
        <f>B61&amp;"|"&amp;C61&amp;"|"&amp;D61</f>
        <v/>
      </c>
      <c r="B61" s="16" t="n"/>
      <c r="C61" s="43" t="n"/>
      <c r="D61" s="43" t="n"/>
      <c r="E61" s="41" t="n"/>
      <c r="F61" s="42" t="n"/>
      <c r="G61" s="74" t="n"/>
      <c r="H61" s="42" t="n"/>
    </row>
    <row r="62" ht="15" customHeight="1" s="54">
      <c r="A62" s="43">
        <f>B62&amp;"|"&amp;C62&amp;"|"&amp;D62</f>
        <v/>
      </c>
      <c r="B62" s="16" t="n"/>
      <c r="C62" s="43" t="n"/>
      <c r="D62" s="43" t="n"/>
      <c r="E62" s="41" t="n"/>
      <c r="F62" s="42" t="n"/>
      <c r="G62" s="74" t="n"/>
      <c r="H62" s="42" t="n"/>
    </row>
    <row r="63" ht="15" customHeight="1" s="54">
      <c r="A63" s="43">
        <f>B63&amp;"|"&amp;C63&amp;"|"&amp;D63</f>
        <v/>
      </c>
      <c r="B63" s="16" t="n"/>
      <c r="C63" s="43" t="n"/>
      <c r="D63" s="43" t="n"/>
      <c r="E63" s="41" t="n"/>
      <c r="F63" s="42" t="n"/>
      <c r="G63" s="74" t="n"/>
      <c r="H63" s="42" t="n"/>
    </row>
    <row r="64" ht="15" customHeight="1" s="54">
      <c r="A64" s="43">
        <f>B64&amp;"|"&amp;C64&amp;"|"&amp;D64</f>
        <v/>
      </c>
      <c r="B64" s="16" t="n"/>
      <c r="C64" s="43" t="n"/>
      <c r="D64" s="43" t="n"/>
      <c r="E64" s="41" t="n"/>
      <c r="F64" s="42" t="n"/>
      <c r="G64" s="74" t="n"/>
      <c r="H64" s="42" t="n"/>
    </row>
    <row r="65" ht="15" customHeight="1" s="54">
      <c r="A65" s="43">
        <f>B65&amp;"|"&amp;C65&amp;"|"&amp;D65</f>
        <v/>
      </c>
      <c r="B65" s="16" t="n"/>
      <c r="C65" s="43" t="n"/>
      <c r="D65" s="43" t="n"/>
      <c r="E65" s="41" t="n"/>
      <c r="F65" s="42" t="n"/>
      <c r="G65" s="74" t="n"/>
      <c r="H65" s="42" t="n"/>
    </row>
    <row r="66" ht="15" customHeight="1" s="54">
      <c r="A66" s="43">
        <f>B66&amp;"|"&amp;C66&amp;"|"&amp;D66</f>
        <v/>
      </c>
      <c r="B66" s="16" t="n"/>
      <c r="C66" s="43" t="n"/>
      <c r="D66" s="43" t="n"/>
      <c r="E66" s="41" t="n"/>
      <c r="F66" s="42" t="n"/>
      <c r="G66" s="74" t="n"/>
      <c r="H66" s="42" t="n"/>
    </row>
    <row r="67" ht="15" customHeight="1" s="54">
      <c r="A67" s="43">
        <f>B67&amp;"|"&amp;C67&amp;"|"&amp;D67</f>
        <v/>
      </c>
      <c r="B67" s="16" t="n"/>
      <c r="C67" s="43" t="n"/>
      <c r="D67" s="43" t="n"/>
      <c r="E67" s="41" t="n"/>
      <c r="F67" s="42" t="n"/>
      <c r="G67" s="74" t="n"/>
      <c r="H67" s="42" t="n"/>
    </row>
    <row r="68" ht="15" customHeight="1" s="54">
      <c r="A68" s="43">
        <f>B68&amp;"|"&amp;C68&amp;"|"&amp;D68</f>
        <v/>
      </c>
      <c r="B68" s="16" t="n"/>
      <c r="C68" s="43" t="n"/>
      <c r="D68" s="43" t="n"/>
      <c r="E68" s="41" t="n"/>
      <c r="F68" s="42" t="n"/>
      <c r="G68" s="74" t="n"/>
      <c r="H68" s="42" t="n"/>
    </row>
    <row r="69" ht="15" customHeight="1" s="54">
      <c r="A69" s="43">
        <f>B69&amp;"|"&amp;C69&amp;"|"&amp;D69</f>
        <v/>
      </c>
      <c r="B69" s="16" t="n"/>
      <c r="C69" s="43" t="n"/>
      <c r="D69" s="43" t="n"/>
      <c r="E69" s="41" t="n"/>
      <c r="F69" s="42" t="n"/>
      <c r="G69" s="74" t="n"/>
      <c r="H69" s="42" t="n"/>
    </row>
    <row r="70" ht="15" customHeight="1" s="54">
      <c r="A70" s="43">
        <f>B70&amp;"|"&amp;C70&amp;"|"&amp;D70</f>
        <v/>
      </c>
      <c r="B70" s="16" t="n"/>
      <c r="C70" s="43" t="n"/>
      <c r="D70" s="43" t="n"/>
      <c r="E70" s="41" t="n"/>
      <c r="F70" s="42" t="n"/>
      <c r="G70" s="74" t="n"/>
      <c r="H70" s="42" t="n"/>
    </row>
    <row r="71" ht="15" customHeight="1" s="54">
      <c r="A71" s="43">
        <f>B71&amp;"|"&amp;C71&amp;"|"&amp;D71</f>
        <v/>
      </c>
      <c r="B71" s="16" t="n"/>
      <c r="C71" s="43" t="n"/>
      <c r="D71" s="43" t="n"/>
      <c r="E71" s="41" t="n"/>
      <c r="F71" s="42" t="n"/>
      <c r="G71" s="74" t="n"/>
      <c r="H71" s="42" t="n"/>
    </row>
    <row r="72" ht="15" customHeight="1" s="54">
      <c r="A72" s="43">
        <f>B72&amp;"|"&amp;C72&amp;"|"&amp;D72</f>
        <v/>
      </c>
      <c r="B72" s="16" t="n"/>
      <c r="C72" s="43" t="n"/>
      <c r="D72" s="43" t="n"/>
      <c r="E72" s="41" t="n"/>
      <c r="F72" s="42" t="n"/>
      <c r="G72" s="74" t="n"/>
      <c r="H72" s="42" t="n"/>
    </row>
    <row r="73" ht="15" customHeight="1" s="54">
      <c r="A73" s="43">
        <f>B73&amp;"|"&amp;C73&amp;"|"&amp;D73</f>
        <v/>
      </c>
      <c r="B73" s="16" t="n"/>
      <c r="C73" s="43" t="n"/>
      <c r="D73" s="43" t="n"/>
      <c r="E73" s="41" t="n"/>
      <c r="F73" s="42" t="n"/>
      <c r="G73" s="74" t="n"/>
      <c r="H73" s="42" t="n"/>
    </row>
    <row r="74" ht="15" customHeight="1" s="54">
      <c r="A74" s="43">
        <f>B74&amp;"|"&amp;C74&amp;"|"&amp;D74</f>
        <v/>
      </c>
      <c r="B74" s="16" t="n"/>
      <c r="C74" s="43" t="n"/>
      <c r="D74" s="43" t="n"/>
      <c r="E74" s="41" t="n"/>
      <c r="F74" s="42" t="n"/>
      <c r="G74" s="74" t="n"/>
      <c r="H74" s="42" t="n"/>
    </row>
    <row r="75" ht="15" customHeight="1" s="54">
      <c r="A75" s="43">
        <f>B75&amp;"|"&amp;C75&amp;"|"&amp;D75</f>
        <v/>
      </c>
      <c r="B75" s="16" t="n"/>
      <c r="C75" s="43" t="n"/>
      <c r="D75" s="43" t="n"/>
      <c r="E75" s="41" t="n"/>
      <c r="F75" s="42" t="n"/>
      <c r="G75" s="74" t="n"/>
      <c r="H75" s="42" t="n"/>
    </row>
    <row r="76" ht="15" customHeight="1" s="54">
      <c r="A76" s="43">
        <f>B76&amp;"|"&amp;C76&amp;"|"&amp;D76</f>
        <v/>
      </c>
      <c r="B76" s="16" t="n"/>
      <c r="C76" s="43" t="n"/>
      <c r="D76" s="43" t="n"/>
      <c r="E76" s="41" t="n"/>
      <c r="F76" s="42" t="n"/>
      <c r="G76" s="74" t="n"/>
      <c r="H76" s="42" t="n"/>
    </row>
    <row r="77" ht="15" customHeight="1" s="54">
      <c r="A77" s="43">
        <f>B77&amp;"|"&amp;C77&amp;"|"&amp;D77</f>
        <v/>
      </c>
      <c r="B77" s="16" t="n"/>
      <c r="C77" s="43" t="n"/>
      <c r="D77" s="43" t="n"/>
      <c r="E77" s="41" t="n"/>
      <c r="F77" s="42" t="n"/>
      <c r="G77" s="74" t="n"/>
      <c r="H77" s="42" t="n"/>
    </row>
    <row r="78" ht="15" customHeight="1" s="54">
      <c r="A78" s="43">
        <f>B78&amp;"|"&amp;C78&amp;"|"&amp;D78</f>
        <v/>
      </c>
      <c r="B78" s="16" t="n"/>
      <c r="C78" s="43" t="n"/>
      <c r="D78" s="43" t="n"/>
      <c r="E78" s="41" t="n"/>
      <c r="F78" s="42" t="n"/>
      <c r="G78" s="74" t="n"/>
      <c r="H78" s="42" t="n"/>
    </row>
    <row r="79" ht="15" customHeight="1" s="54">
      <c r="A79" s="43">
        <f>B79&amp;"|"&amp;C79&amp;"|"&amp;D79</f>
        <v/>
      </c>
      <c r="B79" s="16" t="n"/>
      <c r="C79" s="43" t="n"/>
      <c r="D79" s="43" t="n"/>
      <c r="E79" s="41" t="n"/>
      <c r="F79" s="42" t="n"/>
      <c r="G79" s="74" t="n"/>
      <c r="H79" s="42" t="n"/>
    </row>
    <row r="80" ht="15" customHeight="1" s="54">
      <c r="A80" s="43">
        <f>B80&amp;"|"&amp;C80&amp;"|"&amp;D80</f>
        <v/>
      </c>
      <c r="B80" s="16" t="n"/>
      <c r="C80" s="43" t="n"/>
      <c r="D80" s="43" t="n"/>
      <c r="E80" s="41" t="n"/>
      <c r="F80" s="42" t="n"/>
      <c r="G80" s="74" t="n"/>
      <c r="H80" s="42" t="n"/>
    </row>
    <row r="81" ht="15" customHeight="1" s="54">
      <c r="A81" s="43">
        <f>B81&amp;"|"&amp;C81&amp;"|"&amp;D81</f>
        <v/>
      </c>
      <c r="B81" s="16" t="n"/>
      <c r="C81" s="43" t="n"/>
      <c r="D81" s="43" t="n"/>
      <c r="E81" s="41" t="n"/>
      <c r="F81" s="42" t="n"/>
      <c r="G81" s="74" t="n"/>
      <c r="H81" s="42" t="n"/>
    </row>
    <row r="82" ht="15" customHeight="1" s="54">
      <c r="A82" s="43">
        <f>B82&amp;"|"&amp;C82&amp;"|"&amp;D82</f>
        <v/>
      </c>
      <c r="B82" s="16" t="n"/>
      <c r="C82" s="43" t="n"/>
      <c r="D82" s="43" t="n"/>
      <c r="E82" s="41" t="n"/>
      <c r="F82" s="42" t="n"/>
      <c r="G82" s="74" t="n"/>
      <c r="H82" s="42" t="n"/>
    </row>
    <row r="83" ht="15" customHeight="1" s="54">
      <c r="A83" s="43">
        <f>B83&amp;"|"&amp;C83&amp;"|"&amp;D83</f>
        <v/>
      </c>
      <c r="B83" s="16" t="n"/>
      <c r="C83" s="43" t="n"/>
      <c r="D83" s="43" t="n"/>
      <c r="E83" s="41" t="n"/>
      <c r="F83" s="42" t="n"/>
      <c r="G83" s="74" t="n"/>
      <c r="H83" s="42" t="n"/>
    </row>
    <row r="84" ht="15" customHeight="1" s="54">
      <c r="A84" s="43">
        <f>B84&amp;"|"&amp;C84&amp;"|"&amp;D84</f>
        <v/>
      </c>
      <c r="B84" s="16" t="n"/>
      <c r="C84" s="43" t="n"/>
      <c r="D84" s="43" t="n"/>
      <c r="E84" s="41" t="n"/>
      <c r="F84" s="42" t="n"/>
      <c r="G84" s="74" t="n"/>
      <c r="H84" s="42" t="n"/>
    </row>
    <row r="85" ht="15" customHeight="1" s="54">
      <c r="A85" s="43">
        <f>B85&amp;"|"&amp;C85&amp;"|"&amp;D85</f>
        <v/>
      </c>
      <c r="B85" s="16" t="n"/>
      <c r="C85" s="43" t="n"/>
      <c r="D85" s="43" t="n"/>
      <c r="E85" s="41" t="n"/>
      <c r="F85" s="42" t="n"/>
      <c r="G85" s="74" t="n"/>
      <c r="H85" s="42" t="n"/>
    </row>
    <row r="86" ht="15" customHeight="1" s="54">
      <c r="A86" s="43">
        <f>B86&amp;"|"&amp;C86&amp;"|"&amp;D86</f>
        <v/>
      </c>
      <c r="B86" s="16" t="n"/>
      <c r="C86" s="43" t="n"/>
      <c r="D86" s="43" t="n"/>
      <c r="E86" s="41" t="n"/>
      <c r="F86" s="42" t="n"/>
      <c r="G86" s="74" t="n"/>
      <c r="H86" s="42" t="n"/>
    </row>
    <row r="87" ht="15" customHeight="1" s="54">
      <c r="A87" s="43">
        <f>B87&amp;"|"&amp;C87&amp;"|"&amp;D87</f>
        <v/>
      </c>
      <c r="B87" s="16" t="n"/>
      <c r="C87" s="43" t="n"/>
      <c r="D87" s="43" t="n"/>
      <c r="E87" s="41" t="n"/>
      <c r="F87" s="42" t="n"/>
      <c r="G87" s="74" t="n"/>
      <c r="H87" s="42" t="n"/>
    </row>
    <row r="88" ht="15" customHeight="1" s="54">
      <c r="A88" s="43">
        <f>B88&amp;"|"&amp;C88&amp;"|"&amp;D88</f>
        <v/>
      </c>
      <c r="B88" s="16" t="n"/>
      <c r="C88" s="43" t="n"/>
      <c r="D88" s="43" t="n"/>
      <c r="E88" s="41" t="n"/>
      <c r="F88" s="42" t="n"/>
      <c r="G88" s="74" t="n"/>
      <c r="H88" s="42" t="n"/>
    </row>
    <row r="89" ht="15" customHeight="1" s="54">
      <c r="A89" s="43">
        <f>B89&amp;"|"&amp;C89&amp;"|"&amp;D89</f>
        <v/>
      </c>
      <c r="B89" s="16" t="n"/>
      <c r="C89" s="43" t="n"/>
      <c r="D89" s="43" t="n"/>
      <c r="E89" s="41" t="n"/>
      <c r="F89" s="42" t="n"/>
      <c r="G89" s="74" t="n"/>
      <c r="H89" s="42" t="n"/>
    </row>
    <row r="90" ht="15" customHeight="1" s="54">
      <c r="A90" s="43">
        <f>B90&amp;"|"&amp;C90&amp;"|"&amp;D90</f>
        <v/>
      </c>
      <c r="B90" s="16" t="n"/>
      <c r="C90" s="43" t="n"/>
      <c r="D90" s="43" t="n"/>
      <c r="E90" s="41" t="n"/>
      <c r="F90" s="42" t="n"/>
      <c r="G90" s="74" t="n"/>
      <c r="H90" s="42" t="n"/>
    </row>
    <row r="91" ht="15" customHeight="1" s="54">
      <c r="A91" s="43">
        <f>B91&amp;"|"&amp;C91&amp;"|"&amp;D91</f>
        <v/>
      </c>
      <c r="B91" s="16" t="n"/>
      <c r="C91" s="43" t="n"/>
      <c r="D91" s="43" t="n"/>
      <c r="E91" s="41" t="n"/>
      <c r="F91" s="42" t="n"/>
      <c r="G91" s="74" t="n"/>
      <c r="H91" s="42" t="n"/>
    </row>
    <row r="92" ht="15" customHeight="1" s="54">
      <c r="A92" s="43">
        <f>B92&amp;"|"&amp;C92&amp;"|"&amp;D92</f>
        <v/>
      </c>
      <c r="B92" s="16" t="n"/>
      <c r="C92" s="43" t="n"/>
      <c r="D92" s="43" t="n"/>
      <c r="E92" s="41" t="n"/>
      <c r="F92" s="42" t="n"/>
      <c r="G92" s="74" t="n"/>
      <c r="H92" s="42" t="n"/>
    </row>
    <row r="93" ht="15" customHeight="1" s="54">
      <c r="A93" s="43">
        <f>B93&amp;"|"&amp;C93&amp;"|"&amp;D93</f>
        <v/>
      </c>
      <c r="B93" s="16" t="n"/>
      <c r="C93" s="43" t="n"/>
      <c r="D93" s="43" t="n"/>
      <c r="E93" s="41" t="n"/>
      <c r="F93" s="42" t="n"/>
      <c r="G93" s="74" t="n"/>
      <c r="H93" s="42" t="n"/>
    </row>
    <row r="94" ht="15" customHeight="1" s="54">
      <c r="A94" s="43">
        <f>B94&amp;"|"&amp;C94&amp;"|"&amp;D94</f>
        <v/>
      </c>
      <c r="B94" s="16" t="n"/>
      <c r="C94" s="43" t="n"/>
      <c r="D94" s="43" t="n"/>
      <c r="E94" s="41" t="n"/>
      <c r="F94" s="42" t="n"/>
      <c r="G94" s="74" t="n"/>
      <c r="H94" s="42" t="n"/>
    </row>
    <row r="95" ht="15" customHeight="1" s="54">
      <c r="A95" s="43">
        <f>B95&amp;"|"&amp;C95&amp;"|"&amp;D95</f>
        <v/>
      </c>
      <c r="B95" s="16" t="n"/>
      <c r="C95" s="43" t="n"/>
      <c r="D95" s="43" t="n"/>
      <c r="E95" s="41" t="n"/>
      <c r="F95" s="42" t="n"/>
      <c r="G95" s="74" t="n"/>
      <c r="H95" s="42" t="n"/>
    </row>
    <row r="96" ht="15" customHeight="1" s="54">
      <c r="A96" s="43">
        <f>B96&amp;"|"&amp;C96&amp;"|"&amp;D96</f>
        <v/>
      </c>
      <c r="B96" s="16" t="n"/>
      <c r="C96" s="43" t="n"/>
      <c r="D96" s="43" t="n"/>
      <c r="E96" s="41" t="n"/>
      <c r="F96" s="42" t="n"/>
      <c r="G96" s="74" t="n"/>
      <c r="H96" s="42" t="n"/>
    </row>
  </sheetData>
  <mergeCells count="1">
    <mergeCell ref="A2:H2"/>
  </mergeCells>
  <conditionalFormatting sqref="H5:H96">
    <cfRule type="expression" priority="2" dxfId="6">
      <formula>$H5="Missing"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S16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149" sqref="A149"/>
      <selection pane="bottomRight" activeCell="A2" sqref="A2:S2"/>
    </sheetView>
  </sheetViews>
  <sheetFormatPr baseColWidth="10" defaultColWidth="8.6640625" defaultRowHeight="15"/>
  <cols>
    <col width="5" customWidth="1" style="54" min="1" max="1"/>
    <col width="14" customWidth="1" style="54" min="2" max="2"/>
    <col width="20" customWidth="1" style="54" min="3" max="3"/>
    <col width="16" customWidth="1" style="54" min="4" max="4"/>
    <col width="22" customWidth="1" style="54" min="5" max="5"/>
    <col width="16" customWidth="1" style="54" min="6" max="6"/>
    <col width="14" customWidth="1" style="54" min="7" max="9"/>
    <col width="10" customWidth="1" style="54" min="10" max="11"/>
    <col width="12" customWidth="1" style="54" min="12" max="13"/>
    <col width="14" customWidth="1" style="54" min="14" max="14"/>
    <col width="16" customWidth="1" style="54" min="15" max="17"/>
    <col width="12" customWidth="1" style="54" min="18" max="18"/>
    <col width="26" customWidth="1" style="54" min="19" max="19"/>
  </cols>
  <sheetData>
    <row r="2" ht="30" customHeight="1" s="54">
      <c r="A2" s="9" t="inlineStr">
        <is>
          <t>MUTUAL FUND HOLDINGS — LOT LEVEL</t>
        </is>
      </c>
    </row>
    <row r="4" ht="42" customHeight="1" s="54">
      <c r="A4" s="15" t="inlineStr">
        <is>
          <t>#</t>
        </is>
      </c>
      <c r="B4" s="15" t="inlineStr">
        <is>
          <t>AMC</t>
        </is>
      </c>
      <c r="C4" s="15" t="inlineStr">
        <is>
          <t>Fund Name</t>
        </is>
      </c>
      <c r="D4" s="15" t="inlineStr">
        <is>
          <t>Asset Class</t>
        </is>
      </c>
      <c r="E4" s="15" t="inlineStr">
        <is>
          <t>Theme</t>
        </is>
      </c>
      <c r="F4" s="15" t="inlineStr">
        <is>
          <t>Geography</t>
        </is>
      </c>
      <c r="G4" s="15" t="inlineStr">
        <is>
          <t>Tax Status</t>
        </is>
      </c>
      <c r="H4" s="15" t="inlineStr">
        <is>
          <t>Purchase Date</t>
        </is>
      </c>
      <c r="I4" s="15" t="inlineStr">
        <is>
          <t>Purch. Yr</t>
        </is>
      </c>
      <c r="J4" s="15" t="inlineStr">
        <is>
          <t>Sellable Yr</t>
        </is>
      </c>
      <c r="K4" s="15" t="inlineStr">
        <is>
          <t>Yrs Held</t>
        </is>
      </c>
      <c r="L4" s="15" t="inlineStr">
        <is>
          <t>Units</t>
        </is>
      </c>
      <c r="M4" s="15" t="inlineStr">
        <is>
          <t>Avg Cost</t>
        </is>
      </c>
      <c r="N4" s="15" t="inlineStr">
        <is>
          <t>Current NAV</t>
        </is>
      </c>
      <c r="O4" s="15" t="inlineStr">
        <is>
          <t>Initial Inv (฿)</t>
        </is>
      </c>
      <c r="P4" s="15" t="inlineStr">
        <is>
          <t>Current Value (฿)</t>
        </is>
      </c>
      <c r="Q4" s="15" t="inlineStr">
        <is>
          <t>Unrealized P&amp;L (฿)</t>
        </is>
      </c>
      <c r="R4" s="15" t="inlineStr">
        <is>
          <t>P&amp;L %</t>
        </is>
      </c>
      <c r="S4" s="15" t="inlineStr">
        <is>
          <t>Note</t>
        </is>
      </c>
    </row>
    <row r="5" ht="15" customHeight="1" s="54">
      <c r="A5" s="43" t="n">
        <v>1</v>
      </c>
      <c r="B5" s="43" t="n"/>
      <c r="C5" s="43" t="n"/>
      <c r="D5" s="25">
        <f>IFERROR(INDEX(Reference!$E:$E,MATCH("Mutual Fund|"&amp;C5&amp;"|"&amp;B5,Reference!$A:$A,0)),"")</f>
        <v/>
      </c>
      <c r="E5" s="25">
        <f>IFERROR(INDEX(Reference!$H:$H,MATCH("Mutual Fund|"&amp;C5&amp;"|"&amp;B5,Reference!$A:$A,0)),"")</f>
        <v/>
      </c>
      <c r="F5" s="25">
        <f>IFERROR(INDEX(Reference!$G:$G,MATCH("Mutual Fund|"&amp;C5&amp;"|"&amp;B5,Reference!$A:$A,0)),"")</f>
        <v/>
      </c>
      <c r="G5" s="25">
        <f>IFERROR(INDEX(Reference!$I:$I,MATCH("Mutual Fund|"&amp;C5&amp;"|"&amp;B5,Reference!$A:$A,0)),"")</f>
        <v/>
      </c>
      <c r="H5" s="78" t="n"/>
      <c r="I5" s="45" t="n"/>
      <c r="J5" s="46" t="n"/>
      <c r="K5" s="79">
        <f>IFERROR(IF(H5="","",(AsOfDate-H5)/365.25),"")</f>
        <v/>
      </c>
      <c r="L5" s="48" t="n"/>
      <c r="M5" s="48" t="n"/>
      <c r="N5" s="49">
        <f>IFERROR(INDEX(Prices!$E:$E,MATCH("Mutual Fund|"&amp;C5&amp;"|"&amp;B5,Prices!$A:$A,0)),0)</f>
        <v/>
      </c>
      <c r="O5" s="50" t="n"/>
      <c r="P5" s="50">
        <f>L5*N5</f>
        <v/>
      </c>
      <c r="Q5" s="50">
        <f>P5-O5</f>
        <v/>
      </c>
      <c r="R5" s="64">
        <f>IFERROR(Q5/O5,0)</f>
        <v/>
      </c>
      <c r="S5" s="43" t="n"/>
    </row>
    <row r="6" ht="15" customHeight="1" s="54">
      <c r="A6" s="43" t="n">
        <v>2</v>
      </c>
      <c r="B6" s="43" t="n"/>
      <c r="C6" s="43" t="n"/>
      <c r="D6" s="25">
        <f>IFERROR(INDEX(Reference!$E:$E,MATCH("Mutual Fund|"&amp;C6&amp;"|"&amp;B6,Reference!$A:$A,0)),"")</f>
        <v/>
      </c>
      <c r="E6" s="25">
        <f>IFERROR(INDEX(Reference!$H:$H,MATCH("Mutual Fund|"&amp;C6&amp;"|"&amp;B6,Reference!$A:$A,0)),"")</f>
        <v/>
      </c>
      <c r="F6" s="25">
        <f>IFERROR(INDEX(Reference!$G:$G,MATCH("Mutual Fund|"&amp;C6&amp;"|"&amp;B6,Reference!$A:$A,0)),"")</f>
        <v/>
      </c>
      <c r="G6" s="25">
        <f>IFERROR(INDEX(Reference!$I:$I,MATCH("Mutual Fund|"&amp;C6&amp;"|"&amp;B6,Reference!$A:$A,0)),"")</f>
        <v/>
      </c>
      <c r="H6" s="78" t="n"/>
      <c r="I6" s="45" t="n"/>
      <c r="J6" s="46" t="n"/>
      <c r="K6" s="79">
        <f>IFERROR(IF(H6="","",(AsOfDate-H6)/365.25),"")</f>
        <v/>
      </c>
      <c r="L6" s="48" t="n"/>
      <c r="M6" s="48" t="n"/>
      <c r="N6" s="49">
        <f>IFERROR(INDEX(Prices!$E:$E,MATCH("Mutual Fund|"&amp;C6&amp;"|"&amp;B6,Prices!$A:$A,0)),0)</f>
        <v/>
      </c>
      <c r="O6" s="50" t="n"/>
      <c r="P6" s="50">
        <f>L6*N6</f>
        <v/>
      </c>
      <c r="Q6" s="50">
        <f>P6-O6</f>
        <v/>
      </c>
      <c r="R6" s="64">
        <f>IFERROR(Q6/O6,0)</f>
        <v/>
      </c>
      <c r="S6" s="43" t="n"/>
    </row>
    <row r="7" ht="15" customHeight="1" s="54">
      <c r="A7" s="43" t="n">
        <v>3</v>
      </c>
      <c r="B7" s="43" t="n"/>
      <c r="C7" s="43" t="n"/>
      <c r="D7" s="25">
        <f>IFERROR(INDEX(Reference!$E:$E,MATCH("Mutual Fund|"&amp;C7&amp;"|"&amp;B7,Reference!$A:$A,0)),"")</f>
        <v/>
      </c>
      <c r="E7" s="25">
        <f>IFERROR(INDEX(Reference!$H:$H,MATCH("Mutual Fund|"&amp;C7&amp;"|"&amp;B7,Reference!$A:$A,0)),"")</f>
        <v/>
      </c>
      <c r="F7" s="25">
        <f>IFERROR(INDEX(Reference!$G:$G,MATCH("Mutual Fund|"&amp;C7&amp;"|"&amp;B7,Reference!$A:$A,0)),"")</f>
        <v/>
      </c>
      <c r="G7" s="25">
        <f>IFERROR(INDEX(Reference!$I:$I,MATCH("Mutual Fund|"&amp;C7&amp;"|"&amp;B7,Reference!$A:$A,0)),"")</f>
        <v/>
      </c>
      <c r="H7" s="78" t="n"/>
      <c r="I7" s="45" t="n"/>
      <c r="J7" s="46" t="n"/>
      <c r="K7" s="79">
        <f>IFERROR(IF(H7="","",(AsOfDate-H7)/365.25),"")</f>
        <v/>
      </c>
      <c r="L7" s="48" t="n"/>
      <c r="M7" s="48" t="n"/>
      <c r="N7" s="49">
        <f>IFERROR(INDEX(Prices!$E:$E,MATCH("Mutual Fund|"&amp;C7&amp;"|"&amp;B7,Prices!$A:$A,0)),0)</f>
        <v/>
      </c>
      <c r="O7" s="50" t="n"/>
      <c r="P7" s="50">
        <f>L7*N7</f>
        <v/>
      </c>
      <c r="Q7" s="50">
        <f>P7-O7</f>
        <v/>
      </c>
      <c r="R7" s="64">
        <f>IFERROR(Q7/O7,0)</f>
        <v/>
      </c>
      <c r="S7" s="43" t="n"/>
    </row>
    <row r="8" ht="15" customHeight="1" s="54">
      <c r="A8" s="43" t="n">
        <v>4</v>
      </c>
      <c r="B8" s="43" t="n"/>
      <c r="C8" s="43" t="n"/>
      <c r="D8" s="25">
        <f>IFERROR(INDEX(Reference!$E:$E,MATCH("Mutual Fund|"&amp;C8&amp;"|"&amp;B8,Reference!$A:$A,0)),"")</f>
        <v/>
      </c>
      <c r="E8" s="25">
        <f>IFERROR(INDEX(Reference!$H:$H,MATCH("Mutual Fund|"&amp;C8&amp;"|"&amp;B8,Reference!$A:$A,0)),"")</f>
        <v/>
      </c>
      <c r="F8" s="25">
        <f>IFERROR(INDEX(Reference!$G:$G,MATCH("Mutual Fund|"&amp;C8&amp;"|"&amp;B8,Reference!$A:$A,0)),"")</f>
        <v/>
      </c>
      <c r="G8" s="25">
        <f>IFERROR(INDEX(Reference!$I:$I,MATCH("Mutual Fund|"&amp;C8&amp;"|"&amp;B8,Reference!$A:$A,0)),"")</f>
        <v/>
      </c>
      <c r="H8" s="78" t="n"/>
      <c r="I8" s="45" t="n"/>
      <c r="J8" s="46" t="n"/>
      <c r="K8" s="79">
        <f>IFERROR(IF(H8="","",(AsOfDate-H8)/365.25),"")</f>
        <v/>
      </c>
      <c r="L8" s="48" t="n"/>
      <c r="M8" s="48" t="n"/>
      <c r="N8" s="49">
        <f>IFERROR(INDEX(Prices!$E:$E,MATCH("Mutual Fund|"&amp;C8&amp;"|"&amp;B8,Prices!$A:$A,0)),0)</f>
        <v/>
      </c>
      <c r="O8" s="50" t="n"/>
      <c r="P8" s="50">
        <f>L8*N8</f>
        <v/>
      </c>
      <c r="Q8" s="50">
        <f>P8-O8</f>
        <v/>
      </c>
      <c r="R8" s="64">
        <f>IFERROR(Q8/O8,0)</f>
        <v/>
      </c>
      <c r="S8" s="43" t="n"/>
    </row>
    <row r="9" ht="15" customHeight="1" s="54">
      <c r="A9" s="43" t="n">
        <v>5</v>
      </c>
      <c r="B9" s="43" t="n"/>
      <c r="C9" s="43" t="n"/>
      <c r="D9" s="25">
        <f>IFERROR(INDEX(Reference!$E:$E,MATCH("Mutual Fund|"&amp;C9&amp;"|"&amp;B9,Reference!$A:$A,0)),"")</f>
        <v/>
      </c>
      <c r="E9" s="25">
        <f>IFERROR(INDEX(Reference!$H:$H,MATCH("Mutual Fund|"&amp;C9&amp;"|"&amp;B9,Reference!$A:$A,0)),"")</f>
        <v/>
      </c>
      <c r="F9" s="25">
        <f>IFERROR(INDEX(Reference!$G:$G,MATCH("Mutual Fund|"&amp;C9&amp;"|"&amp;B9,Reference!$A:$A,0)),"")</f>
        <v/>
      </c>
      <c r="G9" s="25">
        <f>IFERROR(INDEX(Reference!$I:$I,MATCH("Mutual Fund|"&amp;C9&amp;"|"&amp;B9,Reference!$A:$A,0)),"")</f>
        <v/>
      </c>
      <c r="H9" s="78" t="n"/>
      <c r="I9" s="45" t="n"/>
      <c r="J9" s="46" t="n"/>
      <c r="K9" s="79">
        <f>IFERROR(IF(H9="","",(AsOfDate-H9)/365.25),"")</f>
        <v/>
      </c>
      <c r="L9" s="48" t="n"/>
      <c r="M9" s="48" t="n"/>
      <c r="N9" s="49">
        <f>IFERROR(INDEX(Prices!$E:$E,MATCH("Mutual Fund|"&amp;C9&amp;"|"&amp;B9,Prices!$A:$A,0)),0)</f>
        <v/>
      </c>
      <c r="O9" s="50" t="n"/>
      <c r="P9" s="50">
        <f>L9*N9</f>
        <v/>
      </c>
      <c r="Q9" s="50">
        <f>P9-O9</f>
        <v/>
      </c>
      <c r="R9" s="64">
        <f>IFERROR(Q9/O9,0)</f>
        <v/>
      </c>
      <c r="S9" s="43" t="n"/>
    </row>
    <row r="10" ht="15" customHeight="1" s="54">
      <c r="A10" s="43" t="n">
        <v>6</v>
      </c>
      <c r="B10" s="43" t="n"/>
      <c r="C10" s="43" t="n"/>
      <c r="D10" s="25">
        <f>IFERROR(INDEX(Reference!$E:$E,MATCH("Mutual Fund|"&amp;C10&amp;"|"&amp;B10,Reference!$A:$A,0)),"")</f>
        <v/>
      </c>
      <c r="E10" s="25">
        <f>IFERROR(INDEX(Reference!$H:$H,MATCH("Mutual Fund|"&amp;C10&amp;"|"&amp;B10,Reference!$A:$A,0)),"")</f>
        <v/>
      </c>
      <c r="F10" s="25">
        <f>IFERROR(INDEX(Reference!$G:$G,MATCH("Mutual Fund|"&amp;C10&amp;"|"&amp;B10,Reference!$A:$A,0)),"")</f>
        <v/>
      </c>
      <c r="G10" s="25">
        <f>IFERROR(INDEX(Reference!$I:$I,MATCH("Mutual Fund|"&amp;C10&amp;"|"&amp;B10,Reference!$A:$A,0)),"")</f>
        <v/>
      </c>
      <c r="H10" s="78" t="n"/>
      <c r="I10" s="45" t="n"/>
      <c r="J10" s="46" t="n"/>
      <c r="K10" s="79">
        <f>IFERROR(IF(H10="","",(AsOfDate-H10)/365.25),"")</f>
        <v/>
      </c>
      <c r="L10" s="48" t="n"/>
      <c r="M10" s="48" t="n"/>
      <c r="N10" s="49">
        <f>IFERROR(INDEX(Prices!$E:$E,MATCH("Mutual Fund|"&amp;C10&amp;"|"&amp;B10,Prices!$A:$A,0)),0)</f>
        <v/>
      </c>
      <c r="O10" s="50" t="n"/>
      <c r="P10" s="50">
        <f>L10*N10</f>
        <v/>
      </c>
      <c r="Q10" s="50">
        <f>P10-O10</f>
        <v/>
      </c>
      <c r="R10" s="64">
        <f>IFERROR(Q10/O10,0)</f>
        <v/>
      </c>
      <c r="S10" s="43" t="n"/>
    </row>
    <row r="11" ht="15" customHeight="1" s="54">
      <c r="A11" s="43" t="n">
        <v>7</v>
      </c>
      <c r="B11" s="43" t="n"/>
      <c r="C11" s="43" t="n"/>
      <c r="D11" s="25">
        <f>IFERROR(INDEX(Reference!$E:$E,MATCH("Mutual Fund|"&amp;C11&amp;"|"&amp;B11,Reference!$A:$A,0)),"")</f>
        <v/>
      </c>
      <c r="E11" s="25">
        <f>IFERROR(INDEX(Reference!$H:$H,MATCH("Mutual Fund|"&amp;C11&amp;"|"&amp;B11,Reference!$A:$A,0)),"")</f>
        <v/>
      </c>
      <c r="F11" s="25">
        <f>IFERROR(INDEX(Reference!$G:$G,MATCH("Mutual Fund|"&amp;C11&amp;"|"&amp;B11,Reference!$A:$A,0)),"")</f>
        <v/>
      </c>
      <c r="G11" s="25">
        <f>IFERROR(INDEX(Reference!$I:$I,MATCH("Mutual Fund|"&amp;C11&amp;"|"&amp;B11,Reference!$A:$A,0)),"")</f>
        <v/>
      </c>
      <c r="H11" s="78" t="n"/>
      <c r="I11" s="45" t="n"/>
      <c r="J11" s="46" t="n"/>
      <c r="K11" s="79">
        <f>IFERROR(IF(H11="","",(AsOfDate-H11)/365.25),"")</f>
        <v/>
      </c>
      <c r="L11" s="48" t="n"/>
      <c r="M11" s="48" t="n"/>
      <c r="N11" s="49">
        <f>IFERROR(INDEX(Prices!$E:$E,MATCH("Mutual Fund|"&amp;C11&amp;"|"&amp;B11,Prices!$A:$A,0)),0)</f>
        <v/>
      </c>
      <c r="O11" s="50" t="n"/>
      <c r="P11" s="50">
        <f>L11*N11</f>
        <v/>
      </c>
      <c r="Q11" s="50">
        <f>P11-O11</f>
        <v/>
      </c>
      <c r="R11" s="64">
        <f>IFERROR(Q11/O11,0)</f>
        <v/>
      </c>
      <c r="S11" s="43" t="n"/>
    </row>
    <row r="12" ht="15" customHeight="1" s="54">
      <c r="A12" s="43" t="n">
        <v>8</v>
      </c>
      <c r="B12" s="43" t="n"/>
      <c r="C12" s="43" t="n"/>
      <c r="D12" s="25">
        <f>IFERROR(INDEX(Reference!$E:$E,MATCH("Mutual Fund|"&amp;C12&amp;"|"&amp;B12,Reference!$A:$A,0)),"")</f>
        <v/>
      </c>
      <c r="E12" s="25">
        <f>IFERROR(INDEX(Reference!$H:$H,MATCH("Mutual Fund|"&amp;C12&amp;"|"&amp;B12,Reference!$A:$A,0)),"")</f>
        <v/>
      </c>
      <c r="F12" s="25">
        <f>IFERROR(INDEX(Reference!$G:$G,MATCH("Mutual Fund|"&amp;C12&amp;"|"&amp;B12,Reference!$A:$A,0)),"")</f>
        <v/>
      </c>
      <c r="G12" s="25">
        <f>IFERROR(INDEX(Reference!$I:$I,MATCH("Mutual Fund|"&amp;C12&amp;"|"&amp;B12,Reference!$A:$A,0)),"")</f>
        <v/>
      </c>
      <c r="H12" s="78" t="n"/>
      <c r="I12" s="45" t="n"/>
      <c r="J12" s="46" t="n"/>
      <c r="K12" s="79">
        <f>IFERROR(IF(H12="","",(AsOfDate-H12)/365.25),"")</f>
        <v/>
      </c>
      <c r="L12" s="48" t="n"/>
      <c r="M12" s="48" t="n"/>
      <c r="N12" s="49">
        <f>IFERROR(INDEX(Prices!$E:$E,MATCH("Mutual Fund|"&amp;C12&amp;"|"&amp;B12,Prices!$A:$A,0)),0)</f>
        <v/>
      </c>
      <c r="O12" s="50" t="n"/>
      <c r="P12" s="50">
        <f>L12*N12</f>
        <v/>
      </c>
      <c r="Q12" s="50">
        <f>P12-O12</f>
        <v/>
      </c>
      <c r="R12" s="64">
        <f>IFERROR(Q12/O12,0)</f>
        <v/>
      </c>
      <c r="S12" s="43" t="n"/>
    </row>
    <row r="13" ht="15" customHeight="1" s="54">
      <c r="A13" s="43" t="n">
        <v>9</v>
      </c>
      <c r="B13" s="43" t="n"/>
      <c r="C13" s="43" t="n"/>
      <c r="D13" s="25">
        <f>IFERROR(INDEX(Reference!$E:$E,MATCH("Mutual Fund|"&amp;C13&amp;"|"&amp;B13,Reference!$A:$A,0)),"")</f>
        <v/>
      </c>
      <c r="E13" s="25">
        <f>IFERROR(INDEX(Reference!$H:$H,MATCH("Mutual Fund|"&amp;C13&amp;"|"&amp;B13,Reference!$A:$A,0)),"")</f>
        <v/>
      </c>
      <c r="F13" s="25">
        <f>IFERROR(INDEX(Reference!$G:$G,MATCH("Mutual Fund|"&amp;C13&amp;"|"&amp;B13,Reference!$A:$A,0)),"")</f>
        <v/>
      </c>
      <c r="G13" s="25">
        <f>IFERROR(INDEX(Reference!$I:$I,MATCH("Mutual Fund|"&amp;C13&amp;"|"&amp;B13,Reference!$A:$A,0)),"")</f>
        <v/>
      </c>
      <c r="H13" s="78" t="n"/>
      <c r="I13" s="45" t="n"/>
      <c r="J13" s="46" t="n"/>
      <c r="K13" s="79">
        <f>IFERROR(IF(H13="","",(AsOfDate-H13)/365.25),"")</f>
        <v/>
      </c>
      <c r="L13" s="48" t="n"/>
      <c r="M13" s="48" t="n"/>
      <c r="N13" s="49">
        <f>IFERROR(INDEX(Prices!$E:$E,MATCH("Mutual Fund|"&amp;C13&amp;"|"&amp;B13,Prices!$A:$A,0)),0)</f>
        <v/>
      </c>
      <c r="O13" s="50" t="n"/>
      <c r="P13" s="50">
        <f>L13*N13</f>
        <v/>
      </c>
      <c r="Q13" s="50">
        <f>P13-O13</f>
        <v/>
      </c>
      <c r="R13" s="64">
        <f>IFERROR(Q13/O13,0)</f>
        <v/>
      </c>
      <c r="S13" s="43" t="n"/>
    </row>
    <row r="14" ht="15" customHeight="1" s="54">
      <c r="A14" s="43" t="n">
        <v>10</v>
      </c>
      <c r="B14" s="43" t="n"/>
      <c r="C14" s="43" t="n"/>
      <c r="D14" s="25">
        <f>IFERROR(INDEX(Reference!$E:$E,MATCH("Mutual Fund|"&amp;C14&amp;"|"&amp;B14,Reference!$A:$A,0)),"")</f>
        <v/>
      </c>
      <c r="E14" s="25">
        <f>IFERROR(INDEX(Reference!$H:$H,MATCH("Mutual Fund|"&amp;C14&amp;"|"&amp;B14,Reference!$A:$A,0)),"")</f>
        <v/>
      </c>
      <c r="F14" s="25">
        <f>IFERROR(INDEX(Reference!$G:$G,MATCH("Mutual Fund|"&amp;C14&amp;"|"&amp;B14,Reference!$A:$A,0)),"")</f>
        <v/>
      </c>
      <c r="G14" s="25">
        <f>IFERROR(INDEX(Reference!$I:$I,MATCH("Mutual Fund|"&amp;C14&amp;"|"&amp;B14,Reference!$A:$A,0)),"")</f>
        <v/>
      </c>
      <c r="H14" s="78" t="n"/>
      <c r="I14" s="45" t="n"/>
      <c r="J14" s="46" t="n"/>
      <c r="K14" s="79">
        <f>IFERROR(IF(H14="","",(AsOfDate-H14)/365.25),"")</f>
        <v/>
      </c>
      <c r="L14" s="48" t="n"/>
      <c r="M14" s="48" t="n"/>
      <c r="N14" s="49">
        <f>IFERROR(INDEX(Prices!$E:$E,MATCH("Mutual Fund|"&amp;C14&amp;"|"&amp;B14,Prices!$A:$A,0)),0)</f>
        <v/>
      </c>
      <c r="O14" s="50" t="n"/>
      <c r="P14" s="50">
        <f>L14*N14</f>
        <v/>
      </c>
      <c r="Q14" s="50">
        <f>P14-O14</f>
        <v/>
      </c>
      <c r="R14" s="64">
        <f>IFERROR(Q14/O14,0)</f>
        <v/>
      </c>
      <c r="S14" s="43" t="n"/>
    </row>
    <row r="15" ht="15" customHeight="1" s="54">
      <c r="A15" s="43" t="n">
        <v>11</v>
      </c>
      <c r="B15" s="43" t="n"/>
      <c r="C15" s="43" t="n"/>
      <c r="D15" s="25">
        <f>IFERROR(INDEX(Reference!$E:$E,MATCH("Mutual Fund|"&amp;C15&amp;"|"&amp;B15,Reference!$A:$A,0)),"")</f>
        <v/>
      </c>
      <c r="E15" s="25">
        <f>IFERROR(INDEX(Reference!$H:$H,MATCH("Mutual Fund|"&amp;C15&amp;"|"&amp;B15,Reference!$A:$A,0)),"")</f>
        <v/>
      </c>
      <c r="F15" s="25">
        <f>IFERROR(INDEX(Reference!$G:$G,MATCH("Mutual Fund|"&amp;C15&amp;"|"&amp;B15,Reference!$A:$A,0)),"")</f>
        <v/>
      </c>
      <c r="G15" s="25">
        <f>IFERROR(INDEX(Reference!$I:$I,MATCH("Mutual Fund|"&amp;C15&amp;"|"&amp;B15,Reference!$A:$A,0)),"")</f>
        <v/>
      </c>
      <c r="H15" s="78" t="n"/>
      <c r="I15" s="45" t="n"/>
      <c r="J15" s="46" t="n"/>
      <c r="K15" s="79">
        <f>IFERROR(IF(H15="","",(AsOfDate-H15)/365.25),"")</f>
        <v/>
      </c>
      <c r="L15" s="48" t="n"/>
      <c r="M15" s="48" t="n"/>
      <c r="N15" s="49">
        <f>IFERROR(INDEX(Prices!$E:$E,MATCH("Mutual Fund|"&amp;C15&amp;"|"&amp;B15,Prices!$A:$A,0)),0)</f>
        <v/>
      </c>
      <c r="O15" s="50" t="n"/>
      <c r="P15" s="50">
        <f>L15*N15</f>
        <v/>
      </c>
      <c r="Q15" s="50">
        <f>P15-O15</f>
        <v/>
      </c>
      <c r="R15" s="64">
        <f>IFERROR(Q15/O15,0)</f>
        <v/>
      </c>
      <c r="S15" s="43" t="n"/>
    </row>
    <row r="16" ht="15" customHeight="1" s="54">
      <c r="A16" s="43" t="n">
        <v>12</v>
      </c>
      <c r="B16" s="43" t="n"/>
      <c r="C16" s="43" t="n"/>
      <c r="D16" s="25">
        <f>IFERROR(INDEX(Reference!$E:$E,MATCH("Mutual Fund|"&amp;C16&amp;"|"&amp;B16,Reference!$A:$A,0)),"")</f>
        <v/>
      </c>
      <c r="E16" s="25">
        <f>IFERROR(INDEX(Reference!$H:$H,MATCH("Mutual Fund|"&amp;C16&amp;"|"&amp;B16,Reference!$A:$A,0)),"")</f>
        <v/>
      </c>
      <c r="F16" s="25">
        <f>IFERROR(INDEX(Reference!$G:$G,MATCH("Mutual Fund|"&amp;C16&amp;"|"&amp;B16,Reference!$A:$A,0)),"")</f>
        <v/>
      </c>
      <c r="G16" s="25">
        <f>IFERROR(INDEX(Reference!$I:$I,MATCH("Mutual Fund|"&amp;C16&amp;"|"&amp;B16,Reference!$A:$A,0)),"")</f>
        <v/>
      </c>
      <c r="H16" s="78" t="n"/>
      <c r="I16" s="45" t="n"/>
      <c r="J16" s="46" t="n"/>
      <c r="K16" s="79">
        <f>IFERROR(IF(H16="","",(AsOfDate-H16)/365.25),"")</f>
        <v/>
      </c>
      <c r="L16" s="48" t="n"/>
      <c r="M16" s="48" t="n"/>
      <c r="N16" s="49">
        <f>IFERROR(INDEX(Prices!$E:$E,MATCH("Mutual Fund|"&amp;C16&amp;"|"&amp;B16,Prices!$A:$A,0)),0)</f>
        <v/>
      </c>
      <c r="O16" s="50" t="n"/>
      <c r="P16" s="50">
        <f>L16*N16</f>
        <v/>
      </c>
      <c r="Q16" s="50">
        <f>P16-O16</f>
        <v/>
      </c>
      <c r="R16" s="64">
        <f>IFERROR(Q16/O16,0)</f>
        <v/>
      </c>
      <c r="S16" s="43" t="n"/>
    </row>
    <row r="17" ht="15" customHeight="1" s="54">
      <c r="A17" s="43" t="n">
        <v>13</v>
      </c>
      <c r="B17" s="43" t="n"/>
      <c r="C17" s="43" t="n"/>
      <c r="D17" s="25">
        <f>IFERROR(INDEX(Reference!$E:$E,MATCH("Mutual Fund|"&amp;C17&amp;"|"&amp;B17,Reference!$A:$A,0)),"")</f>
        <v/>
      </c>
      <c r="E17" s="25">
        <f>IFERROR(INDEX(Reference!$H:$H,MATCH("Mutual Fund|"&amp;C17&amp;"|"&amp;B17,Reference!$A:$A,0)),"")</f>
        <v/>
      </c>
      <c r="F17" s="25">
        <f>IFERROR(INDEX(Reference!$G:$G,MATCH("Mutual Fund|"&amp;C17&amp;"|"&amp;B17,Reference!$A:$A,0)),"")</f>
        <v/>
      </c>
      <c r="G17" s="25">
        <f>IFERROR(INDEX(Reference!$I:$I,MATCH("Mutual Fund|"&amp;C17&amp;"|"&amp;B17,Reference!$A:$A,0)),"")</f>
        <v/>
      </c>
      <c r="H17" s="78" t="n"/>
      <c r="I17" s="45" t="n"/>
      <c r="J17" s="46" t="n"/>
      <c r="K17" s="79">
        <f>IFERROR(IF(H17="","",(AsOfDate-H17)/365.25),"")</f>
        <v/>
      </c>
      <c r="L17" s="48" t="n"/>
      <c r="M17" s="48" t="n"/>
      <c r="N17" s="49">
        <f>IFERROR(INDEX(Prices!$E:$E,MATCH("Mutual Fund|"&amp;C17&amp;"|"&amp;B17,Prices!$A:$A,0)),0)</f>
        <v/>
      </c>
      <c r="O17" s="50" t="n"/>
      <c r="P17" s="50">
        <f>L17*N17</f>
        <v/>
      </c>
      <c r="Q17" s="50">
        <f>P17-O17</f>
        <v/>
      </c>
      <c r="R17" s="64">
        <f>IFERROR(Q17/O17,0)</f>
        <v/>
      </c>
      <c r="S17" s="43" t="n"/>
    </row>
    <row r="18" ht="15" customHeight="1" s="54">
      <c r="A18" s="43" t="n">
        <v>14</v>
      </c>
      <c r="B18" s="43" t="n"/>
      <c r="C18" s="43" t="n"/>
      <c r="D18" s="25">
        <f>IFERROR(INDEX(Reference!$E:$E,MATCH("Mutual Fund|"&amp;C18&amp;"|"&amp;B18,Reference!$A:$A,0)),"")</f>
        <v/>
      </c>
      <c r="E18" s="25">
        <f>IFERROR(INDEX(Reference!$H:$H,MATCH("Mutual Fund|"&amp;C18&amp;"|"&amp;B18,Reference!$A:$A,0)),"")</f>
        <v/>
      </c>
      <c r="F18" s="25">
        <f>IFERROR(INDEX(Reference!$G:$G,MATCH("Mutual Fund|"&amp;C18&amp;"|"&amp;B18,Reference!$A:$A,0)),"")</f>
        <v/>
      </c>
      <c r="G18" s="25">
        <f>IFERROR(INDEX(Reference!$I:$I,MATCH("Mutual Fund|"&amp;C18&amp;"|"&amp;B18,Reference!$A:$A,0)),"")</f>
        <v/>
      </c>
      <c r="H18" s="78" t="n"/>
      <c r="I18" s="45" t="n"/>
      <c r="J18" s="46" t="n"/>
      <c r="K18" s="79">
        <f>IFERROR(IF(H18="","",(AsOfDate-H18)/365.25),"")</f>
        <v/>
      </c>
      <c r="L18" s="48" t="n"/>
      <c r="M18" s="48" t="n"/>
      <c r="N18" s="49">
        <f>IFERROR(INDEX(Prices!$E:$E,MATCH("Mutual Fund|"&amp;C18&amp;"|"&amp;B18,Prices!$A:$A,0)),0)</f>
        <v/>
      </c>
      <c r="O18" s="50" t="n"/>
      <c r="P18" s="50">
        <f>L18*N18</f>
        <v/>
      </c>
      <c r="Q18" s="50">
        <f>P18-O18</f>
        <v/>
      </c>
      <c r="R18" s="64">
        <f>IFERROR(Q18/O18,0)</f>
        <v/>
      </c>
      <c r="S18" s="43" t="n"/>
    </row>
    <row r="19" ht="15" customHeight="1" s="54">
      <c r="A19" s="43" t="n">
        <v>15</v>
      </c>
      <c r="B19" s="43" t="n"/>
      <c r="C19" s="43" t="n"/>
      <c r="D19" s="25">
        <f>IFERROR(INDEX(Reference!$E:$E,MATCH("Mutual Fund|"&amp;C19&amp;"|"&amp;B19,Reference!$A:$A,0)),"")</f>
        <v/>
      </c>
      <c r="E19" s="25">
        <f>IFERROR(INDEX(Reference!$H:$H,MATCH("Mutual Fund|"&amp;C19&amp;"|"&amp;B19,Reference!$A:$A,0)),"")</f>
        <v/>
      </c>
      <c r="F19" s="25">
        <f>IFERROR(INDEX(Reference!$G:$G,MATCH("Mutual Fund|"&amp;C19&amp;"|"&amp;B19,Reference!$A:$A,0)),"")</f>
        <v/>
      </c>
      <c r="G19" s="25">
        <f>IFERROR(INDEX(Reference!$I:$I,MATCH("Mutual Fund|"&amp;C19&amp;"|"&amp;B19,Reference!$A:$A,0)),"")</f>
        <v/>
      </c>
      <c r="H19" s="78" t="n"/>
      <c r="I19" s="45" t="n"/>
      <c r="J19" s="46" t="n"/>
      <c r="K19" s="79">
        <f>IFERROR(IF(H19="","",(AsOfDate-H19)/365.25),"")</f>
        <v/>
      </c>
      <c r="L19" s="48" t="n"/>
      <c r="M19" s="48" t="n"/>
      <c r="N19" s="49">
        <f>IFERROR(INDEX(Prices!$E:$E,MATCH("Mutual Fund|"&amp;C19&amp;"|"&amp;B19,Prices!$A:$A,0)),0)</f>
        <v/>
      </c>
      <c r="O19" s="50" t="n"/>
      <c r="P19" s="50">
        <f>L19*N19</f>
        <v/>
      </c>
      <c r="Q19" s="50">
        <f>P19-O19</f>
        <v/>
      </c>
      <c r="R19" s="64">
        <f>IFERROR(Q19/O19,0)</f>
        <v/>
      </c>
      <c r="S19" s="43" t="n"/>
    </row>
    <row r="20" ht="15" customHeight="1" s="54">
      <c r="A20" s="43" t="n">
        <v>16</v>
      </c>
      <c r="B20" s="43" t="n"/>
      <c r="C20" s="43" t="n"/>
      <c r="D20" s="25">
        <f>IFERROR(INDEX(Reference!$E:$E,MATCH("Mutual Fund|"&amp;C20&amp;"|"&amp;B20,Reference!$A:$A,0)),"")</f>
        <v/>
      </c>
      <c r="E20" s="25">
        <f>IFERROR(INDEX(Reference!$H:$H,MATCH("Mutual Fund|"&amp;C20&amp;"|"&amp;B20,Reference!$A:$A,0)),"")</f>
        <v/>
      </c>
      <c r="F20" s="25">
        <f>IFERROR(INDEX(Reference!$G:$G,MATCH("Mutual Fund|"&amp;C20&amp;"|"&amp;B20,Reference!$A:$A,0)),"")</f>
        <v/>
      </c>
      <c r="G20" s="25">
        <f>IFERROR(INDEX(Reference!$I:$I,MATCH("Mutual Fund|"&amp;C20&amp;"|"&amp;B20,Reference!$A:$A,0)),"")</f>
        <v/>
      </c>
      <c r="H20" s="78" t="n"/>
      <c r="I20" s="45" t="n"/>
      <c r="J20" s="46" t="n"/>
      <c r="K20" s="79">
        <f>IFERROR(IF(H20="","",(AsOfDate-H20)/365.25),"")</f>
        <v/>
      </c>
      <c r="L20" s="48" t="n"/>
      <c r="M20" s="48" t="n"/>
      <c r="N20" s="49">
        <f>IFERROR(INDEX(Prices!$E:$E,MATCH("Mutual Fund|"&amp;C20&amp;"|"&amp;B20,Prices!$A:$A,0)),0)</f>
        <v/>
      </c>
      <c r="O20" s="50" t="n"/>
      <c r="P20" s="50">
        <f>L20*N20</f>
        <v/>
      </c>
      <c r="Q20" s="50">
        <f>P20-O20</f>
        <v/>
      </c>
      <c r="R20" s="64">
        <f>IFERROR(Q20/O20,0)</f>
        <v/>
      </c>
      <c r="S20" s="43" t="n"/>
    </row>
    <row r="21" ht="15" customHeight="1" s="54">
      <c r="A21" s="43" t="n">
        <v>17</v>
      </c>
      <c r="B21" s="43" t="n"/>
      <c r="C21" s="43" t="n"/>
      <c r="D21" s="25">
        <f>IFERROR(INDEX(Reference!$E:$E,MATCH("Mutual Fund|"&amp;C21&amp;"|"&amp;B21,Reference!$A:$A,0)),"")</f>
        <v/>
      </c>
      <c r="E21" s="25">
        <f>IFERROR(INDEX(Reference!$H:$H,MATCH("Mutual Fund|"&amp;C21&amp;"|"&amp;B21,Reference!$A:$A,0)),"")</f>
        <v/>
      </c>
      <c r="F21" s="25">
        <f>IFERROR(INDEX(Reference!$G:$G,MATCH("Mutual Fund|"&amp;C21&amp;"|"&amp;B21,Reference!$A:$A,0)),"")</f>
        <v/>
      </c>
      <c r="G21" s="25">
        <f>IFERROR(INDEX(Reference!$I:$I,MATCH("Mutual Fund|"&amp;C21&amp;"|"&amp;B21,Reference!$A:$A,0)),"")</f>
        <v/>
      </c>
      <c r="H21" s="78" t="n"/>
      <c r="I21" s="45" t="n"/>
      <c r="J21" s="46" t="n"/>
      <c r="K21" s="79">
        <f>IFERROR(IF(H21="","",(AsOfDate-H21)/365.25),"")</f>
        <v/>
      </c>
      <c r="L21" s="48" t="n"/>
      <c r="M21" s="48" t="n"/>
      <c r="N21" s="49">
        <f>IFERROR(INDEX(Prices!$E:$E,MATCH("Mutual Fund|"&amp;C21&amp;"|"&amp;B21,Prices!$A:$A,0)),0)</f>
        <v/>
      </c>
      <c r="O21" s="50" t="n"/>
      <c r="P21" s="50">
        <f>L21*N21</f>
        <v/>
      </c>
      <c r="Q21" s="50">
        <f>P21-O21</f>
        <v/>
      </c>
      <c r="R21" s="64">
        <f>IFERROR(Q21/O21,0)</f>
        <v/>
      </c>
      <c r="S21" s="43" t="n"/>
    </row>
    <row r="22" ht="15" customHeight="1" s="54">
      <c r="A22" s="43" t="n">
        <v>18</v>
      </c>
      <c r="B22" s="43" t="n"/>
      <c r="C22" s="43" t="n"/>
      <c r="D22" s="25">
        <f>IFERROR(INDEX(Reference!$E:$E,MATCH("Mutual Fund|"&amp;C22&amp;"|"&amp;B22,Reference!$A:$A,0)),"")</f>
        <v/>
      </c>
      <c r="E22" s="25">
        <f>IFERROR(INDEX(Reference!$H:$H,MATCH("Mutual Fund|"&amp;C22&amp;"|"&amp;B22,Reference!$A:$A,0)),"")</f>
        <v/>
      </c>
      <c r="F22" s="25">
        <f>IFERROR(INDEX(Reference!$G:$G,MATCH("Mutual Fund|"&amp;C22&amp;"|"&amp;B22,Reference!$A:$A,0)),"")</f>
        <v/>
      </c>
      <c r="G22" s="25">
        <f>IFERROR(INDEX(Reference!$I:$I,MATCH("Mutual Fund|"&amp;C22&amp;"|"&amp;B22,Reference!$A:$A,0)),"")</f>
        <v/>
      </c>
      <c r="H22" s="78" t="n"/>
      <c r="I22" s="45" t="n"/>
      <c r="J22" s="46" t="n"/>
      <c r="K22" s="79">
        <f>IFERROR(IF(H22="","",(AsOfDate-H22)/365.25),"")</f>
        <v/>
      </c>
      <c r="L22" s="48" t="n"/>
      <c r="M22" s="48" t="n"/>
      <c r="N22" s="49">
        <f>IFERROR(INDEX(Prices!$E:$E,MATCH("Mutual Fund|"&amp;C22&amp;"|"&amp;B22,Prices!$A:$A,0)),0)</f>
        <v/>
      </c>
      <c r="O22" s="50" t="n"/>
      <c r="P22" s="50">
        <f>L22*N22</f>
        <v/>
      </c>
      <c r="Q22" s="50">
        <f>P22-O22</f>
        <v/>
      </c>
      <c r="R22" s="64">
        <f>IFERROR(Q22/O22,0)</f>
        <v/>
      </c>
      <c r="S22" s="43" t="n"/>
    </row>
    <row r="23" ht="15" customHeight="1" s="54">
      <c r="A23" s="43" t="n">
        <v>19</v>
      </c>
      <c r="B23" s="43" t="n"/>
      <c r="C23" s="43" t="n"/>
      <c r="D23" s="25">
        <f>IFERROR(INDEX(Reference!$E:$E,MATCH("Mutual Fund|"&amp;C23&amp;"|"&amp;B23,Reference!$A:$A,0)),"")</f>
        <v/>
      </c>
      <c r="E23" s="25">
        <f>IFERROR(INDEX(Reference!$H:$H,MATCH("Mutual Fund|"&amp;C23&amp;"|"&amp;B23,Reference!$A:$A,0)),"")</f>
        <v/>
      </c>
      <c r="F23" s="25">
        <f>IFERROR(INDEX(Reference!$G:$G,MATCH("Mutual Fund|"&amp;C23&amp;"|"&amp;B23,Reference!$A:$A,0)),"")</f>
        <v/>
      </c>
      <c r="G23" s="25">
        <f>IFERROR(INDEX(Reference!$I:$I,MATCH("Mutual Fund|"&amp;C23&amp;"|"&amp;B23,Reference!$A:$A,0)),"")</f>
        <v/>
      </c>
      <c r="H23" s="78" t="n"/>
      <c r="I23" s="45" t="n"/>
      <c r="J23" s="46" t="n"/>
      <c r="K23" s="79">
        <f>IFERROR(IF(H23="","",(AsOfDate-H23)/365.25),"")</f>
        <v/>
      </c>
      <c r="L23" s="48" t="n"/>
      <c r="M23" s="48" t="n"/>
      <c r="N23" s="49">
        <f>IFERROR(INDEX(Prices!$E:$E,MATCH("Mutual Fund|"&amp;C23&amp;"|"&amp;B23,Prices!$A:$A,0)),0)</f>
        <v/>
      </c>
      <c r="O23" s="50" t="n"/>
      <c r="P23" s="50">
        <f>L23*N23</f>
        <v/>
      </c>
      <c r="Q23" s="50">
        <f>P23-O23</f>
        <v/>
      </c>
      <c r="R23" s="64">
        <f>IFERROR(Q23/O23,0)</f>
        <v/>
      </c>
      <c r="S23" s="43" t="n"/>
    </row>
    <row r="24" ht="15" customHeight="1" s="54">
      <c r="A24" s="43" t="n">
        <v>20</v>
      </c>
      <c r="B24" s="43" t="n"/>
      <c r="C24" s="43" t="n"/>
      <c r="D24" s="25">
        <f>IFERROR(INDEX(Reference!$E:$E,MATCH("Mutual Fund|"&amp;C24&amp;"|"&amp;B24,Reference!$A:$A,0)),"")</f>
        <v/>
      </c>
      <c r="E24" s="25">
        <f>IFERROR(INDEX(Reference!$H:$H,MATCH("Mutual Fund|"&amp;C24&amp;"|"&amp;B24,Reference!$A:$A,0)),"")</f>
        <v/>
      </c>
      <c r="F24" s="25">
        <f>IFERROR(INDEX(Reference!$G:$G,MATCH("Mutual Fund|"&amp;C24&amp;"|"&amp;B24,Reference!$A:$A,0)),"")</f>
        <v/>
      </c>
      <c r="G24" s="25">
        <f>IFERROR(INDEX(Reference!$I:$I,MATCH("Mutual Fund|"&amp;C24&amp;"|"&amp;B24,Reference!$A:$A,0)),"")</f>
        <v/>
      </c>
      <c r="H24" s="78" t="n"/>
      <c r="I24" s="45" t="n"/>
      <c r="J24" s="46" t="n"/>
      <c r="K24" s="79">
        <f>IFERROR(IF(H24="","",(AsOfDate-H24)/365.25),"")</f>
        <v/>
      </c>
      <c r="L24" s="48" t="n"/>
      <c r="M24" s="48" t="n"/>
      <c r="N24" s="49">
        <f>IFERROR(INDEX(Prices!$E:$E,MATCH("Mutual Fund|"&amp;C24&amp;"|"&amp;B24,Prices!$A:$A,0)),0)</f>
        <v/>
      </c>
      <c r="O24" s="50" t="n"/>
      <c r="P24" s="50">
        <f>L24*N24</f>
        <v/>
      </c>
      <c r="Q24" s="50">
        <f>P24-O24</f>
        <v/>
      </c>
      <c r="R24" s="64">
        <f>IFERROR(Q24/O24,0)</f>
        <v/>
      </c>
      <c r="S24" s="43" t="n"/>
    </row>
    <row r="25" ht="15" customHeight="1" s="54">
      <c r="A25" s="43" t="n">
        <v>21</v>
      </c>
      <c r="B25" s="43" t="n"/>
      <c r="C25" s="43" t="n"/>
      <c r="D25" s="25">
        <f>IFERROR(INDEX(Reference!$E:$E,MATCH("Mutual Fund|"&amp;C25&amp;"|"&amp;B25,Reference!$A:$A,0)),"")</f>
        <v/>
      </c>
      <c r="E25" s="25">
        <f>IFERROR(INDEX(Reference!$H:$H,MATCH("Mutual Fund|"&amp;C25&amp;"|"&amp;B25,Reference!$A:$A,0)),"")</f>
        <v/>
      </c>
      <c r="F25" s="25">
        <f>IFERROR(INDEX(Reference!$G:$G,MATCH("Mutual Fund|"&amp;C25&amp;"|"&amp;B25,Reference!$A:$A,0)),"")</f>
        <v/>
      </c>
      <c r="G25" s="25">
        <f>IFERROR(INDEX(Reference!$I:$I,MATCH("Mutual Fund|"&amp;C25&amp;"|"&amp;B25,Reference!$A:$A,0)),"")</f>
        <v/>
      </c>
      <c r="H25" s="78" t="n"/>
      <c r="I25" s="45" t="n"/>
      <c r="J25" s="46" t="n"/>
      <c r="K25" s="79">
        <f>IFERROR(IF(H25="","",(AsOfDate-H25)/365.25),"")</f>
        <v/>
      </c>
      <c r="L25" s="48" t="n"/>
      <c r="M25" s="48" t="n"/>
      <c r="N25" s="49">
        <f>IFERROR(INDEX(Prices!$E:$E,MATCH("Mutual Fund|"&amp;C25&amp;"|"&amp;B25,Prices!$A:$A,0)),0)</f>
        <v/>
      </c>
      <c r="O25" s="50" t="n"/>
      <c r="P25" s="50">
        <f>L25*N25</f>
        <v/>
      </c>
      <c r="Q25" s="50">
        <f>P25-O25</f>
        <v/>
      </c>
      <c r="R25" s="64">
        <f>IFERROR(Q25/O25,0)</f>
        <v/>
      </c>
      <c r="S25" s="43" t="n"/>
    </row>
    <row r="26" ht="15" customHeight="1" s="54">
      <c r="A26" s="43" t="n">
        <v>22</v>
      </c>
      <c r="B26" s="43" t="n"/>
      <c r="C26" s="43" t="n"/>
      <c r="D26" s="25">
        <f>IFERROR(INDEX(Reference!$E:$E,MATCH("Mutual Fund|"&amp;C26&amp;"|"&amp;B26,Reference!$A:$A,0)),"")</f>
        <v/>
      </c>
      <c r="E26" s="25">
        <f>IFERROR(INDEX(Reference!$H:$H,MATCH("Mutual Fund|"&amp;C26&amp;"|"&amp;B26,Reference!$A:$A,0)),"")</f>
        <v/>
      </c>
      <c r="F26" s="25">
        <f>IFERROR(INDEX(Reference!$G:$G,MATCH("Mutual Fund|"&amp;C26&amp;"|"&amp;B26,Reference!$A:$A,0)),"")</f>
        <v/>
      </c>
      <c r="G26" s="25">
        <f>IFERROR(INDEX(Reference!$I:$I,MATCH("Mutual Fund|"&amp;C26&amp;"|"&amp;B26,Reference!$A:$A,0)),"")</f>
        <v/>
      </c>
      <c r="H26" s="78" t="n"/>
      <c r="I26" s="45" t="n"/>
      <c r="J26" s="46" t="n"/>
      <c r="K26" s="79">
        <f>IFERROR(IF(H26="","",(AsOfDate-H26)/365.25),"")</f>
        <v/>
      </c>
      <c r="L26" s="48" t="n"/>
      <c r="M26" s="48" t="n"/>
      <c r="N26" s="49">
        <f>IFERROR(INDEX(Prices!$E:$E,MATCH("Mutual Fund|"&amp;C26&amp;"|"&amp;B26,Prices!$A:$A,0)),0)</f>
        <v/>
      </c>
      <c r="O26" s="50" t="n"/>
      <c r="P26" s="50">
        <f>L26*N26</f>
        <v/>
      </c>
      <c r="Q26" s="50">
        <f>P26-O26</f>
        <v/>
      </c>
      <c r="R26" s="64">
        <f>IFERROR(Q26/O26,0)</f>
        <v/>
      </c>
      <c r="S26" s="43" t="n"/>
    </row>
    <row r="27" ht="15" customHeight="1" s="54">
      <c r="A27" s="43" t="n">
        <v>23</v>
      </c>
      <c r="B27" s="43" t="n"/>
      <c r="C27" s="43" t="n"/>
      <c r="D27" s="25">
        <f>IFERROR(INDEX(Reference!$E:$E,MATCH("Mutual Fund|"&amp;C27&amp;"|"&amp;B27,Reference!$A:$A,0)),"")</f>
        <v/>
      </c>
      <c r="E27" s="25">
        <f>IFERROR(INDEX(Reference!$H:$H,MATCH("Mutual Fund|"&amp;C27&amp;"|"&amp;B27,Reference!$A:$A,0)),"")</f>
        <v/>
      </c>
      <c r="F27" s="25">
        <f>IFERROR(INDEX(Reference!$G:$G,MATCH("Mutual Fund|"&amp;C27&amp;"|"&amp;B27,Reference!$A:$A,0)),"")</f>
        <v/>
      </c>
      <c r="G27" s="25">
        <f>IFERROR(INDEX(Reference!$I:$I,MATCH("Mutual Fund|"&amp;C27&amp;"|"&amp;B27,Reference!$A:$A,0)),"")</f>
        <v/>
      </c>
      <c r="H27" s="78" t="n"/>
      <c r="I27" s="45" t="n"/>
      <c r="J27" s="46" t="n"/>
      <c r="K27" s="79">
        <f>IFERROR(IF(H27="","",(AsOfDate-H27)/365.25),"")</f>
        <v/>
      </c>
      <c r="L27" s="48" t="n"/>
      <c r="M27" s="48" t="n"/>
      <c r="N27" s="49">
        <f>IFERROR(INDEX(Prices!$E:$E,MATCH("Mutual Fund|"&amp;C27&amp;"|"&amp;B27,Prices!$A:$A,0)),0)</f>
        <v/>
      </c>
      <c r="O27" s="50" t="n"/>
      <c r="P27" s="50">
        <f>L27*N27</f>
        <v/>
      </c>
      <c r="Q27" s="50">
        <f>P27-O27</f>
        <v/>
      </c>
      <c r="R27" s="64">
        <f>IFERROR(Q27/O27,0)</f>
        <v/>
      </c>
      <c r="S27" s="43" t="n"/>
    </row>
    <row r="28" ht="15" customHeight="1" s="54">
      <c r="A28" s="43" t="n">
        <v>24</v>
      </c>
      <c r="B28" s="43" t="n"/>
      <c r="C28" s="43" t="n"/>
      <c r="D28" s="25">
        <f>IFERROR(INDEX(Reference!$E:$E,MATCH("Mutual Fund|"&amp;C28&amp;"|"&amp;B28,Reference!$A:$A,0)),"")</f>
        <v/>
      </c>
      <c r="E28" s="25">
        <f>IFERROR(INDEX(Reference!$H:$H,MATCH("Mutual Fund|"&amp;C28&amp;"|"&amp;B28,Reference!$A:$A,0)),"")</f>
        <v/>
      </c>
      <c r="F28" s="25">
        <f>IFERROR(INDEX(Reference!$G:$G,MATCH("Mutual Fund|"&amp;C28&amp;"|"&amp;B28,Reference!$A:$A,0)),"")</f>
        <v/>
      </c>
      <c r="G28" s="25">
        <f>IFERROR(INDEX(Reference!$I:$I,MATCH("Mutual Fund|"&amp;C28&amp;"|"&amp;B28,Reference!$A:$A,0)),"")</f>
        <v/>
      </c>
      <c r="H28" s="78" t="n"/>
      <c r="I28" s="45" t="n"/>
      <c r="J28" s="46" t="n"/>
      <c r="K28" s="79">
        <f>IFERROR(IF(H28="","",(AsOfDate-H28)/365.25),"")</f>
        <v/>
      </c>
      <c r="L28" s="48" t="n"/>
      <c r="M28" s="48" t="n"/>
      <c r="N28" s="49">
        <f>IFERROR(INDEX(Prices!$E:$E,MATCH("Mutual Fund|"&amp;C28&amp;"|"&amp;B28,Prices!$A:$A,0)),0)</f>
        <v/>
      </c>
      <c r="O28" s="50" t="n"/>
      <c r="P28" s="50">
        <f>L28*N28</f>
        <v/>
      </c>
      <c r="Q28" s="50">
        <f>P28-O28</f>
        <v/>
      </c>
      <c r="R28" s="64">
        <f>IFERROR(Q28/O28,0)</f>
        <v/>
      </c>
      <c r="S28" s="43" t="n"/>
    </row>
    <row r="29" ht="15" customHeight="1" s="54">
      <c r="A29" s="43" t="n">
        <v>25</v>
      </c>
      <c r="B29" s="43" t="n"/>
      <c r="C29" s="43" t="n"/>
      <c r="D29" s="25">
        <f>IFERROR(INDEX(Reference!$E:$E,MATCH("Mutual Fund|"&amp;C29&amp;"|"&amp;B29,Reference!$A:$A,0)),"")</f>
        <v/>
      </c>
      <c r="E29" s="25">
        <f>IFERROR(INDEX(Reference!$H:$H,MATCH("Mutual Fund|"&amp;C29&amp;"|"&amp;B29,Reference!$A:$A,0)),"")</f>
        <v/>
      </c>
      <c r="F29" s="25">
        <f>IFERROR(INDEX(Reference!$G:$G,MATCH("Mutual Fund|"&amp;C29&amp;"|"&amp;B29,Reference!$A:$A,0)),"")</f>
        <v/>
      </c>
      <c r="G29" s="25">
        <f>IFERROR(INDEX(Reference!$I:$I,MATCH("Mutual Fund|"&amp;C29&amp;"|"&amp;B29,Reference!$A:$A,0)),"")</f>
        <v/>
      </c>
      <c r="H29" s="78" t="n"/>
      <c r="I29" s="45" t="n"/>
      <c r="J29" s="46" t="n"/>
      <c r="K29" s="79">
        <f>IFERROR(IF(H29="","",(AsOfDate-H29)/365.25),"")</f>
        <v/>
      </c>
      <c r="L29" s="48" t="n"/>
      <c r="M29" s="48" t="n"/>
      <c r="N29" s="49">
        <f>IFERROR(INDEX(Prices!$E:$E,MATCH("Mutual Fund|"&amp;C29&amp;"|"&amp;B29,Prices!$A:$A,0)),0)</f>
        <v/>
      </c>
      <c r="O29" s="50" t="n"/>
      <c r="P29" s="50">
        <f>L29*N29</f>
        <v/>
      </c>
      <c r="Q29" s="50">
        <f>P29-O29</f>
        <v/>
      </c>
      <c r="R29" s="64">
        <f>IFERROR(Q29/O29,0)</f>
        <v/>
      </c>
      <c r="S29" s="43" t="n"/>
    </row>
    <row r="30" ht="15" customHeight="1" s="54">
      <c r="A30" s="43" t="n">
        <v>26</v>
      </c>
      <c r="B30" s="43" t="n"/>
      <c r="C30" s="43" t="n"/>
      <c r="D30" s="25">
        <f>IFERROR(INDEX(Reference!$E:$E,MATCH("Mutual Fund|"&amp;C30&amp;"|"&amp;B30,Reference!$A:$A,0)),"")</f>
        <v/>
      </c>
      <c r="E30" s="25">
        <f>IFERROR(INDEX(Reference!$H:$H,MATCH("Mutual Fund|"&amp;C30&amp;"|"&amp;B30,Reference!$A:$A,0)),"")</f>
        <v/>
      </c>
      <c r="F30" s="25">
        <f>IFERROR(INDEX(Reference!$G:$G,MATCH("Mutual Fund|"&amp;C30&amp;"|"&amp;B30,Reference!$A:$A,0)),"")</f>
        <v/>
      </c>
      <c r="G30" s="25">
        <f>IFERROR(INDEX(Reference!$I:$I,MATCH("Mutual Fund|"&amp;C30&amp;"|"&amp;B30,Reference!$A:$A,0)),"")</f>
        <v/>
      </c>
      <c r="H30" s="78" t="n"/>
      <c r="I30" s="45" t="n"/>
      <c r="J30" s="46" t="n"/>
      <c r="K30" s="79">
        <f>IFERROR(IF(H30="","",(AsOfDate-H30)/365.25),"")</f>
        <v/>
      </c>
      <c r="L30" s="48" t="n"/>
      <c r="M30" s="48" t="n"/>
      <c r="N30" s="49">
        <f>IFERROR(INDEX(Prices!$E:$E,MATCH("Mutual Fund|"&amp;C30&amp;"|"&amp;B30,Prices!$A:$A,0)),0)</f>
        <v/>
      </c>
      <c r="O30" s="50" t="n"/>
      <c r="P30" s="50">
        <f>L30*N30</f>
        <v/>
      </c>
      <c r="Q30" s="50">
        <f>P30-O30</f>
        <v/>
      </c>
      <c r="R30" s="64">
        <f>IFERROR(Q30/O30,0)</f>
        <v/>
      </c>
      <c r="S30" s="43" t="n"/>
    </row>
    <row r="31" ht="15" customHeight="1" s="54">
      <c r="A31" s="43" t="n">
        <v>27</v>
      </c>
      <c r="B31" s="43" t="n"/>
      <c r="C31" s="43" t="n"/>
      <c r="D31" s="25">
        <f>IFERROR(INDEX(Reference!$E:$E,MATCH("Mutual Fund|"&amp;C31&amp;"|"&amp;B31,Reference!$A:$A,0)),"")</f>
        <v/>
      </c>
      <c r="E31" s="25">
        <f>IFERROR(INDEX(Reference!$H:$H,MATCH("Mutual Fund|"&amp;C31&amp;"|"&amp;B31,Reference!$A:$A,0)),"")</f>
        <v/>
      </c>
      <c r="F31" s="25">
        <f>IFERROR(INDEX(Reference!$G:$G,MATCH("Mutual Fund|"&amp;C31&amp;"|"&amp;B31,Reference!$A:$A,0)),"")</f>
        <v/>
      </c>
      <c r="G31" s="25">
        <f>IFERROR(INDEX(Reference!$I:$I,MATCH("Mutual Fund|"&amp;C31&amp;"|"&amp;B31,Reference!$A:$A,0)),"")</f>
        <v/>
      </c>
      <c r="H31" s="78" t="n"/>
      <c r="I31" s="45" t="n"/>
      <c r="J31" s="46" t="n"/>
      <c r="K31" s="79">
        <f>IFERROR(IF(H31="","",(AsOfDate-H31)/365.25),"")</f>
        <v/>
      </c>
      <c r="L31" s="48" t="n"/>
      <c r="M31" s="48" t="n"/>
      <c r="N31" s="49">
        <f>IFERROR(INDEX(Prices!$E:$E,MATCH("Mutual Fund|"&amp;C31&amp;"|"&amp;B31,Prices!$A:$A,0)),0)</f>
        <v/>
      </c>
      <c r="O31" s="50" t="n"/>
      <c r="P31" s="50">
        <f>L31*N31</f>
        <v/>
      </c>
      <c r="Q31" s="50">
        <f>P31-O31</f>
        <v/>
      </c>
      <c r="R31" s="64">
        <f>IFERROR(Q31/O31,0)</f>
        <v/>
      </c>
      <c r="S31" s="43" t="n"/>
    </row>
    <row r="32" ht="15" customHeight="1" s="54">
      <c r="A32" s="43" t="n">
        <v>28</v>
      </c>
      <c r="B32" s="43" t="n"/>
      <c r="C32" s="43" t="n"/>
      <c r="D32" s="25">
        <f>IFERROR(INDEX(Reference!$E:$E,MATCH("Mutual Fund|"&amp;C32&amp;"|"&amp;B32,Reference!$A:$A,0)),"")</f>
        <v/>
      </c>
      <c r="E32" s="25">
        <f>IFERROR(INDEX(Reference!$H:$H,MATCH("Mutual Fund|"&amp;C32&amp;"|"&amp;B32,Reference!$A:$A,0)),"")</f>
        <v/>
      </c>
      <c r="F32" s="25">
        <f>IFERROR(INDEX(Reference!$G:$G,MATCH("Mutual Fund|"&amp;C32&amp;"|"&amp;B32,Reference!$A:$A,0)),"")</f>
        <v/>
      </c>
      <c r="G32" s="25">
        <f>IFERROR(INDEX(Reference!$I:$I,MATCH("Mutual Fund|"&amp;C32&amp;"|"&amp;B32,Reference!$A:$A,0)),"")</f>
        <v/>
      </c>
      <c r="H32" s="78" t="n"/>
      <c r="I32" s="45" t="n"/>
      <c r="J32" s="45" t="n"/>
      <c r="K32" s="79">
        <f>IFERROR(IF(H32="","",(AsOfDate-H32)/365.25),"")</f>
        <v/>
      </c>
      <c r="L32" s="48" t="n"/>
      <c r="M32" s="48" t="n"/>
      <c r="N32" s="49">
        <f>IFERROR(INDEX(Prices!$E:$E,MATCH("Mutual Fund|"&amp;C32&amp;"|"&amp;B32,Prices!$A:$A,0)),0)</f>
        <v/>
      </c>
      <c r="O32" s="50" t="n"/>
      <c r="P32" s="50">
        <f>L32*N32</f>
        <v/>
      </c>
      <c r="Q32" s="50">
        <f>P32-O32</f>
        <v/>
      </c>
      <c r="R32" s="64">
        <f>IFERROR(Q32/O32,0)</f>
        <v/>
      </c>
      <c r="S32" s="43" t="n"/>
    </row>
    <row r="33" ht="15" customHeight="1" s="54">
      <c r="A33" s="43" t="n">
        <v>29</v>
      </c>
      <c r="B33" s="43" t="n"/>
      <c r="C33" s="43" t="n"/>
      <c r="D33" s="25">
        <f>IFERROR(INDEX(Reference!$E:$E,MATCH("Mutual Fund|"&amp;C33&amp;"|"&amp;B33,Reference!$A:$A,0)),"")</f>
        <v/>
      </c>
      <c r="E33" s="25">
        <f>IFERROR(INDEX(Reference!$H:$H,MATCH("Mutual Fund|"&amp;C33&amp;"|"&amp;B33,Reference!$A:$A,0)),"")</f>
        <v/>
      </c>
      <c r="F33" s="25">
        <f>IFERROR(INDEX(Reference!$G:$G,MATCH("Mutual Fund|"&amp;C33&amp;"|"&amp;B33,Reference!$A:$A,0)),"")</f>
        <v/>
      </c>
      <c r="G33" s="25">
        <f>IFERROR(INDEX(Reference!$I:$I,MATCH("Mutual Fund|"&amp;C33&amp;"|"&amp;B33,Reference!$A:$A,0)),"")</f>
        <v/>
      </c>
      <c r="H33" s="78" t="n"/>
      <c r="I33" s="45" t="n"/>
      <c r="J33" s="45" t="n"/>
      <c r="K33" s="79">
        <f>IFERROR(IF(H33="","",(AsOfDate-H33)/365.25),"")</f>
        <v/>
      </c>
      <c r="L33" s="48" t="n"/>
      <c r="M33" s="48" t="n"/>
      <c r="N33" s="49">
        <f>IFERROR(INDEX(Prices!$E:$E,MATCH("Mutual Fund|"&amp;C33&amp;"|"&amp;B33,Prices!$A:$A,0)),0)</f>
        <v/>
      </c>
      <c r="O33" s="50" t="n"/>
      <c r="P33" s="50">
        <f>L33*N33</f>
        <v/>
      </c>
      <c r="Q33" s="50">
        <f>P33-O33</f>
        <v/>
      </c>
      <c r="R33" s="64">
        <f>IFERROR(Q33/O33,0)</f>
        <v/>
      </c>
      <c r="S33" s="43" t="n"/>
    </row>
    <row r="34" ht="15" customHeight="1" s="54">
      <c r="A34" s="43" t="n">
        <v>30</v>
      </c>
      <c r="B34" s="43" t="n"/>
      <c r="C34" s="43" t="n"/>
      <c r="D34" s="25">
        <f>IFERROR(INDEX(Reference!$E:$E,MATCH("Mutual Fund|"&amp;C34&amp;"|"&amp;B34,Reference!$A:$A,0)),"")</f>
        <v/>
      </c>
      <c r="E34" s="25">
        <f>IFERROR(INDEX(Reference!$H:$H,MATCH("Mutual Fund|"&amp;C34&amp;"|"&amp;B34,Reference!$A:$A,0)),"")</f>
        <v/>
      </c>
      <c r="F34" s="25">
        <f>IFERROR(INDEX(Reference!$G:$G,MATCH("Mutual Fund|"&amp;C34&amp;"|"&amp;B34,Reference!$A:$A,0)),"")</f>
        <v/>
      </c>
      <c r="G34" s="25">
        <f>IFERROR(INDEX(Reference!$I:$I,MATCH("Mutual Fund|"&amp;C34&amp;"|"&amp;B34,Reference!$A:$A,0)),"")</f>
        <v/>
      </c>
      <c r="H34" s="78" t="n"/>
      <c r="I34" s="45" t="n"/>
      <c r="J34" s="45" t="n"/>
      <c r="K34" s="79">
        <f>IFERROR(IF(H34="","",(AsOfDate-H34)/365.25),"")</f>
        <v/>
      </c>
      <c r="L34" s="48" t="n"/>
      <c r="M34" s="48" t="n"/>
      <c r="N34" s="49">
        <f>IFERROR(INDEX(Prices!$E:$E,MATCH("Mutual Fund|"&amp;C34&amp;"|"&amp;B34,Prices!$A:$A,0)),0)</f>
        <v/>
      </c>
      <c r="O34" s="50" t="n"/>
      <c r="P34" s="50">
        <f>L34*N34</f>
        <v/>
      </c>
      <c r="Q34" s="50">
        <f>P34-O34</f>
        <v/>
      </c>
      <c r="R34" s="64">
        <f>IFERROR(Q34/O34,0)</f>
        <v/>
      </c>
      <c r="S34" s="43" t="n"/>
    </row>
    <row r="35" ht="15" customHeight="1" s="54">
      <c r="A35" s="43" t="n">
        <v>31</v>
      </c>
      <c r="B35" s="43" t="n"/>
      <c r="C35" s="43" t="n"/>
      <c r="D35" s="25">
        <f>IFERROR(INDEX(Reference!$E:$E,MATCH("Mutual Fund|"&amp;C35&amp;"|"&amp;B35,Reference!$A:$A,0)),"")</f>
        <v/>
      </c>
      <c r="E35" s="25">
        <f>IFERROR(INDEX(Reference!$H:$H,MATCH("Mutual Fund|"&amp;C35&amp;"|"&amp;B35,Reference!$A:$A,0)),"")</f>
        <v/>
      </c>
      <c r="F35" s="25">
        <f>IFERROR(INDEX(Reference!$G:$G,MATCH("Mutual Fund|"&amp;C35&amp;"|"&amp;B35,Reference!$A:$A,0)),"")</f>
        <v/>
      </c>
      <c r="G35" s="25">
        <f>IFERROR(INDEX(Reference!$I:$I,MATCH("Mutual Fund|"&amp;C35&amp;"|"&amp;B35,Reference!$A:$A,0)),"")</f>
        <v/>
      </c>
      <c r="H35" s="78" t="n"/>
      <c r="I35" s="45" t="n"/>
      <c r="J35" s="45" t="n"/>
      <c r="K35" s="79">
        <f>IFERROR(IF(H35="","",(AsOfDate-H35)/365.25),"")</f>
        <v/>
      </c>
      <c r="L35" s="48" t="n"/>
      <c r="M35" s="48" t="n"/>
      <c r="N35" s="49">
        <f>IFERROR(INDEX(Prices!$E:$E,MATCH("Mutual Fund|"&amp;C35&amp;"|"&amp;B35,Prices!$A:$A,0)),0)</f>
        <v/>
      </c>
      <c r="O35" s="50" t="n"/>
      <c r="P35" s="50">
        <f>L35*N35</f>
        <v/>
      </c>
      <c r="Q35" s="50">
        <f>P35-O35</f>
        <v/>
      </c>
      <c r="R35" s="64">
        <f>IFERROR(Q35/O35,0)</f>
        <v/>
      </c>
      <c r="S35" s="43" t="n"/>
    </row>
    <row r="36" ht="15" customHeight="1" s="54">
      <c r="A36" s="43" t="n">
        <v>32</v>
      </c>
      <c r="B36" s="43" t="n"/>
      <c r="C36" s="43" t="n"/>
      <c r="D36" s="25">
        <f>IFERROR(INDEX(Reference!$E:$E,MATCH("Mutual Fund|"&amp;C36&amp;"|"&amp;B36,Reference!$A:$A,0)),"")</f>
        <v/>
      </c>
      <c r="E36" s="25">
        <f>IFERROR(INDEX(Reference!$H:$H,MATCH("Mutual Fund|"&amp;C36&amp;"|"&amp;B36,Reference!$A:$A,0)),"")</f>
        <v/>
      </c>
      <c r="F36" s="25">
        <f>IFERROR(INDEX(Reference!$G:$G,MATCH("Mutual Fund|"&amp;C36&amp;"|"&amp;B36,Reference!$A:$A,0)),"")</f>
        <v/>
      </c>
      <c r="G36" s="25">
        <f>IFERROR(INDEX(Reference!$I:$I,MATCH("Mutual Fund|"&amp;C36&amp;"|"&amp;B36,Reference!$A:$A,0)),"")</f>
        <v/>
      </c>
      <c r="H36" s="78" t="n"/>
      <c r="I36" s="45" t="n"/>
      <c r="J36" s="45" t="n"/>
      <c r="K36" s="79">
        <f>IFERROR(IF(H36="","",(AsOfDate-H36)/365.25),"")</f>
        <v/>
      </c>
      <c r="L36" s="48" t="n"/>
      <c r="M36" s="48" t="n"/>
      <c r="N36" s="49">
        <f>IFERROR(INDEX(Prices!$E:$E,MATCH("Mutual Fund|"&amp;C36&amp;"|"&amp;B36,Prices!$A:$A,0)),0)</f>
        <v/>
      </c>
      <c r="O36" s="50" t="n"/>
      <c r="P36" s="50">
        <f>L36*N36</f>
        <v/>
      </c>
      <c r="Q36" s="50">
        <f>P36-O36</f>
        <v/>
      </c>
      <c r="R36" s="64">
        <f>IFERROR(Q36/O36,0)</f>
        <v/>
      </c>
      <c r="S36" s="43" t="n"/>
    </row>
    <row r="37" ht="15" customHeight="1" s="54">
      <c r="A37" s="43" t="n">
        <v>33</v>
      </c>
      <c r="B37" s="43" t="n"/>
      <c r="C37" s="43" t="n"/>
      <c r="D37" s="25">
        <f>IFERROR(INDEX(Reference!$E:$E,MATCH("Mutual Fund|"&amp;C37&amp;"|"&amp;B37,Reference!$A:$A,0)),"")</f>
        <v/>
      </c>
      <c r="E37" s="25">
        <f>IFERROR(INDEX(Reference!$H:$H,MATCH("Mutual Fund|"&amp;C37&amp;"|"&amp;B37,Reference!$A:$A,0)),"")</f>
        <v/>
      </c>
      <c r="F37" s="25">
        <f>IFERROR(INDEX(Reference!$G:$G,MATCH("Mutual Fund|"&amp;C37&amp;"|"&amp;B37,Reference!$A:$A,0)),"")</f>
        <v/>
      </c>
      <c r="G37" s="25">
        <f>IFERROR(INDEX(Reference!$I:$I,MATCH("Mutual Fund|"&amp;C37&amp;"|"&amp;B37,Reference!$A:$A,0)),"")</f>
        <v/>
      </c>
      <c r="H37" s="78" t="n"/>
      <c r="I37" s="45" t="n"/>
      <c r="J37" s="45" t="n"/>
      <c r="K37" s="79">
        <f>IFERROR(IF(H37="","",(AsOfDate-H37)/365.25),"")</f>
        <v/>
      </c>
      <c r="L37" s="48" t="n"/>
      <c r="M37" s="48" t="n"/>
      <c r="N37" s="49">
        <f>IFERROR(INDEX(Prices!$E:$E,MATCH("Mutual Fund|"&amp;C37&amp;"|"&amp;B37,Prices!$A:$A,0)),0)</f>
        <v/>
      </c>
      <c r="O37" s="50" t="n"/>
      <c r="P37" s="50">
        <f>L37*N37</f>
        <v/>
      </c>
      <c r="Q37" s="50">
        <f>P37-O37</f>
        <v/>
      </c>
      <c r="R37" s="64">
        <f>IFERROR(Q37/O37,0)</f>
        <v/>
      </c>
      <c r="S37" s="43" t="n"/>
    </row>
    <row r="38" ht="15" customHeight="1" s="54">
      <c r="A38" s="43" t="n">
        <v>34</v>
      </c>
      <c r="B38" s="43" t="n"/>
      <c r="C38" s="43" t="n"/>
      <c r="D38" s="25">
        <f>IFERROR(INDEX(Reference!$E:$E,MATCH("Mutual Fund|"&amp;C38&amp;"|"&amp;B38,Reference!$A:$A,0)),"")</f>
        <v/>
      </c>
      <c r="E38" s="25">
        <f>IFERROR(INDEX(Reference!$H:$H,MATCH("Mutual Fund|"&amp;C38&amp;"|"&amp;B38,Reference!$A:$A,0)),"")</f>
        <v/>
      </c>
      <c r="F38" s="25">
        <f>IFERROR(INDEX(Reference!$G:$G,MATCH("Mutual Fund|"&amp;C38&amp;"|"&amp;B38,Reference!$A:$A,0)),"")</f>
        <v/>
      </c>
      <c r="G38" s="25">
        <f>IFERROR(INDEX(Reference!$I:$I,MATCH("Mutual Fund|"&amp;C38&amp;"|"&amp;B38,Reference!$A:$A,0)),"")</f>
        <v/>
      </c>
      <c r="H38" s="78" t="n"/>
      <c r="I38" s="45" t="n"/>
      <c r="J38" s="45" t="n"/>
      <c r="K38" s="79">
        <f>IFERROR(IF(H38="","",(AsOfDate-H38)/365.25),"")</f>
        <v/>
      </c>
      <c r="L38" s="48" t="n"/>
      <c r="M38" s="48" t="n"/>
      <c r="N38" s="49">
        <f>IFERROR(INDEX(Prices!$E:$E,MATCH("Mutual Fund|"&amp;C38&amp;"|"&amp;B38,Prices!$A:$A,0)),0)</f>
        <v/>
      </c>
      <c r="O38" s="50" t="n"/>
      <c r="P38" s="50">
        <f>L38*N38</f>
        <v/>
      </c>
      <c r="Q38" s="50">
        <f>P38-O38</f>
        <v/>
      </c>
      <c r="R38" s="64">
        <f>IFERROR(Q38/O38,0)</f>
        <v/>
      </c>
      <c r="S38" s="43" t="n"/>
    </row>
    <row r="39" ht="15" customHeight="1" s="54">
      <c r="A39" s="43" t="n">
        <v>35</v>
      </c>
      <c r="B39" s="43" t="n"/>
      <c r="C39" s="43" t="n"/>
      <c r="D39" s="25">
        <f>IFERROR(INDEX(Reference!$E:$E,MATCH("Mutual Fund|"&amp;C39&amp;"|"&amp;B39,Reference!$A:$A,0)),"")</f>
        <v/>
      </c>
      <c r="E39" s="25">
        <f>IFERROR(INDEX(Reference!$H:$H,MATCH("Mutual Fund|"&amp;C39&amp;"|"&amp;B39,Reference!$A:$A,0)),"")</f>
        <v/>
      </c>
      <c r="F39" s="25">
        <f>IFERROR(INDEX(Reference!$G:$G,MATCH("Mutual Fund|"&amp;C39&amp;"|"&amp;B39,Reference!$A:$A,0)),"")</f>
        <v/>
      </c>
      <c r="G39" s="25">
        <f>IFERROR(INDEX(Reference!$I:$I,MATCH("Mutual Fund|"&amp;C39&amp;"|"&amp;B39,Reference!$A:$A,0)),"")</f>
        <v/>
      </c>
      <c r="H39" s="78" t="n"/>
      <c r="I39" s="45" t="n"/>
      <c r="J39" s="45" t="n"/>
      <c r="K39" s="79">
        <f>IFERROR(IF(H39="","",(AsOfDate-H39)/365.25),"")</f>
        <v/>
      </c>
      <c r="L39" s="48" t="n"/>
      <c r="M39" s="48" t="n"/>
      <c r="N39" s="49">
        <f>IFERROR(INDEX(Prices!$E:$E,MATCH("Mutual Fund|"&amp;C39&amp;"|"&amp;B39,Prices!$A:$A,0)),0)</f>
        <v/>
      </c>
      <c r="O39" s="50" t="n"/>
      <c r="P39" s="50">
        <f>L39*N39</f>
        <v/>
      </c>
      <c r="Q39" s="50">
        <f>P39-O39</f>
        <v/>
      </c>
      <c r="R39" s="64">
        <f>IFERROR(Q39/O39,0)</f>
        <v/>
      </c>
      <c r="S39" s="43" t="n"/>
    </row>
    <row r="40" ht="15" customHeight="1" s="54">
      <c r="A40" s="43" t="n">
        <v>36</v>
      </c>
      <c r="B40" s="43" t="n"/>
      <c r="C40" s="43" t="n"/>
      <c r="D40" s="25">
        <f>IFERROR(INDEX(Reference!$E:$E,MATCH("Mutual Fund|"&amp;C40&amp;"|"&amp;B40,Reference!$A:$A,0)),"")</f>
        <v/>
      </c>
      <c r="E40" s="25">
        <f>IFERROR(INDEX(Reference!$H:$H,MATCH("Mutual Fund|"&amp;C40&amp;"|"&amp;B40,Reference!$A:$A,0)),"")</f>
        <v/>
      </c>
      <c r="F40" s="25">
        <f>IFERROR(INDEX(Reference!$G:$G,MATCH("Mutual Fund|"&amp;C40&amp;"|"&amp;B40,Reference!$A:$A,0)),"")</f>
        <v/>
      </c>
      <c r="G40" s="25">
        <f>IFERROR(INDEX(Reference!$I:$I,MATCH("Mutual Fund|"&amp;C40&amp;"|"&amp;B40,Reference!$A:$A,0)),"")</f>
        <v/>
      </c>
      <c r="H40" s="78" t="n"/>
      <c r="I40" s="45" t="n"/>
      <c r="J40" s="45" t="n"/>
      <c r="K40" s="79">
        <f>IFERROR(IF(H40="","",(AsOfDate-H40)/365.25),"")</f>
        <v/>
      </c>
      <c r="L40" s="48" t="n"/>
      <c r="M40" s="48" t="n"/>
      <c r="N40" s="49">
        <f>IFERROR(INDEX(Prices!$E:$E,MATCH("Mutual Fund|"&amp;C40&amp;"|"&amp;B40,Prices!$A:$A,0)),0)</f>
        <v/>
      </c>
      <c r="O40" s="50" t="n"/>
      <c r="P40" s="50">
        <f>L40*N40</f>
        <v/>
      </c>
      <c r="Q40" s="50">
        <f>P40-O40</f>
        <v/>
      </c>
      <c r="R40" s="64">
        <f>IFERROR(Q40/O40,0)</f>
        <v/>
      </c>
      <c r="S40" s="43" t="n"/>
    </row>
    <row r="41" ht="15" customHeight="1" s="54">
      <c r="A41" s="43" t="n">
        <v>37</v>
      </c>
      <c r="B41" s="43" t="n"/>
      <c r="C41" s="43" t="n"/>
      <c r="D41" s="25">
        <f>IFERROR(INDEX(Reference!$E:$E,MATCH("Mutual Fund|"&amp;C41&amp;"|"&amp;B41,Reference!$A:$A,0)),"")</f>
        <v/>
      </c>
      <c r="E41" s="25">
        <f>IFERROR(INDEX(Reference!$H:$H,MATCH("Mutual Fund|"&amp;C41&amp;"|"&amp;B41,Reference!$A:$A,0)),"")</f>
        <v/>
      </c>
      <c r="F41" s="25">
        <f>IFERROR(INDEX(Reference!$G:$G,MATCH("Mutual Fund|"&amp;C41&amp;"|"&amp;B41,Reference!$A:$A,0)),"")</f>
        <v/>
      </c>
      <c r="G41" s="25">
        <f>IFERROR(INDEX(Reference!$I:$I,MATCH("Mutual Fund|"&amp;C41&amp;"|"&amp;B41,Reference!$A:$A,0)),"")</f>
        <v/>
      </c>
      <c r="H41" s="78" t="n"/>
      <c r="I41" s="45" t="n"/>
      <c r="J41" s="45" t="n"/>
      <c r="K41" s="79">
        <f>IFERROR(IF(H41="","",(AsOfDate-H41)/365.25),"")</f>
        <v/>
      </c>
      <c r="L41" s="48" t="n"/>
      <c r="M41" s="48" t="n"/>
      <c r="N41" s="49">
        <f>IFERROR(INDEX(Prices!$E:$E,MATCH("Mutual Fund|"&amp;C41&amp;"|"&amp;B41,Prices!$A:$A,0)),0)</f>
        <v/>
      </c>
      <c r="O41" s="50" t="n"/>
      <c r="P41" s="50">
        <f>L41*N41</f>
        <v/>
      </c>
      <c r="Q41" s="50">
        <f>P41-O41</f>
        <v/>
      </c>
      <c r="R41" s="64">
        <f>IFERROR(Q41/O41,0)</f>
        <v/>
      </c>
      <c r="S41" s="43" t="n"/>
    </row>
    <row r="42" ht="15" customHeight="1" s="54">
      <c r="A42" s="43" t="n">
        <v>38</v>
      </c>
      <c r="B42" s="43" t="n"/>
      <c r="C42" s="43" t="n"/>
      <c r="D42" s="25">
        <f>IFERROR(INDEX(Reference!$E:$E,MATCH("Mutual Fund|"&amp;C42&amp;"|"&amp;B42,Reference!$A:$A,0)),"")</f>
        <v/>
      </c>
      <c r="E42" s="25">
        <f>IFERROR(INDEX(Reference!$H:$H,MATCH("Mutual Fund|"&amp;C42&amp;"|"&amp;B42,Reference!$A:$A,0)),"")</f>
        <v/>
      </c>
      <c r="F42" s="25">
        <f>IFERROR(INDEX(Reference!$G:$G,MATCH("Mutual Fund|"&amp;C42&amp;"|"&amp;B42,Reference!$A:$A,0)),"")</f>
        <v/>
      </c>
      <c r="G42" s="25">
        <f>IFERROR(INDEX(Reference!$I:$I,MATCH("Mutual Fund|"&amp;C42&amp;"|"&amp;B42,Reference!$A:$A,0)),"")</f>
        <v/>
      </c>
      <c r="H42" s="78" t="n"/>
      <c r="I42" s="45" t="n"/>
      <c r="J42" s="45" t="n"/>
      <c r="K42" s="79">
        <f>IFERROR(IF(H42="","",(AsOfDate-H42)/365.25),"")</f>
        <v/>
      </c>
      <c r="L42" s="48" t="n"/>
      <c r="M42" s="48" t="n"/>
      <c r="N42" s="49">
        <f>IFERROR(INDEX(Prices!$E:$E,MATCH("Mutual Fund|"&amp;C42&amp;"|"&amp;B42,Prices!$A:$A,0)),0)</f>
        <v/>
      </c>
      <c r="O42" s="50" t="n"/>
      <c r="P42" s="50">
        <f>L42*N42</f>
        <v/>
      </c>
      <c r="Q42" s="50">
        <f>P42-O42</f>
        <v/>
      </c>
      <c r="R42" s="64">
        <f>IFERROR(Q42/O42,0)</f>
        <v/>
      </c>
      <c r="S42" s="43" t="n"/>
    </row>
    <row r="43" ht="15" customHeight="1" s="54">
      <c r="A43" s="43" t="n">
        <v>39</v>
      </c>
      <c r="B43" s="43" t="n"/>
      <c r="C43" s="43" t="n"/>
      <c r="D43" s="25">
        <f>IFERROR(INDEX(Reference!$E:$E,MATCH("Mutual Fund|"&amp;C43&amp;"|"&amp;B43,Reference!$A:$A,0)),"")</f>
        <v/>
      </c>
      <c r="E43" s="25">
        <f>IFERROR(INDEX(Reference!$H:$H,MATCH("Mutual Fund|"&amp;C43&amp;"|"&amp;B43,Reference!$A:$A,0)),"")</f>
        <v/>
      </c>
      <c r="F43" s="25">
        <f>IFERROR(INDEX(Reference!$G:$G,MATCH("Mutual Fund|"&amp;C43&amp;"|"&amp;B43,Reference!$A:$A,0)),"")</f>
        <v/>
      </c>
      <c r="G43" s="25">
        <f>IFERROR(INDEX(Reference!$I:$I,MATCH("Mutual Fund|"&amp;C43&amp;"|"&amp;B43,Reference!$A:$A,0)),"")</f>
        <v/>
      </c>
      <c r="H43" s="78" t="n"/>
      <c r="I43" s="45" t="n"/>
      <c r="J43" s="45" t="n"/>
      <c r="K43" s="79">
        <f>IFERROR(IF(H43="","",(AsOfDate-H43)/365.25),"")</f>
        <v/>
      </c>
      <c r="L43" s="48" t="n"/>
      <c r="M43" s="48" t="n"/>
      <c r="N43" s="49">
        <f>IFERROR(INDEX(Prices!$E:$E,MATCH("Mutual Fund|"&amp;C43&amp;"|"&amp;B43,Prices!$A:$A,0)),0)</f>
        <v/>
      </c>
      <c r="O43" s="50" t="n"/>
      <c r="P43" s="50">
        <f>L43*N43</f>
        <v/>
      </c>
      <c r="Q43" s="50">
        <f>P43-O43</f>
        <v/>
      </c>
      <c r="R43" s="64">
        <f>IFERROR(Q43/O43,0)</f>
        <v/>
      </c>
      <c r="S43" s="43" t="n"/>
    </row>
    <row r="44" ht="15" customHeight="1" s="54">
      <c r="A44" s="43" t="n">
        <v>40</v>
      </c>
      <c r="B44" s="43" t="n"/>
      <c r="C44" s="43" t="n"/>
      <c r="D44" s="25">
        <f>IFERROR(INDEX(Reference!$E:$E,MATCH("Mutual Fund|"&amp;C44&amp;"|"&amp;B44,Reference!$A:$A,0)),"")</f>
        <v/>
      </c>
      <c r="E44" s="25">
        <f>IFERROR(INDEX(Reference!$H:$H,MATCH("Mutual Fund|"&amp;C44&amp;"|"&amp;B44,Reference!$A:$A,0)),"")</f>
        <v/>
      </c>
      <c r="F44" s="25">
        <f>IFERROR(INDEX(Reference!$G:$G,MATCH("Mutual Fund|"&amp;C44&amp;"|"&amp;B44,Reference!$A:$A,0)),"")</f>
        <v/>
      </c>
      <c r="G44" s="25">
        <f>IFERROR(INDEX(Reference!$I:$I,MATCH("Mutual Fund|"&amp;C44&amp;"|"&amp;B44,Reference!$A:$A,0)),"")</f>
        <v/>
      </c>
      <c r="H44" s="78" t="n"/>
      <c r="I44" s="45" t="n"/>
      <c r="J44" s="45" t="n"/>
      <c r="K44" s="79">
        <f>IFERROR(IF(H44="","",(AsOfDate-H44)/365.25),"")</f>
        <v/>
      </c>
      <c r="L44" s="48" t="n"/>
      <c r="M44" s="48" t="n"/>
      <c r="N44" s="49">
        <f>IFERROR(INDEX(Prices!$E:$E,MATCH("Mutual Fund|"&amp;C44&amp;"|"&amp;B44,Prices!$A:$A,0)),0)</f>
        <v/>
      </c>
      <c r="O44" s="50" t="n"/>
      <c r="P44" s="50">
        <f>L44*N44</f>
        <v/>
      </c>
      <c r="Q44" s="50">
        <f>P44-O44</f>
        <v/>
      </c>
      <c r="R44" s="64">
        <f>IFERROR(Q44/O44,0)</f>
        <v/>
      </c>
      <c r="S44" s="43" t="n"/>
    </row>
    <row r="45" ht="15" customHeight="1" s="54">
      <c r="A45" s="43" t="n">
        <v>41</v>
      </c>
      <c r="B45" s="43" t="n"/>
      <c r="C45" s="43" t="n"/>
      <c r="D45" s="25">
        <f>IFERROR(INDEX(Reference!$E:$E,MATCH("Mutual Fund|"&amp;C45&amp;"|"&amp;B45,Reference!$A:$A,0)),"")</f>
        <v/>
      </c>
      <c r="E45" s="25">
        <f>IFERROR(INDEX(Reference!$H:$H,MATCH("Mutual Fund|"&amp;C45&amp;"|"&amp;B45,Reference!$A:$A,0)),"")</f>
        <v/>
      </c>
      <c r="F45" s="25">
        <f>IFERROR(INDEX(Reference!$G:$G,MATCH("Mutual Fund|"&amp;C45&amp;"|"&amp;B45,Reference!$A:$A,0)),"")</f>
        <v/>
      </c>
      <c r="G45" s="25">
        <f>IFERROR(INDEX(Reference!$I:$I,MATCH("Mutual Fund|"&amp;C45&amp;"|"&amp;B45,Reference!$A:$A,0)),"")</f>
        <v/>
      </c>
      <c r="H45" s="78" t="n"/>
      <c r="I45" s="45" t="n"/>
      <c r="J45" s="45" t="n"/>
      <c r="K45" s="79">
        <f>IFERROR(IF(H45="","",(AsOfDate-H45)/365.25),"")</f>
        <v/>
      </c>
      <c r="L45" s="48" t="n"/>
      <c r="M45" s="48" t="n"/>
      <c r="N45" s="49">
        <f>IFERROR(INDEX(Prices!$E:$E,MATCH("Mutual Fund|"&amp;C45&amp;"|"&amp;B45,Prices!$A:$A,0)),0)</f>
        <v/>
      </c>
      <c r="O45" s="50" t="n"/>
      <c r="P45" s="50">
        <f>L45*N45</f>
        <v/>
      </c>
      <c r="Q45" s="50">
        <f>P45-O45</f>
        <v/>
      </c>
      <c r="R45" s="64">
        <f>IFERROR(Q45/O45,0)</f>
        <v/>
      </c>
      <c r="S45" s="43" t="n"/>
    </row>
    <row r="46" ht="15" customHeight="1" s="54">
      <c r="A46" s="43" t="n">
        <v>42</v>
      </c>
      <c r="B46" s="43" t="n"/>
      <c r="C46" s="43" t="n"/>
      <c r="D46" s="25">
        <f>IFERROR(INDEX(Reference!$E:$E,MATCH("Mutual Fund|"&amp;C46&amp;"|"&amp;B46,Reference!$A:$A,0)),"")</f>
        <v/>
      </c>
      <c r="E46" s="25">
        <f>IFERROR(INDEX(Reference!$H:$H,MATCH("Mutual Fund|"&amp;C46&amp;"|"&amp;B46,Reference!$A:$A,0)),"")</f>
        <v/>
      </c>
      <c r="F46" s="25">
        <f>IFERROR(INDEX(Reference!$G:$G,MATCH("Mutual Fund|"&amp;C46&amp;"|"&amp;B46,Reference!$A:$A,0)),"")</f>
        <v/>
      </c>
      <c r="G46" s="25">
        <f>IFERROR(INDEX(Reference!$I:$I,MATCH("Mutual Fund|"&amp;C46&amp;"|"&amp;B46,Reference!$A:$A,0)),"")</f>
        <v/>
      </c>
      <c r="H46" s="78" t="n"/>
      <c r="I46" s="45" t="n"/>
      <c r="J46" s="45" t="n"/>
      <c r="K46" s="79">
        <f>IFERROR(IF(H46="","",(AsOfDate-H46)/365.25),"")</f>
        <v/>
      </c>
      <c r="L46" s="48" t="n"/>
      <c r="M46" s="48" t="n"/>
      <c r="N46" s="49">
        <f>IFERROR(INDEX(Prices!$E:$E,MATCH("Mutual Fund|"&amp;C46&amp;"|"&amp;B46,Prices!$A:$A,0)),0)</f>
        <v/>
      </c>
      <c r="O46" s="50" t="n"/>
      <c r="P46" s="50">
        <f>L46*N46</f>
        <v/>
      </c>
      <c r="Q46" s="50">
        <f>P46-O46</f>
        <v/>
      </c>
      <c r="R46" s="64">
        <f>IFERROR(Q46/O46,0)</f>
        <v/>
      </c>
      <c r="S46" s="43" t="n"/>
    </row>
    <row r="47" ht="15" customHeight="1" s="54">
      <c r="A47" s="43" t="n">
        <v>43</v>
      </c>
      <c r="B47" s="43" t="n"/>
      <c r="C47" s="43" t="n"/>
      <c r="D47" s="25">
        <f>IFERROR(INDEX(Reference!$E:$E,MATCH("Mutual Fund|"&amp;C47&amp;"|"&amp;B47,Reference!$A:$A,0)),"")</f>
        <v/>
      </c>
      <c r="E47" s="25">
        <f>IFERROR(INDEX(Reference!$H:$H,MATCH("Mutual Fund|"&amp;C47&amp;"|"&amp;B47,Reference!$A:$A,0)),"")</f>
        <v/>
      </c>
      <c r="F47" s="25">
        <f>IFERROR(INDEX(Reference!$G:$G,MATCH("Mutual Fund|"&amp;C47&amp;"|"&amp;B47,Reference!$A:$A,0)),"")</f>
        <v/>
      </c>
      <c r="G47" s="25">
        <f>IFERROR(INDEX(Reference!$I:$I,MATCH("Mutual Fund|"&amp;C47&amp;"|"&amp;B47,Reference!$A:$A,0)),"")</f>
        <v/>
      </c>
      <c r="H47" s="78" t="n"/>
      <c r="I47" s="45" t="n"/>
      <c r="J47" s="45" t="n"/>
      <c r="K47" s="79">
        <f>IFERROR(IF(H47="","",(AsOfDate-H47)/365.25),"")</f>
        <v/>
      </c>
      <c r="L47" s="48" t="n"/>
      <c r="M47" s="48" t="n"/>
      <c r="N47" s="49">
        <f>IFERROR(INDEX(Prices!$E:$E,MATCH("Mutual Fund|"&amp;C47&amp;"|"&amp;B47,Prices!$A:$A,0)),0)</f>
        <v/>
      </c>
      <c r="O47" s="50" t="n"/>
      <c r="P47" s="50">
        <f>L47*N47</f>
        <v/>
      </c>
      <c r="Q47" s="50">
        <f>P47-O47</f>
        <v/>
      </c>
      <c r="R47" s="64">
        <f>IFERROR(Q47/O47,0)</f>
        <v/>
      </c>
      <c r="S47" s="43" t="n"/>
    </row>
    <row r="48" ht="15" customHeight="1" s="54">
      <c r="A48" s="43" t="n">
        <v>44</v>
      </c>
      <c r="B48" s="43" t="n"/>
      <c r="C48" s="43" t="n"/>
      <c r="D48" s="25">
        <f>IFERROR(INDEX(Reference!$E:$E,MATCH("Mutual Fund|"&amp;C48&amp;"|"&amp;B48,Reference!$A:$A,0)),"")</f>
        <v/>
      </c>
      <c r="E48" s="25">
        <f>IFERROR(INDEX(Reference!$H:$H,MATCH("Mutual Fund|"&amp;C48&amp;"|"&amp;B48,Reference!$A:$A,0)),"")</f>
        <v/>
      </c>
      <c r="F48" s="25">
        <f>IFERROR(INDEX(Reference!$G:$G,MATCH("Mutual Fund|"&amp;C48&amp;"|"&amp;B48,Reference!$A:$A,0)),"")</f>
        <v/>
      </c>
      <c r="G48" s="25">
        <f>IFERROR(INDEX(Reference!$I:$I,MATCH("Mutual Fund|"&amp;C48&amp;"|"&amp;B48,Reference!$A:$A,0)),"")</f>
        <v/>
      </c>
      <c r="H48" s="78" t="n"/>
      <c r="I48" s="45" t="n"/>
      <c r="J48" s="45" t="n"/>
      <c r="K48" s="79">
        <f>IFERROR(IF(H48="","",(AsOfDate-H48)/365.25),"")</f>
        <v/>
      </c>
      <c r="L48" s="48" t="n"/>
      <c r="M48" s="48" t="n"/>
      <c r="N48" s="49">
        <f>IFERROR(INDEX(Prices!$E:$E,MATCH("Mutual Fund|"&amp;C48&amp;"|"&amp;B48,Prices!$A:$A,0)),0)</f>
        <v/>
      </c>
      <c r="O48" s="50" t="n"/>
      <c r="P48" s="50">
        <f>L48*N48</f>
        <v/>
      </c>
      <c r="Q48" s="50">
        <f>P48-O48</f>
        <v/>
      </c>
      <c r="R48" s="64">
        <f>IFERROR(Q48/O48,0)</f>
        <v/>
      </c>
      <c r="S48" s="43" t="n"/>
    </row>
    <row r="49" ht="15" customHeight="1" s="54">
      <c r="A49" s="43" t="n">
        <v>45</v>
      </c>
      <c r="B49" s="43" t="n"/>
      <c r="C49" s="43" t="n"/>
      <c r="D49" s="25">
        <f>IFERROR(INDEX(Reference!$E:$E,MATCH("Mutual Fund|"&amp;C49&amp;"|"&amp;B49,Reference!$A:$A,0)),"")</f>
        <v/>
      </c>
      <c r="E49" s="25">
        <f>IFERROR(INDEX(Reference!$H:$H,MATCH("Mutual Fund|"&amp;C49&amp;"|"&amp;B49,Reference!$A:$A,0)),"")</f>
        <v/>
      </c>
      <c r="F49" s="25">
        <f>IFERROR(INDEX(Reference!$G:$G,MATCH("Mutual Fund|"&amp;C49&amp;"|"&amp;B49,Reference!$A:$A,0)),"")</f>
        <v/>
      </c>
      <c r="G49" s="25">
        <f>IFERROR(INDEX(Reference!$I:$I,MATCH("Mutual Fund|"&amp;C49&amp;"|"&amp;B49,Reference!$A:$A,0)),"")</f>
        <v/>
      </c>
      <c r="H49" s="78" t="n"/>
      <c r="I49" s="45" t="n"/>
      <c r="J49" s="45" t="n"/>
      <c r="K49" s="79">
        <f>IFERROR(IF(H49="","",(AsOfDate-H49)/365.25),"")</f>
        <v/>
      </c>
      <c r="L49" s="48" t="n"/>
      <c r="M49" s="48" t="n"/>
      <c r="N49" s="49">
        <f>IFERROR(INDEX(Prices!$E:$E,MATCH("Mutual Fund|"&amp;C49&amp;"|"&amp;B49,Prices!$A:$A,0)),0)</f>
        <v/>
      </c>
      <c r="O49" s="50" t="n"/>
      <c r="P49" s="50">
        <f>L49*N49</f>
        <v/>
      </c>
      <c r="Q49" s="50">
        <f>P49-O49</f>
        <v/>
      </c>
      <c r="R49" s="64">
        <f>IFERROR(Q49/O49,0)</f>
        <v/>
      </c>
      <c r="S49" s="43" t="n"/>
    </row>
    <row r="50" ht="15" customHeight="1" s="54">
      <c r="A50" s="43" t="n">
        <v>46</v>
      </c>
      <c r="B50" s="43" t="n"/>
      <c r="C50" s="43" t="n"/>
      <c r="D50" s="25">
        <f>IFERROR(INDEX(Reference!$E:$E,MATCH("Mutual Fund|"&amp;C50&amp;"|"&amp;B50,Reference!$A:$A,0)),"")</f>
        <v/>
      </c>
      <c r="E50" s="25">
        <f>IFERROR(INDEX(Reference!$H:$H,MATCH("Mutual Fund|"&amp;C50&amp;"|"&amp;B50,Reference!$A:$A,0)),"")</f>
        <v/>
      </c>
      <c r="F50" s="25">
        <f>IFERROR(INDEX(Reference!$G:$G,MATCH("Mutual Fund|"&amp;C50&amp;"|"&amp;B50,Reference!$A:$A,0)),"")</f>
        <v/>
      </c>
      <c r="G50" s="25">
        <f>IFERROR(INDEX(Reference!$I:$I,MATCH("Mutual Fund|"&amp;C50&amp;"|"&amp;B50,Reference!$A:$A,0)),"")</f>
        <v/>
      </c>
      <c r="H50" s="78" t="n"/>
      <c r="I50" s="45" t="n"/>
      <c r="J50" s="45" t="n"/>
      <c r="K50" s="79">
        <f>IFERROR(IF(H50="","",(AsOfDate-H50)/365.25),"")</f>
        <v/>
      </c>
      <c r="L50" s="48" t="n"/>
      <c r="M50" s="48" t="n"/>
      <c r="N50" s="49">
        <f>IFERROR(INDEX(Prices!$E:$E,MATCH("Mutual Fund|"&amp;C50&amp;"|"&amp;B50,Prices!$A:$A,0)),0)</f>
        <v/>
      </c>
      <c r="O50" s="50" t="n"/>
      <c r="P50" s="50">
        <f>L50*N50</f>
        <v/>
      </c>
      <c r="Q50" s="50">
        <f>P50-O50</f>
        <v/>
      </c>
      <c r="R50" s="64">
        <f>IFERROR(Q50/O50,0)</f>
        <v/>
      </c>
      <c r="S50" s="43" t="n"/>
    </row>
    <row r="51" ht="15" customHeight="1" s="54">
      <c r="A51" s="43" t="n">
        <v>47</v>
      </c>
      <c r="B51" s="43" t="n"/>
      <c r="C51" s="43" t="n"/>
      <c r="D51" s="25">
        <f>IFERROR(INDEX(Reference!$E:$E,MATCH("Mutual Fund|"&amp;C51&amp;"|"&amp;B51,Reference!$A:$A,0)),"")</f>
        <v/>
      </c>
      <c r="E51" s="25">
        <f>IFERROR(INDEX(Reference!$H:$H,MATCH("Mutual Fund|"&amp;C51&amp;"|"&amp;B51,Reference!$A:$A,0)),"")</f>
        <v/>
      </c>
      <c r="F51" s="25">
        <f>IFERROR(INDEX(Reference!$G:$G,MATCH("Mutual Fund|"&amp;C51&amp;"|"&amp;B51,Reference!$A:$A,0)),"")</f>
        <v/>
      </c>
      <c r="G51" s="25">
        <f>IFERROR(INDEX(Reference!$I:$I,MATCH("Mutual Fund|"&amp;C51&amp;"|"&amp;B51,Reference!$A:$A,0)),"")</f>
        <v/>
      </c>
      <c r="H51" s="78" t="n"/>
      <c r="I51" s="45" t="n"/>
      <c r="J51" s="45" t="n"/>
      <c r="K51" s="79">
        <f>IFERROR(IF(H51="","",(AsOfDate-H51)/365.25),"")</f>
        <v/>
      </c>
      <c r="L51" s="48" t="n"/>
      <c r="M51" s="48" t="n"/>
      <c r="N51" s="49">
        <f>IFERROR(INDEX(Prices!$E:$E,MATCH("Mutual Fund|"&amp;C51&amp;"|"&amp;B51,Prices!$A:$A,0)),0)</f>
        <v/>
      </c>
      <c r="O51" s="50" t="n"/>
      <c r="P51" s="50">
        <f>L51*N51</f>
        <v/>
      </c>
      <c r="Q51" s="50">
        <f>P51-O51</f>
        <v/>
      </c>
      <c r="R51" s="64">
        <f>IFERROR(Q51/O51,0)</f>
        <v/>
      </c>
      <c r="S51" s="43" t="n"/>
    </row>
    <row r="52" ht="15" customHeight="1" s="54">
      <c r="A52" s="43" t="n">
        <v>48</v>
      </c>
      <c r="B52" s="43" t="n"/>
      <c r="C52" s="43" t="n"/>
      <c r="D52" s="25">
        <f>IFERROR(INDEX(Reference!$E:$E,MATCH("Mutual Fund|"&amp;C52&amp;"|"&amp;B52,Reference!$A:$A,0)),"")</f>
        <v/>
      </c>
      <c r="E52" s="25">
        <f>IFERROR(INDEX(Reference!$H:$H,MATCH("Mutual Fund|"&amp;C52&amp;"|"&amp;B52,Reference!$A:$A,0)),"")</f>
        <v/>
      </c>
      <c r="F52" s="25">
        <f>IFERROR(INDEX(Reference!$G:$G,MATCH("Mutual Fund|"&amp;C52&amp;"|"&amp;B52,Reference!$A:$A,0)),"")</f>
        <v/>
      </c>
      <c r="G52" s="25">
        <f>IFERROR(INDEX(Reference!$I:$I,MATCH("Mutual Fund|"&amp;C52&amp;"|"&amp;B52,Reference!$A:$A,0)),"")</f>
        <v/>
      </c>
      <c r="H52" s="78" t="n"/>
      <c r="I52" s="45" t="n"/>
      <c r="J52" s="45" t="n"/>
      <c r="K52" s="79">
        <f>IFERROR(IF(H52="","",(AsOfDate-H52)/365.25),"")</f>
        <v/>
      </c>
      <c r="L52" s="48" t="n"/>
      <c r="M52" s="48" t="n"/>
      <c r="N52" s="49">
        <f>IFERROR(INDEX(Prices!$E:$E,MATCH("Mutual Fund|"&amp;C52&amp;"|"&amp;B52,Prices!$A:$A,0)),0)</f>
        <v/>
      </c>
      <c r="O52" s="50" t="n"/>
      <c r="P52" s="50">
        <f>L52*N52</f>
        <v/>
      </c>
      <c r="Q52" s="50">
        <f>P52-O52</f>
        <v/>
      </c>
      <c r="R52" s="64">
        <f>IFERROR(Q52/O52,0)</f>
        <v/>
      </c>
      <c r="S52" s="43" t="n"/>
    </row>
    <row r="53" ht="15" customHeight="1" s="54">
      <c r="A53" s="43" t="n">
        <v>49</v>
      </c>
      <c r="B53" s="43" t="n"/>
      <c r="C53" s="43" t="n"/>
      <c r="D53" s="25">
        <f>IFERROR(INDEX(Reference!$E:$E,MATCH("Mutual Fund|"&amp;C53&amp;"|"&amp;B53,Reference!$A:$A,0)),"")</f>
        <v/>
      </c>
      <c r="E53" s="25">
        <f>IFERROR(INDEX(Reference!$H:$H,MATCH("Mutual Fund|"&amp;C53&amp;"|"&amp;B53,Reference!$A:$A,0)),"")</f>
        <v/>
      </c>
      <c r="F53" s="25">
        <f>IFERROR(INDEX(Reference!$G:$G,MATCH("Mutual Fund|"&amp;C53&amp;"|"&amp;B53,Reference!$A:$A,0)),"")</f>
        <v/>
      </c>
      <c r="G53" s="25">
        <f>IFERROR(INDEX(Reference!$I:$I,MATCH("Mutual Fund|"&amp;C53&amp;"|"&amp;B53,Reference!$A:$A,0)),"")</f>
        <v/>
      </c>
      <c r="H53" s="78" t="n"/>
      <c r="I53" s="45" t="n"/>
      <c r="J53" s="45" t="n"/>
      <c r="K53" s="79">
        <f>IFERROR(IF(H53="","",(AsOfDate-H53)/365.25),"")</f>
        <v/>
      </c>
      <c r="L53" s="48" t="n"/>
      <c r="M53" s="48" t="n"/>
      <c r="N53" s="49">
        <f>IFERROR(INDEX(Prices!$E:$E,MATCH("Mutual Fund|"&amp;C53&amp;"|"&amp;B53,Prices!$A:$A,0)),0)</f>
        <v/>
      </c>
      <c r="O53" s="50" t="n"/>
      <c r="P53" s="50">
        <f>L53*N53</f>
        <v/>
      </c>
      <c r="Q53" s="50">
        <f>P53-O53</f>
        <v/>
      </c>
      <c r="R53" s="64">
        <f>IFERROR(Q53/O53,0)</f>
        <v/>
      </c>
      <c r="S53" s="43" t="n"/>
    </row>
    <row r="54" ht="15" customHeight="1" s="54">
      <c r="A54" s="43" t="n">
        <v>50</v>
      </c>
      <c r="B54" s="43" t="n"/>
      <c r="C54" s="43" t="n"/>
      <c r="D54" s="25">
        <f>IFERROR(INDEX(Reference!$E:$E,MATCH("Mutual Fund|"&amp;C54&amp;"|"&amp;B54,Reference!$A:$A,0)),"")</f>
        <v/>
      </c>
      <c r="E54" s="25">
        <f>IFERROR(INDEX(Reference!$H:$H,MATCH("Mutual Fund|"&amp;C54&amp;"|"&amp;B54,Reference!$A:$A,0)),"")</f>
        <v/>
      </c>
      <c r="F54" s="25">
        <f>IFERROR(INDEX(Reference!$G:$G,MATCH("Mutual Fund|"&amp;C54&amp;"|"&amp;B54,Reference!$A:$A,0)),"")</f>
        <v/>
      </c>
      <c r="G54" s="25">
        <f>IFERROR(INDEX(Reference!$I:$I,MATCH("Mutual Fund|"&amp;C54&amp;"|"&amp;B54,Reference!$A:$A,0)),"")</f>
        <v/>
      </c>
      <c r="H54" s="78" t="n"/>
      <c r="I54" s="45" t="n"/>
      <c r="J54" s="45" t="n"/>
      <c r="K54" s="79">
        <f>IFERROR(IF(H54="","",(AsOfDate-H54)/365.25),"")</f>
        <v/>
      </c>
      <c r="L54" s="48" t="n"/>
      <c r="M54" s="48" t="n"/>
      <c r="N54" s="49">
        <f>IFERROR(INDEX(Prices!$E:$E,MATCH("Mutual Fund|"&amp;C54&amp;"|"&amp;B54,Prices!$A:$A,0)),0)</f>
        <v/>
      </c>
      <c r="O54" s="50" t="n"/>
      <c r="P54" s="50">
        <f>L54*N54</f>
        <v/>
      </c>
      <c r="Q54" s="50">
        <f>P54-O54</f>
        <v/>
      </c>
      <c r="R54" s="64">
        <f>IFERROR(Q54/O54,0)</f>
        <v/>
      </c>
      <c r="S54" s="43" t="n"/>
    </row>
    <row r="55" ht="15" customHeight="1" s="54">
      <c r="A55" s="43" t="n">
        <v>51</v>
      </c>
      <c r="B55" s="43" t="n"/>
      <c r="C55" s="43" t="n"/>
      <c r="D55" s="25">
        <f>IFERROR(INDEX(Reference!$E:$E,MATCH("Mutual Fund|"&amp;C55&amp;"|"&amp;B55,Reference!$A:$A,0)),"")</f>
        <v/>
      </c>
      <c r="E55" s="25">
        <f>IFERROR(INDEX(Reference!$H:$H,MATCH("Mutual Fund|"&amp;C55&amp;"|"&amp;B55,Reference!$A:$A,0)),"")</f>
        <v/>
      </c>
      <c r="F55" s="25">
        <f>IFERROR(INDEX(Reference!$G:$G,MATCH("Mutual Fund|"&amp;C55&amp;"|"&amp;B55,Reference!$A:$A,0)),"")</f>
        <v/>
      </c>
      <c r="G55" s="25">
        <f>IFERROR(INDEX(Reference!$I:$I,MATCH("Mutual Fund|"&amp;C55&amp;"|"&amp;B55,Reference!$A:$A,0)),"")</f>
        <v/>
      </c>
      <c r="H55" s="78" t="n"/>
      <c r="I55" s="45" t="n"/>
      <c r="J55" s="45" t="n"/>
      <c r="K55" s="79">
        <f>IFERROR(IF(H55="","",(AsOfDate-H55)/365.25),"")</f>
        <v/>
      </c>
      <c r="L55" s="48" t="n"/>
      <c r="M55" s="48" t="n"/>
      <c r="N55" s="49">
        <f>IFERROR(INDEX(Prices!$E:$E,MATCH("Mutual Fund|"&amp;C55&amp;"|"&amp;B55,Prices!$A:$A,0)),0)</f>
        <v/>
      </c>
      <c r="O55" s="50" t="n"/>
      <c r="P55" s="50">
        <f>L55*N55</f>
        <v/>
      </c>
      <c r="Q55" s="50">
        <f>P55-O55</f>
        <v/>
      </c>
      <c r="R55" s="64">
        <f>IFERROR(Q55/O55,0)</f>
        <v/>
      </c>
      <c r="S55" s="43" t="n"/>
    </row>
    <row r="56" ht="15" customHeight="1" s="54">
      <c r="A56" s="43" t="n">
        <v>52</v>
      </c>
      <c r="B56" s="43" t="n"/>
      <c r="C56" s="43" t="n"/>
      <c r="D56" s="25">
        <f>IFERROR(INDEX(Reference!$E:$E,MATCH("Mutual Fund|"&amp;C56&amp;"|"&amp;B56,Reference!$A:$A,0)),"")</f>
        <v/>
      </c>
      <c r="E56" s="25">
        <f>IFERROR(INDEX(Reference!$H:$H,MATCH("Mutual Fund|"&amp;C56&amp;"|"&amp;B56,Reference!$A:$A,0)),"")</f>
        <v/>
      </c>
      <c r="F56" s="25">
        <f>IFERROR(INDEX(Reference!$G:$G,MATCH("Mutual Fund|"&amp;C56&amp;"|"&amp;B56,Reference!$A:$A,0)),"")</f>
        <v/>
      </c>
      <c r="G56" s="25">
        <f>IFERROR(INDEX(Reference!$I:$I,MATCH("Mutual Fund|"&amp;C56&amp;"|"&amp;B56,Reference!$A:$A,0)),"")</f>
        <v/>
      </c>
      <c r="H56" s="78" t="n"/>
      <c r="I56" s="45" t="n"/>
      <c r="J56" s="45" t="n"/>
      <c r="K56" s="79">
        <f>IFERROR(IF(H56="","",(AsOfDate-H56)/365.25),"")</f>
        <v/>
      </c>
      <c r="L56" s="48" t="n"/>
      <c r="M56" s="48" t="n"/>
      <c r="N56" s="49">
        <f>IFERROR(INDEX(Prices!$E:$E,MATCH("Mutual Fund|"&amp;C56&amp;"|"&amp;B56,Prices!$A:$A,0)),0)</f>
        <v/>
      </c>
      <c r="O56" s="50" t="n"/>
      <c r="P56" s="50">
        <f>L56*N56</f>
        <v/>
      </c>
      <c r="Q56" s="50">
        <f>P56-O56</f>
        <v/>
      </c>
      <c r="R56" s="64">
        <f>IFERROR(Q56/O56,0)</f>
        <v/>
      </c>
      <c r="S56" s="43" t="n"/>
    </row>
    <row r="57" ht="15" customHeight="1" s="54">
      <c r="A57" s="43" t="n">
        <v>53</v>
      </c>
      <c r="B57" s="43" t="n"/>
      <c r="C57" s="43" t="n"/>
      <c r="D57" s="25">
        <f>IFERROR(INDEX(Reference!$E:$E,MATCH("Mutual Fund|"&amp;C57&amp;"|"&amp;B57,Reference!$A:$A,0)),"")</f>
        <v/>
      </c>
      <c r="E57" s="25">
        <f>IFERROR(INDEX(Reference!$H:$H,MATCH("Mutual Fund|"&amp;C57&amp;"|"&amp;B57,Reference!$A:$A,0)),"")</f>
        <v/>
      </c>
      <c r="F57" s="25">
        <f>IFERROR(INDEX(Reference!$G:$G,MATCH("Mutual Fund|"&amp;C57&amp;"|"&amp;B57,Reference!$A:$A,0)),"")</f>
        <v/>
      </c>
      <c r="G57" s="25">
        <f>IFERROR(INDEX(Reference!$I:$I,MATCH("Mutual Fund|"&amp;C57&amp;"|"&amp;B57,Reference!$A:$A,0)),"")</f>
        <v/>
      </c>
      <c r="H57" s="78" t="n"/>
      <c r="I57" s="45" t="n"/>
      <c r="J57" s="45" t="n"/>
      <c r="K57" s="79">
        <f>IFERROR(IF(H57="","",(AsOfDate-H57)/365.25),"")</f>
        <v/>
      </c>
      <c r="L57" s="48" t="n"/>
      <c r="M57" s="48" t="n"/>
      <c r="N57" s="49">
        <f>IFERROR(INDEX(Prices!$E:$E,MATCH("Mutual Fund|"&amp;C57&amp;"|"&amp;B57,Prices!$A:$A,0)),0)</f>
        <v/>
      </c>
      <c r="O57" s="50" t="n"/>
      <c r="P57" s="50">
        <f>L57*N57</f>
        <v/>
      </c>
      <c r="Q57" s="50">
        <f>P57-O57</f>
        <v/>
      </c>
      <c r="R57" s="64">
        <f>IFERROR(Q57/O57,0)</f>
        <v/>
      </c>
      <c r="S57" s="43" t="n"/>
    </row>
    <row r="58" ht="15" customHeight="1" s="54">
      <c r="A58" s="43" t="n">
        <v>54</v>
      </c>
      <c r="B58" s="43" t="n"/>
      <c r="C58" s="43" t="n"/>
      <c r="D58" s="25">
        <f>IFERROR(INDEX(Reference!$E:$E,MATCH("Mutual Fund|"&amp;C58&amp;"|"&amp;B58,Reference!$A:$A,0)),"")</f>
        <v/>
      </c>
      <c r="E58" s="25">
        <f>IFERROR(INDEX(Reference!$H:$H,MATCH("Mutual Fund|"&amp;C58&amp;"|"&amp;B58,Reference!$A:$A,0)),"")</f>
        <v/>
      </c>
      <c r="F58" s="25">
        <f>IFERROR(INDEX(Reference!$G:$G,MATCH("Mutual Fund|"&amp;C58&amp;"|"&amp;B58,Reference!$A:$A,0)),"")</f>
        <v/>
      </c>
      <c r="G58" s="25">
        <f>IFERROR(INDEX(Reference!$I:$I,MATCH("Mutual Fund|"&amp;C58&amp;"|"&amp;B58,Reference!$A:$A,0)),"")</f>
        <v/>
      </c>
      <c r="H58" s="78" t="n"/>
      <c r="I58" s="45" t="n"/>
      <c r="J58" s="45" t="n"/>
      <c r="K58" s="79">
        <f>IFERROR(IF(H58="","",(AsOfDate-H58)/365.25),"")</f>
        <v/>
      </c>
      <c r="L58" s="48" t="n"/>
      <c r="M58" s="48" t="n"/>
      <c r="N58" s="49">
        <f>IFERROR(INDEX(Prices!$E:$E,MATCH("Mutual Fund|"&amp;C58&amp;"|"&amp;B58,Prices!$A:$A,0)),0)</f>
        <v/>
      </c>
      <c r="O58" s="50" t="n"/>
      <c r="P58" s="50">
        <f>L58*N58</f>
        <v/>
      </c>
      <c r="Q58" s="50">
        <f>P58-O58</f>
        <v/>
      </c>
      <c r="R58" s="64">
        <f>IFERROR(Q58/O58,0)</f>
        <v/>
      </c>
      <c r="S58" s="43" t="n"/>
    </row>
    <row r="59" ht="15" customHeight="1" s="54">
      <c r="A59" s="43" t="n">
        <v>55</v>
      </c>
      <c r="B59" s="43" t="n"/>
      <c r="C59" s="43" t="n"/>
      <c r="D59" s="25">
        <f>IFERROR(INDEX(Reference!$E:$E,MATCH("Mutual Fund|"&amp;C59&amp;"|"&amp;B59,Reference!$A:$A,0)),"")</f>
        <v/>
      </c>
      <c r="E59" s="25">
        <f>IFERROR(INDEX(Reference!$H:$H,MATCH("Mutual Fund|"&amp;C59&amp;"|"&amp;B59,Reference!$A:$A,0)),"")</f>
        <v/>
      </c>
      <c r="F59" s="25">
        <f>IFERROR(INDEX(Reference!$G:$G,MATCH("Mutual Fund|"&amp;C59&amp;"|"&amp;B59,Reference!$A:$A,0)),"")</f>
        <v/>
      </c>
      <c r="G59" s="25">
        <f>IFERROR(INDEX(Reference!$I:$I,MATCH("Mutual Fund|"&amp;C59&amp;"|"&amp;B59,Reference!$A:$A,0)),"")</f>
        <v/>
      </c>
      <c r="H59" s="78" t="n"/>
      <c r="I59" s="45" t="n"/>
      <c r="J59" s="45" t="n"/>
      <c r="K59" s="79">
        <f>IFERROR(IF(H59="","",(AsOfDate-H59)/365.25),"")</f>
        <v/>
      </c>
      <c r="L59" s="48" t="n"/>
      <c r="M59" s="48" t="n"/>
      <c r="N59" s="49">
        <f>IFERROR(INDEX(Prices!$E:$E,MATCH("Mutual Fund|"&amp;C59&amp;"|"&amp;B59,Prices!$A:$A,0)),0)</f>
        <v/>
      </c>
      <c r="O59" s="50" t="n"/>
      <c r="P59" s="50">
        <f>L59*N59</f>
        <v/>
      </c>
      <c r="Q59" s="50">
        <f>P59-O59</f>
        <v/>
      </c>
      <c r="R59" s="64">
        <f>IFERROR(Q59/O59,0)</f>
        <v/>
      </c>
      <c r="S59" s="43" t="n"/>
    </row>
    <row r="60" ht="15" customHeight="1" s="54">
      <c r="A60" s="43" t="n">
        <v>56</v>
      </c>
      <c r="B60" s="43" t="n"/>
      <c r="C60" s="43" t="n"/>
      <c r="D60" s="25">
        <f>IFERROR(INDEX(Reference!$E:$E,MATCH("Mutual Fund|"&amp;C60&amp;"|"&amp;B60,Reference!$A:$A,0)),"")</f>
        <v/>
      </c>
      <c r="E60" s="25">
        <f>IFERROR(INDEX(Reference!$H:$H,MATCH("Mutual Fund|"&amp;C60&amp;"|"&amp;B60,Reference!$A:$A,0)),"")</f>
        <v/>
      </c>
      <c r="F60" s="25">
        <f>IFERROR(INDEX(Reference!$G:$G,MATCH("Mutual Fund|"&amp;C60&amp;"|"&amp;B60,Reference!$A:$A,0)),"")</f>
        <v/>
      </c>
      <c r="G60" s="25">
        <f>IFERROR(INDEX(Reference!$I:$I,MATCH("Mutual Fund|"&amp;C60&amp;"|"&amp;B60,Reference!$A:$A,0)),"")</f>
        <v/>
      </c>
      <c r="H60" s="78" t="n"/>
      <c r="I60" s="45" t="n"/>
      <c r="J60" s="45" t="n"/>
      <c r="K60" s="79">
        <f>IFERROR(IF(H60="","",(AsOfDate-H60)/365.25),"")</f>
        <v/>
      </c>
      <c r="L60" s="48" t="n"/>
      <c r="M60" s="48" t="n"/>
      <c r="N60" s="49">
        <f>IFERROR(INDEX(Prices!$E:$E,MATCH("Mutual Fund|"&amp;C60&amp;"|"&amp;B60,Prices!$A:$A,0)),0)</f>
        <v/>
      </c>
      <c r="O60" s="50" t="n"/>
      <c r="P60" s="50">
        <f>L60*N60</f>
        <v/>
      </c>
      <c r="Q60" s="50">
        <f>P60-O60</f>
        <v/>
      </c>
      <c r="R60" s="64">
        <f>IFERROR(Q60/O60,0)</f>
        <v/>
      </c>
      <c r="S60" s="43" t="n"/>
    </row>
    <row r="61" ht="15" customHeight="1" s="54">
      <c r="A61" s="43" t="n">
        <v>57</v>
      </c>
      <c r="B61" s="43" t="n"/>
      <c r="C61" s="43" t="n"/>
      <c r="D61" s="25">
        <f>IFERROR(INDEX(Reference!$E:$E,MATCH("Mutual Fund|"&amp;C61&amp;"|"&amp;B61,Reference!$A:$A,0)),"")</f>
        <v/>
      </c>
      <c r="E61" s="25">
        <f>IFERROR(INDEX(Reference!$H:$H,MATCH("Mutual Fund|"&amp;C61&amp;"|"&amp;B61,Reference!$A:$A,0)),"")</f>
        <v/>
      </c>
      <c r="F61" s="25">
        <f>IFERROR(INDEX(Reference!$G:$G,MATCH("Mutual Fund|"&amp;C61&amp;"|"&amp;B61,Reference!$A:$A,0)),"")</f>
        <v/>
      </c>
      <c r="G61" s="25">
        <f>IFERROR(INDEX(Reference!$I:$I,MATCH("Mutual Fund|"&amp;C61&amp;"|"&amp;B61,Reference!$A:$A,0)),"")</f>
        <v/>
      </c>
      <c r="H61" s="78" t="n"/>
      <c r="I61" s="45" t="n"/>
      <c r="J61" s="45" t="n"/>
      <c r="K61" s="79">
        <f>IFERROR(IF(H61="","",(AsOfDate-H61)/365.25),"")</f>
        <v/>
      </c>
      <c r="L61" s="48" t="n"/>
      <c r="M61" s="48" t="n"/>
      <c r="N61" s="49">
        <f>IFERROR(INDEX(Prices!$E:$E,MATCH("Mutual Fund|"&amp;C61&amp;"|"&amp;B61,Prices!$A:$A,0)),0)</f>
        <v/>
      </c>
      <c r="O61" s="50" t="n"/>
      <c r="P61" s="50">
        <f>L61*N61</f>
        <v/>
      </c>
      <c r="Q61" s="50">
        <f>P61-O61</f>
        <v/>
      </c>
      <c r="R61" s="64">
        <f>IFERROR(Q61/O61,0)</f>
        <v/>
      </c>
      <c r="S61" s="43" t="n"/>
    </row>
    <row r="62" ht="15" customHeight="1" s="54">
      <c r="A62" s="43" t="n">
        <v>58</v>
      </c>
      <c r="B62" s="43" t="n"/>
      <c r="C62" s="43" t="n"/>
      <c r="D62" s="25">
        <f>IFERROR(INDEX(Reference!$E:$E,MATCH("Mutual Fund|"&amp;C62&amp;"|"&amp;B62,Reference!$A:$A,0)),"")</f>
        <v/>
      </c>
      <c r="E62" s="25">
        <f>IFERROR(INDEX(Reference!$H:$H,MATCH("Mutual Fund|"&amp;C62&amp;"|"&amp;B62,Reference!$A:$A,0)),"")</f>
        <v/>
      </c>
      <c r="F62" s="25">
        <f>IFERROR(INDEX(Reference!$G:$G,MATCH("Mutual Fund|"&amp;C62&amp;"|"&amp;B62,Reference!$A:$A,0)),"")</f>
        <v/>
      </c>
      <c r="G62" s="25">
        <f>IFERROR(INDEX(Reference!$I:$I,MATCH("Mutual Fund|"&amp;C62&amp;"|"&amp;B62,Reference!$A:$A,0)),"")</f>
        <v/>
      </c>
      <c r="H62" s="78" t="n"/>
      <c r="I62" s="45" t="n"/>
      <c r="J62" s="45" t="n"/>
      <c r="K62" s="79">
        <f>IFERROR(IF(H62="","",(AsOfDate-H62)/365.25),"")</f>
        <v/>
      </c>
      <c r="L62" s="48" t="n"/>
      <c r="M62" s="48" t="n"/>
      <c r="N62" s="49">
        <f>IFERROR(INDEX(Prices!$E:$E,MATCH("Mutual Fund|"&amp;C62&amp;"|"&amp;B62,Prices!$A:$A,0)),0)</f>
        <v/>
      </c>
      <c r="O62" s="50" t="n"/>
      <c r="P62" s="50">
        <f>L62*N62</f>
        <v/>
      </c>
      <c r="Q62" s="50">
        <f>P62-O62</f>
        <v/>
      </c>
      <c r="R62" s="64">
        <f>IFERROR(Q62/O62,0)</f>
        <v/>
      </c>
      <c r="S62" s="43" t="n"/>
    </row>
    <row r="63" ht="15" customHeight="1" s="54">
      <c r="A63" s="43" t="n">
        <v>59</v>
      </c>
      <c r="B63" s="43" t="n"/>
      <c r="C63" s="43" t="n"/>
      <c r="D63" s="25">
        <f>IFERROR(INDEX(Reference!$E:$E,MATCH("Mutual Fund|"&amp;C63&amp;"|"&amp;B63,Reference!$A:$A,0)),"")</f>
        <v/>
      </c>
      <c r="E63" s="25">
        <f>IFERROR(INDEX(Reference!$H:$H,MATCH("Mutual Fund|"&amp;C63&amp;"|"&amp;B63,Reference!$A:$A,0)),"")</f>
        <v/>
      </c>
      <c r="F63" s="25">
        <f>IFERROR(INDEX(Reference!$G:$G,MATCH("Mutual Fund|"&amp;C63&amp;"|"&amp;B63,Reference!$A:$A,0)),"")</f>
        <v/>
      </c>
      <c r="G63" s="25">
        <f>IFERROR(INDEX(Reference!$I:$I,MATCH("Mutual Fund|"&amp;C63&amp;"|"&amp;B63,Reference!$A:$A,0)),"")</f>
        <v/>
      </c>
      <c r="H63" s="78" t="n"/>
      <c r="I63" s="45" t="n"/>
      <c r="J63" s="45" t="n"/>
      <c r="K63" s="79">
        <f>IFERROR(IF(H63="","",(AsOfDate-H63)/365.25),"")</f>
        <v/>
      </c>
      <c r="L63" s="48" t="n"/>
      <c r="M63" s="48" t="n"/>
      <c r="N63" s="49">
        <f>IFERROR(INDEX(Prices!$E:$E,MATCH("Mutual Fund|"&amp;C63&amp;"|"&amp;B63,Prices!$A:$A,0)),0)</f>
        <v/>
      </c>
      <c r="O63" s="50" t="n"/>
      <c r="P63" s="50">
        <f>L63*N63</f>
        <v/>
      </c>
      <c r="Q63" s="50">
        <f>P63-O63</f>
        <v/>
      </c>
      <c r="R63" s="64">
        <f>IFERROR(Q63/O63,0)</f>
        <v/>
      </c>
      <c r="S63" s="43" t="n"/>
    </row>
    <row r="64" ht="15" customHeight="1" s="54">
      <c r="A64" s="43" t="n">
        <v>60</v>
      </c>
      <c r="B64" s="43" t="n"/>
      <c r="C64" s="43" t="n"/>
      <c r="D64" s="25">
        <f>IFERROR(INDEX(Reference!$E:$E,MATCH("Mutual Fund|"&amp;C64&amp;"|"&amp;B64,Reference!$A:$A,0)),"")</f>
        <v/>
      </c>
      <c r="E64" s="25">
        <f>IFERROR(INDEX(Reference!$H:$H,MATCH("Mutual Fund|"&amp;C64&amp;"|"&amp;B64,Reference!$A:$A,0)),"")</f>
        <v/>
      </c>
      <c r="F64" s="25">
        <f>IFERROR(INDEX(Reference!$G:$G,MATCH("Mutual Fund|"&amp;C64&amp;"|"&amp;B64,Reference!$A:$A,0)),"")</f>
        <v/>
      </c>
      <c r="G64" s="25">
        <f>IFERROR(INDEX(Reference!$I:$I,MATCH("Mutual Fund|"&amp;C64&amp;"|"&amp;B64,Reference!$A:$A,0)),"")</f>
        <v/>
      </c>
      <c r="H64" s="78" t="n"/>
      <c r="I64" s="45" t="n"/>
      <c r="J64" s="45" t="n"/>
      <c r="K64" s="79">
        <f>IFERROR(IF(H64="","",(AsOfDate-H64)/365.25),"")</f>
        <v/>
      </c>
      <c r="L64" s="48" t="n"/>
      <c r="M64" s="48" t="n"/>
      <c r="N64" s="49">
        <f>IFERROR(INDEX(Prices!$E:$E,MATCH("Mutual Fund|"&amp;C64&amp;"|"&amp;B64,Prices!$A:$A,0)),0)</f>
        <v/>
      </c>
      <c r="O64" s="50" t="n"/>
      <c r="P64" s="50">
        <f>L64*N64</f>
        <v/>
      </c>
      <c r="Q64" s="50">
        <f>P64-O64</f>
        <v/>
      </c>
      <c r="R64" s="64">
        <f>IFERROR(Q64/O64,0)</f>
        <v/>
      </c>
      <c r="S64" s="43" t="n"/>
    </row>
    <row r="65" ht="15" customHeight="1" s="54">
      <c r="A65" s="43" t="n">
        <v>61</v>
      </c>
      <c r="B65" s="43" t="n"/>
      <c r="C65" s="43" t="n"/>
      <c r="D65" s="25">
        <f>IFERROR(INDEX(Reference!$E:$E,MATCH("Mutual Fund|"&amp;C65&amp;"|"&amp;B65,Reference!$A:$A,0)),"")</f>
        <v/>
      </c>
      <c r="E65" s="25">
        <f>IFERROR(INDEX(Reference!$H:$H,MATCH("Mutual Fund|"&amp;C65&amp;"|"&amp;B65,Reference!$A:$A,0)),"")</f>
        <v/>
      </c>
      <c r="F65" s="25">
        <f>IFERROR(INDEX(Reference!$G:$G,MATCH("Mutual Fund|"&amp;C65&amp;"|"&amp;B65,Reference!$A:$A,0)),"")</f>
        <v/>
      </c>
      <c r="G65" s="25">
        <f>IFERROR(INDEX(Reference!$I:$I,MATCH("Mutual Fund|"&amp;C65&amp;"|"&amp;B65,Reference!$A:$A,0)),"")</f>
        <v/>
      </c>
      <c r="H65" s="78" t="n"/>
      <c r="I65" s="45" t="n"/>
      <c r="J65" s="45" t="n"/>
      <c r="K65" s="79">
        <f>IFERROR(IF(H65="","",(AsOfDate-H65)/365.25),"")</f>
        <v/>
      </c>
      <c r="L65" s="48" t="n"/>
      <c r="M65" s="48" t="n"/>
      <c r="N65" s="49">
        <f>IFERROR(INDEX(Prices!$E:$E,MATCH("Mutual Fund|"&amp;C65&amp;"|"&amp;B65,Prices!$A:$A,0)),0)</f>
        <v/>
      </c>
      <c r="O65" s="50" t="n"/>
      <c r="P65" s="50">
        <f>L65*N65</f>
        <v/>
      </c>
      <c r="Q65" s="50">
        <f>P65-O65</f>
        <v/>
      </c>
      <c r="R65" s="64">
        <f>IFERROR(Q65/O65,0)</f>
        <v/>
      </c>
      <c r="S65" s="43" t="n"/>
    </row>
    <row r="66" ht="15" customHeight="1" s="54">
      <c r="A66" s="43" t="n">
        <v>62</v>
      </c>
      <c r="B66" s="43" t="n"/>
      <c r="C66" s="43" t="n"/>
      <c r="D66" s="25">
        <f>IFERROR(INDEX(Reference!$E:$E,MATCH("Mutual Fund|"&amp;C66&amp;"|"&amp;B66,Reference!$A:$A,0)),"")</f>
        <v/>
      </c>
      <c r="E66" s="25">
        <f>IFERROR(INDEX(Reference!$H:$H,MATCH("Mutual Fund|"&amp;C66&amp;"|"&amp;B66,Reference!$A:$A,0)),"")</f>
        <v/>
      </c>
      <c r="F66" s="25">
        <f>IFERROR(INDEX(Reference!$G:$G,MATCH("Mutual Fund|"&amp;C66&amp;"|"&amp;B66,Reference!$A:$A,0)),"")</f>
        <v/>
      </c>
      <c r="G66" s="25">
        <f>IFERROR(INDEX(Reference!$I:$I,MATCH("Mutual Fund|"&amp;C66&amp;"|"&amp;B66,Reference!$A:$A,0)),"")</f>
        <v/>
      </c>
      <c r="H66" s="78" t="n"/>
      <c r="I66" s="45" t="n"/>
      <c r="J66" s="45" t="n"/>
      <c r="K66" s="79">
        <f>IFERROR(IF(H66="","",(AsOfDate-H66)/365.25),"")</f>
        <v/>
      </c>
      <c r="L66" s="48" t="n"/>
      <c r="M66" s="48" t="n"/>
      <c r="N66" s="49">
        <f>IFERROR(INDEX(Prices!$E:$E,MATCH("Mutual Fund|"&amp;C66&amp;"|"&amp;B66,Prices!$A:$A,0)),0)</f>
        <v/>
      </c>
      <c r="O66" s="50" t="n"/>
      <c r="P66" s="50">
        <f>L66*N66</f>
        <v/>
      </c>
      <c r="Q66" s="50">
        <f>P66-O66</f>
        <v/>
      </c>
      <c r="R66" s="64">
        <f>IFERROR(Q66/O66,0)</f>
        <v/>
      </c>
      <c r="S66" s="43" t="n"/>
    </row>
    <row r="67" ht="15" customHeight="1" s="54">
      <c r="A67" s="43" t="n">
        <v>63</v>
      </c>
      <c r="B67" s="43" t="n"/>
      <c r="C67" s="43" t="n"/>
      <c r="D67" s="25">
        <f>IFERROR(INDEX(Reference!$E:$E,MATCH("Mutual Fund|"&amp;C67&amp;"|"&amp;B67,Reference!$A:$A,0)),"")</f>
        <v/>
      </c>
      <c r="E67" s="25">
        <f>IFERROR(INDEX(Reference!$H:$H,MATCH("Mutual Fund|"&amp;C67&amp;"|"&amp;B67,Reference!$A:$A,0)),"")</f>
        <v/>
      </c>
      <c r="F67" s="25">
        <f>IFERROR(INDEX(Reference!$G:$G,MATCH("Mutual Fund|"&amp;C67&amp;"|"&amp;B67,Reference!$A:$A,0)),"")</f>
        <v/>
      </c>
      <c r="G67" s="25">
        <f>IFERROR(INDEX(Reference!$I:$I,MATCH("Mutual Fund|"&amp;C67&amp;"|"&amp;B67,Reference!$A:$A,0)),"")</f>
        <v/>
      </c>
      <c r="H67" s="78" t="n"/>
      <c r="I67" s="45" t="n"/>
      <c r="J67" s="45" t="n"/>
      <c r="K67" s="79">
        <f>IFERROR(IF(H67="","",(AsOfDate-H67)/365.25),"")</f>
        <v/>
      </c>
      <c r="L67" s="48" t="n"/>
      <c r="M67" s="48" t="n"/>
      <c r="N67" s="49">
        <f>IFERROR(INDEX(Prices!$E:$E,MATCH("Mutual Fund|"&amp;C67&amp;"|"&amp;B67,Prices!$A:$A,0)),0)</f>
        <v/>
      </c>
      <c r="O67" s="50" t="n"/>
      <c r="P67" s="50">
        <f>L67*N67</f>
        <v/>
      </c>
      <c r="Q67" s="50">
        <f>P67-O67</f>
        <v/>
      </c>
      <c r="R67" s="64">
        <f>IFERROR(Q67/O67,0)</f>
        <v/>
      </c>
      <c r="S67" s="43" t="n"/>
    </row>
    <row r="68" ht="15" customHeight="1" s="54">
      <c r="A68" s="43" t="n">
        <v>64</v>
      </c>
      <c r="B68" s="43" t="n"/>
      <c r="C68" s="43" t="n"/>
      <c r="D68" s="25">
        <f>IFERROR(INDEX(Reference!$E:$E,MATCH("Mutual Fund|"&amp;C68&amp;"|"&amp;B68,Reference!$A:$A,0)),"")</f>
        <v/>
      </c>
      <c r="E68" s="25">
        <f>IFERROR(INDEX(Reference!$H:$H,MATCH("Mutual Fund|"&amp;C68&amp;"|"&amp;B68,Reference!$A:$A,0)),"")</f>
        <v/>
      </c>
      <c r="F68" s="25">
        <f>IFERROR(INDEX(Reference!$G:$G,MATCH("Mutual Fund|"&amp;C68&amp;"|"&amp;B68,Reference!$A:$A,0)),"")</f>
        <v/>
      </c>
      <c r="G68" s="25">
        <f>IFERROR(INDEX(Reference!$I:$I,MATCH("Mutual Fund|"&amp;C68&amp;"|"&amp;B68,Reference!$A:$A,0)),"")</f>
        <v/>
      </c>
      <c r="H68" s="78" t="n"/>
      <c r="I68" s="45" t="n"/>
      <c r="J68" s="45" t="n"/>
      <c r="K68" s="79">
        <f>IFERROR(IF(H68="","",(AsOfDate-H68)/365.25),"")</f>
        <v/>
      </c>
      <c r="L68" s="48" t="n"/>
      <c r="M68" s="48" t="n"/>
      <c r="N68" s="49">
        <f>IFERROR(INDEX(Prices!$E:$E,MATCH("Mutual Fund|"&amp;C68&amp;"|"&amp;B68,Prices!$A:$A,0)),0)</f>
        <v/>
      </c>
      <c r="O68" s="50" t="n"/>
      <c r="P68" s="50">
        <f>L68*N68</f>
        <v/>
      </c>
      <c r="Q68" s="50">
        <f>P68-O68</f>
        <v/>
      </c>
      <c r="R68" s="64">
        <f>IFERROR(Q68/O68,0)</f>
        <v/>
      </c>
      <c r="S68" s="43" t="n"/>
    </row>
    <row r="69" ht="15" customHeight="1" s="54">
      <c r="A69" s="43" t="n">
        <v>65</v>
      </c>
      <c r="B69" s="43" t="n"/>
      <c r="C69" s="43" t="n"/>
      <c r="D69" s="25">
        <f>IFERROR(INDEX(Reference!$E:$E,MATCH("Mutual Fund|"&amp;C69&amp;"|"&amp;B69,Reference!$A:$A,0)),"")</f>
        <v/>
      </c>
      <c r="E69" s="25">
        <f>IFERROR(INDEX(Reference!$H:$H,MATCH("Mutual Fund|"&amp;C69&amp;"|"&amp;B69,Reference!$A:$A,0)),"")</f>
        <v/>
      </c>
      <c r="F69" s="25">
        <f>IFERROR(INDEX(Reference!$G:$G,MATCH("Mutual Fund|"&amp;C69&amp;"|"&amp;B69,Reference!$A:$A,0)),"")</f>
        <v/>
      </c>
      <c r="G69" s="25">
        <f>IFERROR(INDEX(Reference!$I:$I,MATCH("Mutual Fund|"&amp;C69&amp;"|"&amp;B69,Reference!$A:$A,0)),"")</f>
        <v/>
      </c>
      <c r="H69" s="78" t="n"/>
      <c r="I69" s="45" t="n"/>
      <c r="J69" s="45" t="n"/>
      <c r="K69" s="79">
        <f>IFERROR(IF(H69="","",(AsOfDate-H69)/365.25),"")</f>
        <v/>
      </c>
      <c r="L69" s="48" t="n"/>
      <c r="M69" s="48" t="n"/>
      <c r="N69" s="49">
        <f>IFERROR(INDEX(Prices!$E:$E,MATCH("Mutual Fund|"&amp;C69&amp;"|"&amp;B69,Prices!$A:$A,0)),0)</f>
        <v/>
      </c>
      <c r="O69" s="50" t="n"/>
      <c r="P69" s="50">
        <f>L69*N69</f>
        <v/>
      </c>
      <c r="Q69" s="50">
        <f>P69-O69</f>
        <v/>
      </c>
      <c r="R69" s="64">
        <f>IFERROR(Q69/O69,0)</f>
        <v/>
      </c>
      <c r="S69" s="43" t="n"/>
    </row>
    <row r="70" ht="15" customHeight="1" s="54">
      <c r="A70" s="43" t="n">
        <v>66</v>
      </c>
      <c r="B70" s="43" t="n"/>
      <c r="C70" s="43" t="n"/>
      <c r="D70" s="25">
        <f>IFERROR(INDEX(Reference!$E:$E,MATCH("Mutual Fund|"&amp;C70&amp;"|"&amp;B70,Reference!$A:$A,0)),"")</f>
        <v/>
      </c>
      <c r="E70" s="25">
        <f>IFERROR(INDEX(Reference!$H:$H,MATCH("Mutual Fund|"&amp;C70&amp;"|"&amp;B70,Reference!$A:$A,0)),"")</f>
        <v/>
      </c>
      <c r="F70" s="25">
        <f>IFERROR(INDEX(Reference!$G:$G,MATCH("Mutual Fund|"&amp;C70&amp;"|"&amp;B70,Reference!$A:$A,0)),"")</f>
        <v/>
      </c>
      <c r="G70" s="25">
        <f>IFERROR(INDEX(Reference!$I:$I,MATCH("Mutual Fund|"&amp;C70&amp;"|"&amp;B70,Reference!$A:$A,0)),"")</f>
        <v/>
      </c>
      <c r="H70" s="78" t="n"/>
      <c r="I70" s="45" t="n"/>
      <c r="J70" s="45" t="n"/>
      <c r="K70" s="79">
        <f>IFERROR(IF(H70="","",(AsOfDate-H70)/365.25),"")</f>
        <v/>
      </c>
      <c r="L70" s="48" t="n"/>
      <c r="M70" s="48" t="n"/>
      <c r="N70" s="49">
        <f>IFERROR(INDEX(Prices!$E:$E,MATCH("Mutual Fund|"&amp;C70&amp;"|"&amp;B70,Prices!$A:$A,0)),0)</f>
        <v/>
      </c>
      <c r="O70" s="50" t="n"/>
      <c r="P70" s="50">
        <f>L70*N70</f>
        <v/>
      </c>
      <c r="Q70" s="50">
        <f>P70-O70</f>
        <v/>
      </c>
      <c r="R70" s="64">
        <f>IFERROR(Q70/O70,0)</f>
        <v/>
      </c>
      <c r="S70" s="43" t="n"/>
    </row>
    <row r="71" ht="15" customHeight="1" s="54">
      <c r="A71" s="43" t="n">
        <v>67</v>
      </c>
      <c r="B71" s="43" t="n"/>
      <c r="C71" s="43" t="n"/>
      <c r="D71" s="25">
        <f>IFERROR(INDEX(Reference!$E:$E,MATCH("Mutual Fund|"&amp;C71&amp;"|"&amp;B71,Reference!$A:$A,0)),"")</f>
        <v/>
      </c>
      <c r="E71" s="25">
        <f>IFERROR(INDEX(Reference!$H:$H,MATCH("Mutual Fund|"&amp;C71&amp;"|"&amp;B71,Reference!$A:$A,0)),"")</f>
        <v/>
      </c>
      <c r="F71" s="25">
        <f>IFERROR(INDEX(Reference!$G:$G,MATCH("Mutual Fund|"&amp;C71&amp;"|"&amp;B71,Reference!$A:$A,0)),"")</f>
        <v/>
      </c>
      <c r="G71" s="25">
        <f>IFERROR(INDEX(Reference!$I:$I,MATCH("Mutual Fund|"&amp;C71&amp;"|"&amp;B71,Reference!$A:$A,0)),"")</f>
        <v/>
      </c>
      <c r="H71" s="78" t="n"/>
      <c r="I71" s="45" t="n"/>
      <c r="J71" s="45" t="n"/>
      <c r="K71" s="79">
        <f>IFERROR(IF(H71="","",(AsOfDate-H71)/365.25),"")</f>
        <v/>
      </c>
      <c r="L71" s="48" t="n"/>
      <c r="M71" s="48" t="n"/>
      <c r="N71" s="49">
        <f>IFERROR(INDEX(Prices!$E:$E,MATCH("Mutual Fund|"&amp;C71&amp;"|"&amp;B71,Prices!$A:$A,0)),0)</f>
        <v/>
      </c>
      <c r="O71" s="50" t="n"/>
      <c r="P71" s="50">
        <f>L71*N71</f>
        <v/>
      </c>
      <c r="Q71" s="50">
        <f>P71-O71</f>
        <v/>
      </c>
      <c r="R71" s="64">
        <f>IFERROR(Q71/O71,0)</f>
        <v/>
      </c>
      <c r="S71" s="43" t="n"/>
    </row>
    <row r="72" ht="15" customHeight="1" s="54">
      <c r="A72" s="43" t="n">
        <v>68</v>
      </c>
      <c r="B72" s="43" t="n"/>
      <c r="C72" s="43" t="n"/>
      <c r="D72" s="25">
        <f>IFERROR(INDEX(Reference!$E:$E,MATCH("Mutual Fund|"&amp;C72&amp;"|"&amp;B72,Reference!$A:$A,0)),"")</f>
        <v/>
      </c>
      <c r="E72" s="25">
        <f>IFERROR(INDEX(Reference!$H:$H,MATCH("Mutual Fund|"&amp;C72&amp;"|"&amp;B72,Reference!$A:$A,0)),"")</f>
        <v/>
      </c>
      <c r="F72" s="25">
        <f>IFERROR(INDEX(Reference!$G:$G,MATCH("Mutual Fund|"&amp;C72&amp;"|"&amp;B72,Reference!$A:$A,0)),"")</f>
        <v/>
      </c>
      <c r="G72" s="25">
        <f>IFERROR(INDEX(Reference!$I:$I,MATCH("Mutual Fund|"&amp;C72&amp;"|"&amp;B72,Reference!$A:$A,0)),"")</f>
        <v/>
      </c>
      <c r="H72" s="78" t="n"/>
      <c r="I72" s="45" t="n"/>
      <c r="J72" s="45" t="n"/>
      <c r="K72" s="79">
        <f>IFERROR(IF(H72="","",(AsOfDate-H72)/365.25),"")</f>
        <v/>
      </c>
      <c r="L72" s="48" t="n"/>
      <c r="M72" s="48" t="n"/>
      <c r="N72" s="49">
        <f>IFERROR(INDEX(Prices!$E:$E,MATCH("Mutual Fund|"&amp;C72&amp;"|"&amp;B72,Prices!$A:$A,0)),0)</f>
        <v/>
      </c>
      <c r="O72" s="50" t="n"/>
      <c r="P72" s="50">
        <f>L72*N72</f>
        <v/>
      </c>
      <c r="Q72" s="50">
        <f>P72-O72</f>
        <v/>
      </c>
      <c r="R72" s="64">
        <f>IFERROR(Q72/O72,0)</f>
        <v/>
      </c>
      <c r="S72" s="43" t="n"/>
    </row>
    <row r="73" ht="15" customHeight="1" s="54">
      <c r="A73" s="43" t="n">
        <v>69</v>
      </c>
      <c r="B73" s="43" t="n"/>
      <c r="C73" s="43" t="n"/>
      <c r="D73" s="25">
        <f>IFERROR(INDEX(Reference!$E:$E,MATCH("Mutual Fund|"&amp;C73&amp;"|"&amp;B73,Reference!$A:$A,0)),"")</f>
        <v/>
      </c>
      <c r="E73" s="25">
        <f>IFERROR(INDEX(Reference!$H:$H,MATCH("Mutual Fund|"&amp;C73&amp;"|"&amp;B73,Reference!$A:$A,0)),"")</f>
        <v/>
      </c>
      <c r="F73" s="25">
        <f>IFERROR(INDEX(Reference!$G:$G,MATCH("Mutual Fund|"&amp;C73&amp;"|"&amp;B73,Reference!$A:$A,0)),"")</f>
        <v/>
      </c>
      <c r="G73" s="25">
        <f>IFERROR(INDEX(Reference!$I:$I,MATCH("Mutual Fund|"&amp;C73&amp;"|"&amp;B73,Reference!$A:$A,0)),"")</f>
        <v/>
      </c>
      <c r="H73" s="78" t="n"/>
      <c r="I73" s="45" t="n"/>
      <c r="J73" s="45" t="n"/>
      <c r="K73" s="79">
        <f>IFERROR(IF(H73="","",(AsOfDate-H73)/365.25),"")</f>
        <v/>
      </c>
      <c r="L73" s="48" t="n"/>
      <c r="M73" s="48" t="n"/>
      <c r="N73" s="49">
        <f>IFERROR(INDEX(Prices!$E:$E,MATCH("Mutual Fund|"&amp;C73&amp;"|"&amp;B73,Prices!$A:$A,0)),0)</f>
        <v/>
      </c>
      <c r="O73" s="50" t="n"/>
      <c r="P73" s="50">
        <f>L73*N73</f>
        <v/>
      </c>
      <c r="Q73" s="50">
        <f>P73-O73</f>
        <v/>
      </c>
      <c r="R73" s="64">
        <f>IFERROR(Q73/O73,0)</f>
        <v/>
      </c>
      <c r="S73" s="43" t="n"/>
    </row>
    <row r="74" ht="15" customHeight="1" s="54">
      <c r="A74" s="43" t="n">
        <v>70</v>
      </c>
      <c r="B74" s="43" t="n"/>
      <c r="C74" s="43" t="n"/>
      <c r="D74" s="25">
        <f>IFERROR(INDEX(Reference!$E:$E,MATCH("Mutual Fund|"&amp;C74&amp;"|"&amp;B74,Reference!$A:$A,0)),"")</f>
        <v/>
      </c>
      <c r="E74" s="25">
        <f>IFERROR(INDEX(Reference!$H:$H,MATCH("Mutual Fund|"&amp;C74&amp;"|"&amp;B74,Reference!$A:$A,0)),"")</f>
        <v/>
      </c>
      <c r="F74" s="25">
        <f>IFERROR(INDEX(Reference!$G:$G,MATCH("Mutual Fund|"&amp;C74&amp;"|"&amp;B74,Reference!$A:$A,0)),"")</f>
        <v/>
      </c>
      <c r="G74" s="25">
        <f>IFERROR(INDEX(Reference!$I:$I,MATCH("Mutual Fund|"&amp;C74&amp;"|"&amp;B74,Reference!$A:$A,0)),"")</f>
        <v/>
      </c>
      <c r="H74" s="78" t="n"/>
      <c r="I74" s="45" t="n"/>
      <c r="J74" s="45" t="n"/>
      <c r="K74" s="79">
        <f>IFERROR(IF(H74="","",(AsOfDate-H74)/365.25),"")</f>
        <v/>
      </c>
      <c r="L74" s="48" t="n"/>
      <c r="M74" s="48" t="n"/>
      <c r="N74" s="49">
        <f>IFERROR(INDEX(Prices!$E:$E,MATCH("Mutual Fund|"&amp;C74&amp;"|"&amp;B74,Prices!$A:$A,0)),0)</f>
        <v/>
      </c>
      <c r="O74" s="50" t="n"/>
      <c r="P74" s="50">
        <f>L74*N74</f>
        <v/>
      </c>
      <c r="Q74" s="50">
        <f>P74-O74</f>
        <v/>
      </c>
      <c r="R74" s="64">
        <f>IFERROR(Q74/O74,0)</f>
        <v/>
      </c>
      <c r="S74" s="43" t="n"/>
    </row>
    <row r="75" ht="15" customHeight="1" s="54">
      <c r="A75" s="43" t="n">
        <v>71</v>
      </c>
      <c r="B75" s="43" t="n"/>
      <c r="C75" s="43" t="n"/>
      <c r="D75" s="25">
        <f>IFERROR(INDEX(Reference!$E:$E,MATCH("Mutual Fund|"&amp;C75&amp;"|"&amp;B75,Reference!$A:$A,0)),"")</f>
        <v/>
      </c>
      <c r="E75" s="25">
        <f>IFERROR(INDEX(Reference!$H:$H,MATCH("Mutual Fund|"&amp;C75&amp;"|"&amp;B75,Reference!$A:$A,0)),"")</f>
        <v/>
      </c>
      <c r="F75" s="25">
        <f>IFERROR(INDEX(Reference!$G:$G,MATCH("Mutual Fund|"&amp;C75&amp;"|"&amp;B75,Reference!$A:$A,0)),"")</f>
        <v/>
      </c>
      <c r="G75" s="25">
        <f>IFERROR(INDEX(Reference!$I:$I,MATCH("Mutual Fund|"&amp;C75&amp;"|"&amp;B75,Reference!$A:$A,0)),"")</f>
        <v/>
      </c>
      <c r="H75" s="78" t="n"/>
      <c r="I75" s="45" t="n"/>
      <c r="J75" s="45" t="n"/>
      <c r="K75" s="79">
        <f>IFERROR(IF(H75="","",(AsOfDate-H75)/365.25),"")</f>
        <v/>
      </c>
      <c r="L75" s="48" t="n"/>
      <c r="M75" s="48" t="n"/>
      <c r="N75" s="49">
        <f>IFERROR(INDEX(Prices!$E:$E,MATCH("Mutual Fund|"&amp;C75&amp;"|"&amp;B75,Prices!$A:$A,0)),0)</f>
        <v/>
      </c>
      <c r="O75" s="50" t="n"/>
      <c r="P75" s="50">
        <f>L75*N75</f>
        <v/>
      </c>
      <c r="Q75" s="50">
        <f>P75-O75</f>
        <v/>
      </c>
      <c r="R75" s="64">
        <f>IFERROR(Q75/O75,0)</f>
        <v/>
      </c>
      <c r="S75" s="43" t="n"/>
    </row>
    <row r="76" ht="15" customHeight="1" s="54">
      <c r="A76" s="43" t="n">
        <v>72</v>
      </c>
      <c r="B76" s="43" t="n"/>
      <c r="C76" s="43" t="n"/>
      <c r="D76" s="25">
        <f>IFERROR(INDEX(Reference!$E:$E,MATCH("Mutual Fund|"&amp;C76&amp;"|"&amp;B76,Reference!$A:$A,0)),"")</f>
        <v/>
      </c>
      <c r="E76" s="25">
        <f>IFERROR(INDEX(Reference!$H:$H,MATCH("Mutual Fund|"&amp;C76&amp;"|"&amp;B76,Reference!$A:$A,0)),"")</f>
        <v/>
      </c>
      <c r="F76" s="25">
        <f>IFERROR(INDEX(Reference!$G:$G,MATCH("Mutual Fund|"&amp;C76&amp;"|"&amp;B76,Reference!$A:$A,0)),"")</f>
        <v/>
      </c>
      <c r="G76" s="25">
        <f>IFERROR(INDEX(Reference!$I:$I,MATCH("Mutual Fund|"&amp;C76&amp;"|"&amp;B76,Reference!$A:$A,0)),"")</f>
        <v/>
      </c>
      <c r="H76" s="78" t="n"/>
      <c r="I76" s="45" t="n"/>
      <c r="J76" s="45" t="n"/>
      <c r="K76" s="79">
        <f>IFERROR(IF(H76="","",(AsOfDate-H76)/365.25),"")</f>
        <v/>
      </c>
      <c r="L76" s="48" t="n"/>
      <c r="M76" s="48" t="n"/>
      <c r="N76" s="49">
        <f>IFERROR(INDEX(Prices!$E:$E,MATCH("Mutual Fund|"&amp;C76&amp;"|"&amp;B76,Prices!$A:$A,0)),0)</f>
        <v/>
      </c>
      <c r="O76" s="50" t="n"/>
      <c r="P76" s="50">
        <f>L76*N76</f>
        <v/>
      </c>
      <c r="Q76" s="50">
        <f>P76-O76</f>
        <v/>
      </c>
      <c r="R76" s="64">
        <f>IFERROR(Q76/O76,0)</f>
        <v/>
      </c>
      <c r="S76" s="43" t="n"/>
    </row>
    <row r="77" ht="15" customHeight="1" s="54">
      <c r="A77" s="43" t="n">
        <v>73</v>
      </c>
      <c r="B77" s="43" t="n"/>
      <c r="C77" s="43" t="n"/>
      <c r="D77" s="25">
        <f>IFERROR(INDEX(Reference!$E:$E,MATCH("Mutual Fund|"&amp;C77&amp;"|"&amp;B77,Reference!$A:$A,0)),"")</f>
        <v/>
      </c>
      <c r="E77" s="25">
        <f>IFERROR(INDEX(Reference!$H:$H,MATCH("Mutual Fund|"&amp;C77&amp;"|"&amp;B77,Reference!$A:$A,0)),"")</f>
        <v/>
      </c>
      <c r="F77" s="25">
        <f>IFERROR(INDEX(Reference!$G:$G,MATCH("Mutual Fund|"&amp;C77&amp;"|"&amp;B77,Reference!$A:$A,0)),"")</f>
        <v/>
      </c>
      <c r="G77" s="25">
        <f>IFERROR(INDEX(Reference!$I:$I,MATCH("Mutual Fund|"&amp;C77&amp;"|"&amp;B77,Reference!$A:$A,0)),"")</f>
        <v/>
      </c>
      <c r="H77" s="78" t="n"/>
      <c r="I77" s="45" t="n"/>
      <c r="J77" s="45" t="n"/>
      <c r="K77" s="79">
        <f>IFERROR(IF(H77="","",(AsOfDate-H77)/365.25),"")</f>
        <v/>
      </c>
      <c r="L77" s="48" t="n"/>
      <c r="M77" s="48" t="n"/>
      <c r="N77" s="49">
        <f>IFERROR(INDEX(Prices!$E:$E,MATCH("Mutual Fund|"&amp;C77&amp;"|"&amp;B77,Prices!$A:$A,0)),0)</f>
        <v/>
      </c>
      <c r="O77" s="50" t="n"/>
      <c r="P77" s="50">
        <f>L77*N77</f>
        <v/>
      </c>
      <c r="Q77" s="50">
        <f>P77-O77</f>
        <v/>
      </c>
      <c r="R77" s="64">
        <f>IFERROR(Q77/O77,0)</f>
        <v/>
      </c>
      <c r="S77" s="43" t="n"/>
    </row>
    <row r="78" ht="15" customHeight="1" s="54">
      <c r="A78" s="43" t="n">
        <v>74</v>
      </c>
      <c r="B78" s="43" t="n"/>
      <c r="C78" s="43" t="n"/>
      <c r="D78" s="25">
        <f>IFERROR(INDEX(Reference!$E:$E,MATCH("Mutual Fund|"&amp;C78&amp;"|"&amp;B78,Reference!$A:$A,0)),"")</f>
        <v/>
      </c>
      <c r="E78" s="25">
        <f>IFERROR(INDEX(Reference!$H:$H,MATCH("Mutual Fund|"&amp;C78&amp;"|"&amp;B78,Reference!$A:$A,0)),"")</f>
        <v/>
      </c>
      <c r="F78" s="25">
        <f>IFERROR(INDEX(Reference!$G:$G,MATCH("Mutual Fund|"&amp;C78&amp;"|"&amp;B78,Reference!$A:$A,0)),"")</f>
        <v/>
      </c>
      <c r="G78" s="25">
        <f>IFERROR(INDEX(Reference!$I:$I,MATCH("Mutual Fund|"&amp;C78&amp;"|"&amp;B78,Reference!$A:$A,0)),"")</f>
        <v/>
      </c>
      <c r="H78" s="78" t="n"/>
      <c r="I78" s="45" t="n"/>
      <c r="J78" s="45" t="n"/>
      <c r="K78" s="79">
        <f>IFERROR(IF(H78="","",(AsOfDate-H78)/365.25),"")</f>
        <v/>
      </c>
      <c r="L78" s="48" t="n"/>
      <c r="M78" s="48" t="n"/>
      <c r="N78" s="49">
        <f>IFERROR(INDEX(Prices!$E:$E,MATCH("Mutual Fund|"&amp;C78&amp;"|"&amp;B78,Prices!$A:$A,0)),0)</f>
        <v/>
      </c>
      <c r="O78" s="50" t="n"/>
      <c r="P78" s="50">
        <f>L78*N78</f>
        <v/>
      </c>
      <c r="Q78" s="50">
        <f>P78-O78</f>
        <v/>
      </c>
      <c r="R78" s="64">
        <f>IFERROR(Q78/O78,0)</f>
        <v/>
      </c>
      <c r="S78" s="43" t="n"/>
    </row>
    <row r="79" ht="15" customHeight="1" s="54">
      <c r="A79" s="43" t="n">
        <v>75</v>
      </c>
      <c r="B79" s="43" t="n"/>
      <c r="C79" s="43" t="n"/>
      <c r="D79" s="25">
        <f>IFERROR(INDEX(Reference!$E:$E,MATCH("Mutual Fund|"&amp;C79&amp;"|"&amp;B79,Reference!$A:$A,0)),"")</f>
        <v/>
      </c>
      <c r="E79" s="25">
        <f>IFERROR(INDEX(Reference!$H:$H,MATCH("Mutual Fund|"&amp;C79&amp;"|"&amp;B79,Reference!$A:$A,0)),"")</f>
        <v/>
      </c>
      <c r="F79" s="25">
        <f>IFERROR(INDEX(Reference!$G:$G,MATCH("Mutual Fund|"&amp;C79&amp;"|"&amp;B79,Reference!$A:$A,0)),"")</f>
        <v/>
      </c>
      <c r="G79" s="25">
        <f>IFERROR(INDEX(Reference!$I:$I,MATCH("Mutual Fund|"&amp;C79&amp;"|"&amp;B79,Reference!$A:$A,0)),"")</f>
        <v/>
      </c>
      <c r="H79" s="78" t="n"/>
      <c r="I79" s="45" t="n"/>
      <c r="J79" s="45" t="n"/>
      <c r="K79" s="79">
        <f>IFERROR(IF(H79="","",(AsOfDate-H79)/365.25),"")</f>
        <v/>
      </c>
      <c r="L79" s="48" t="n"/>
      <c r="M79" s="48" t="n"/>
      <c r="N79" s="49">
        <f>IFERROR(INDEX(Prices!$E:$E,MATCH("Mutual Fund|"&amp;C79&amp;"|"&amp;B79,Prices!$A:$A,0)),0)</f>
        <v/>
      </c>
      <c r="O79" s="50" t="n"/>
      <c r="P79" s="50">
        <f>L79*N79</f>
        <v/>
      </c>
      <c r="Q79" s="50">
        <f>P79-O79</f>
        <v/>
      </c>
      <c r="R79" s="64">
        <f>IFERROR(Q79/O79,0)</f>
        <v/>
      </c>
      <c r="S79" s="43" t="n"/>
    </row>
    <row r="80" ht="15" customHeight="1" s="54">
      <c r="A80" s="43" t="n">
        <v>76</v>
      </c>
      <c r="B80" s="43" t="n"/>
      <c r="C80" s="43" t="n"/>
      <c r="D80" s="25">
        <f>IFERROR(INDEX(Reference!$E:$E,MATCH("Mutual Fund|"&amp;C80&amp;"|"&amp;B80,Reference!$A:$A,0)),"")</f>
        <v/>
      </c>
      <c r="E80" s="25">
        <f>IFERROR(INDEX(Reference!$H:$H,MATCH("Mutual Fund|"&amp;C80&amp;"|"&amp;B80,Reference!$A:$A,0)),"")</f>
        <v/>
      </c>
      <c r="F80" s="25">
        <f>IFERROR(INDEX(Reference!$G:$G,MATCH("Mutual Fund|"&amp;C80&amp;"|"&amp;B80,Reference!$A:$A,0)),"")</f>
        <v/>
      </c>
      <c r="G80" s="25">
        <f>IFERROR(INDEX(Reference!$I:$I,MATCH("Mutual Fund|"&amp;C80&amp;"|"&amp;B80,Reference!$A:$A,0)),"")</f>
        <v/>
      </c>
      <c r="H80" s="78" t="n"/>
      <c r="I80" s="45" t="n"/>
      <c r="J80" s="45" t="n"/>
      <c r="K80" s="79">
        <f>IFERROR(IF(H80="","",(AsOfDate-H80)/365.25),"")</f>
        <v/>
      </c>
      <c r="L80" s="48" t="n"/>
      <c r="M80" s="48" t="n"/>
      <c r="N80" s="49">
        <f>IFERROR(INDEX(Prices!$E:$E,MATCH("Mutual Fund|"&amp;C80&amp;"|"&amp;B80,Prices!$A:$A,0)),0)</f>
        <v/>
      </c>
      <c r="O80" s="50" t="n"/>
      <c r="P80" s="50">
        <f>L80*N80</f>
        <v/>
      </c>
      <c r="Q80" s="50">
        <f>P80-O80</f>
        <v/>
      </c>
      <c r="R80" s="64">
        <f>IFERROR(Q80/O80,0)</f>
        <v/>
      </c>
      <c r="S80" s="43" t="n"/>
    </row>
    <row r="81" ht="15" customHeight="1" s="54">
      <c r="A81" s="43" t="n">
        <v>77</v>
      </c>
      <c r="B81" s="43" t="n"/>
      <c r="C81" s="43" t="n"/>
      <c r="D81" s="25">
        <f>IFERROR(INDEX(Reference!$E:$E,MATCH("Mutual Fund|"&amp;C81&amp;"|"&amp;B81,Reference!$A:$A,0)),"")</f>
        <v/>
      </c>
      <c r="E81" s="25">
        <f>IFERROR(INDEX(Reference!$H:$H,MATCH("Mutual Fund|"&amp;C81&amp;"|"&amp;B81,Reference!$A:$A,0)),"")</f>
        <v/>
      </c>
      <c r="F81" s="25">
        <f>IFERROR(INDEX(Reference!$G:$G,MATCH("Mutual Fund|"&amp;C81&amp;"|"&amp;B81,Reference!$A:$A,0)),"")</f>
        <v/>
      </c>
      <c r="G81" s="25">
        <f>IFERROR(INDEX(Reference!$I:$I,MATCH("Mutual Fund|"&amp;C81&amp;"|"&amp;B81,Reference!$A:$A,0)),"")</f>
        <v/>
      </c>
      <c r="H81" s="78" t="n"/>
      <c r="I81" s="45" t="n"/>
      <c r="J81" s="45" t="n"/>
      <c r="K81" s="79">
        <f>IFERROR(IF(H81="","",(AsOfDate-H81)/365.25),"")</f>
        <v/>
      </c>
      <c r="L81" s="48" t="n"/>
      <c r="M81" s="48" t="n"/>
      <c r="N81" s="49">
        <f>IFERROR(INDEX(Prices!$E:$E,MATCH("Mutual Fund|"&amp;C81&amp;"|"&amp;B81,Prices!$A:$A,0)),0)</f>
        <v/>
      </c>
      <c r="O81" s="50" t="n"/>
      <c r="P81" s="50">
        <f>L81*N81</f>
        <v/>
      </c>
      <c r="Q81" s="50">
        <f>P81-O81</f>
        <v/>
      </c>
      <c r="R81" s="64">
        <f>IFERROR(Q81/O81,0)</f>
        <v/>
      </c>
      <c r="S81" s="43" t="n"/>
    </row>
    <row r="82" ht="15" customHeight="1" s="54">
      <c r="A82" s="43" t="n">
        <v>78</v>
      </c>
      <c r="B82" s="43" t="n"/>
      <c r="C82" s="43" t="n"/>
      <c r="D82" s="25">
        <f>IFERROR(INDEX(Reference!$E:$E,MATCH("Mutual Fund|"&amp;C82&amp;"|"&amp;B82,Reference!$A:$A,0)),"")</f>
        <v/>
      </c>
      <c r="E82" s="25">
        <f>IFERROR(INDEX(Reference!$H:$H,MATCH("Mutual Fund|"&amp;C82&amp;"|"&amp;B82,Reference!$A:$A,0)),"")</f>
        <v/>
      </c>
      <c r="F82" s="25">
        <f>IFERROR(INDEX(Reference!$G:$G,MATCH("Mutual Fund|"&amp;C82&amp;"|"&amp;B82,Reference!$A:$A,0)),"")</f>
        <v/>
      </c>
      <c r="G82" s="25">
        <f>IFERROR(INDEX(Reference!$I:$I,MATCH("Mutual Fund|"&amp;C82&amp;"|"&amp;B82,Reference!$A:$A,0)),"")</f>
        <v/>
      </c>
      <c r="H82" s="78" t="n"/>
      <c r="I82" s="45" t="n"/>
      <c r="J82" s="45" t="n"/>
      <c r="K82" s="79">
        <f>IFERROR(IF(H82="","",(AsOfDate-H82)/365.25),"")</f>
        <v/>
      </c>
      <c r="L82" s="48" t="n"/>
      <c r="M82" s="48" t="n"/>
      <c r="N82" s="49">
        <f>IFERROR(INDEX(Prices!$E:$E,MATCH("Mutual Fund|"&amp;C82&amp;"|"&amp;B82,Prices!$A:$A,0)),0)</f>
        <v/>
      </c>
      <c r="O82" s="50" t="n"/>
      <c r="P82" s="50">
        <f>L82*N82</f>
        <v/>
      </c>
      <c r="Q82" s="50">
        <f>P82-O82</f>
        <v/>
      </c>
      <c r="R82" s="64">
        <f>IFERROR(Q82/O82,0)</f>
        <v/>
      </c>
      <c r="S82" s="43" t="n"/>
    </row>
    <row r="83" ht="15" customHeight="1" s="54">
      <c r="A83" s="43" t="n">
        <v>79</v>
      </c>
      <c r="B83" s="43" t="n"/>
      <c r="C83" s="43" t="n"/>
      <c r="D83" s="25">
        <f>IFERROR(INDEX(Reference!$E:$E,MATCH("Mutual Fund|"&amp;C83&amp;"|"&amp;B83,Reference!$A:$A,0)),"")</f>
        <v/>
      </c>
      <c r="E83" s="25">
        <f>IFERROR(INDEX(Reference!$H:$H,MATCH("Mutual Fund|"&amp;C83&amp;"|"&amp;B83,Reference!$A:$A,0)),"")</f>
        <v/>
      </c>
      <c r="F83" s="25">
        <f>IFERROR(INDEX(Reference!$G:$G,MATCH("Mutual Fund|"&amp;C83&amp;"|"&amp;B83,Reference!$A:$A,0)),"")</f>
        <v/>
      </c>
      <c r="G83" s="25">
        <f>IFERROR(INDEX(Reference!$I:$I,MATCH("Mutual Fund|"&amp;C83&amp;"|"&amp;B83,Reference!$A:$A,0)),"")</f>
        <v/>
      </c>
      <c r="H83" s="78" t="n"/>
      <c r="I83" s="45" t="n"/>
      <c r="J83" s="45" t="n"/>
      <c r="K83" s="79">
        <f>IFERROR(IF(H83="","",(AsOfDate-H83)/365.25),"")</f>
        <v/>
      </c>
      <c r="L83" s="48" t="n"/>
      <c r="M83" s="48" t="n"/>
      <c r="N83" s="49">
        <f>IFERROR(INDEX(Prices!$E:$E,MATCH("Mutual Fund|"&amp;C83&amp;"|"&amp;B83,Prices!$A:$A,0)),0)</f>
        <v/>
      </c>
      <c r="O83" s="50" t="n"/>
      <c r="P83" s="50">
        <f>L83*N83</f>
        <v/>
      </c>
      <c r="Q83" s="50">
        <f>P83-O83</f>
        <v/>
      </c>
      <c r="R83" s="64">
        <f>IFERROR(Q83/O83,0)</f>
        <v/>
      </c>
      <c r="S83" s="43" t="n"/>
    </row>
    <row r="84" ht="15" customHeight="1" s="54">
      <c r="A84" s="43" t="n">
        <v>80</v>
      </c>
      <c r="B84" s="43" t="n"/>
      <c r="C84" s="43" t="n"/>
      <c r="D84" s="25">
        <f>IFERROR(INDEX(Reference!$E:$E,MATCH("Mutual Fund|"&amp;C84&amp;"|"&amp;B84,Reference!$A:$A,0)),"")</f>
        <v/>
      </c>
      <c r="E84" s="25">
        <f>IFERROR(INDEX(Reference!$H:$H,MATCH("Mutual Fund|"&amp;C84&amp;"|"&amp;B84,Reference!$A:$A,0)),"")</f>
        <v/>
      </c>
      <c r="F84" s="25">
        <f>IFERROR(INDEX(Reference!$G:$G,MATCH("Mutual Fund|"&amp;C84&amp;"|"&amp;B84,Reference!$A:$A,0)),"")</f>
        <v/>
      </c>
      <c r="G84" s="25">
        <f>IFERROR(INDEX(Reference!$I:$I,MATCH("Mutual Fund|"&amp;C84&amp;"|"&amp;B84,Reference!$A:$A,0)),"")</f>
        <v/>
      </c>
      <c r="H84" s="78" t="n"/>
      <c r="I84" s="45" t="n"/>
      <c r="J84" s="45" t="n"/>
      <c r="K84" s="79">
        <f>IFERROR(IF(H84="","",(AsOfDate-H84)/365.25),"")</f>
        <v/>
      </c>
      <c r="L84" s="48" t="n"/>
      <c r="M84" s="48" t="n"/>
      <c r="N84" s="49">
        <f>IFERROR(INDEX(Prices!$E:$E,MATCH("Mutual Fund|"&amp;C84&amp;"|"&amp;B84,Prices!$A:$A,0)),0)</f>
        <v/>
      </c>
      <c r="O84" s="50" t="n"/>
      <c r="P84" s="50">
        <f>L84*N84</f>
        <v/>
      </c>
      <c r="Q84" s="50">
        <f>P84-O84</f>
        <v/>
      </c>
      <c r="R84" s="64">
        <f>IFERROR(Q84/O84,0)</f>
        <v/>
      </c>
      <c r="S84" s="43" t="n"/>
    </row>
    <row r="85" ht="15" customHeight="1" s="54">
      <c r="A85" s="43" t="n">
        <v>81</v>
      </c>
      <c r="B85" s="43" t="n"/>
      <c r="C85" s="43" t="n"/>
      <c r="D85" s="25">
        <f>IFERROR(INDEX(Reference!$E:$E,MATCH("Mutual Fund|"&amp;C85&amp;"|"&amp;B85,Reference!$A:$A,0)),"")</f>
        <v/>
      </c>
      <c r="E85" s="25">
        <f>IFERROR(INDEX(Reference!$H:$H,MATCH("Mutual Fund|"&amp;C85&amp;"|"&amp;B85,Reference!$A:$A,0)),"")</f>
        <v/>
      </c>
      <c r="F85" s="25">
        <f>IFERROR(INDEX(Reference!$G:$G,MATCH("Mutual Fund|"&amp;C85&amp;"|"&amp;B85,Reference!$A:$A,0)),"")</f>
        <v/>
      </c>
      <c r="G85" s="25">
        <f>IFERROR(INDEX(Reference!$I:$I,MATCH("Mutual Fund|"&amp;C85&amp;"|"&amp;B85,Reference!$A:$A,0)),"")</f>
        <v/>
      </c>
      <c r="H85" s="78" t="n"/>
      <c r="I85" s="45" t="n"/>
      <c r="J85" s="45" t="n"/>
      <c r="K85" s="79">
        <f>IFERROR(IF(H85="","",(AsOfDate-H85)/365.25),"")</f>
        <v/>
      </c>
      <c r="L85" s="48" t="n"/>
      <c r="M85" s="48" t="n"/>
      <c r="N85" s="49">
        <f>IFERROR(INDEX(Prices!$E:$E,MATCH("Mutual Fund|"&amp;C85&amp;"|"&amp;B85,Prices!$A:$A,0)),0)</f>
        <v/>
      </c>
      <c r="O85" s="50" t="n"/>
      <c r="P85" s="50">
        <f>L85*N85</f>
        <v/>
      </c>
      <c r="Q85" s="50">
        <f>P85-O85</f>
        <v/>
      </c>
      <c r="R85" s="64">
        <f>IFERROR(Q85/O85,0)</f>
        <v/>
      </c>
      <c r="S85" s="43" t="n"/>
    </row>
    <row r="86" ht="15" customHeight="1" s="54">
      <c r="A86" s="43" t="n">
        <v>82</v>
      </c>
      <c r="B86" s="43" t="n"/>
      <c r="C86" s="43" t="n"/>
      <c r="D86" s="25">
        <f>IFERROR(INDEX(Reference!$E:$E,MATCH("Mutual Fund|"&amp;C86&amp;"|"&amp;B86,Reference!$A:$A,0)),"")</f>
        <v/>
      </c>
      <c r="E86" s="25">
        <f>IFERROR(INDEX(Reference!$H:$H,MATCH("Mutual Fund|"&amp;C86&amp;"|"&amp;B86,Reference!$A:$A,0)),"")</f>
        <v/>
      </c>
      <c r="F86" s="25">
        <f>IFERROR(INDEX(Reference!$G:$G,MATCH("Mutual Fund|"&amp;C86&amp;"|"&amp;B86,Reference!$A:$A,0)),"")</f>
        <v/>
      </c>
      <c r="G86" s="25">
        <f>IFERROR(INDEX(Reference!$I:$I,MATCH("Mutual Fund|"&amp;C86&amp;"|"&amp;B86,Reference!$A:$A,0)),"")</f>
        <v/>
      </c>
      <c r="H86" s="78" t="n"/>
      <c r="I86" s="45" t="n"/>
      <c r="J86" s="45" t="n"/>
      <c r="K86" s="79">
        <f>IFERROR(IF(H86="","",(AsOfDate-H86)/365.25),"")</f>
        <v/>
      </c>
      <c r="L86" s="48" t="n"/>
      <c r="M86" s="48" t="n"/>
      <c r="N86" s="49">
        <f>IFERROR(INDEX(Prices!$E:$E,MATCH("Mutual Fund|"&amp;C86&amp;"|"&amp;B86,Prices!$A:$A,0)),0)</f>
        <v/>
      </c>
      <c r="O86" s="50" t="n"/>
      <c r="P86" s="50">
        <f>L86*N86</f>
        <v/>
      </c>
      <c r="Q86" s="50">
        <f>P86-O86</f>
        <v/>
      </c>
      <c r="R86" s="64">
        <f>IFERROR(Q86/O86,0)</f>
        <v/>
      </c>
      <c r="S86" s="43" t="n"/>
    </row>
    <row r="87" ht="15" customHeight="1" s="54">
      <c r="A87" s="43" t="n">
        <v>83</v>
      </c>
      <c r="B87" s="43" t="n"/>
      <c r="C87" s="43" t="n"/>
      <c r="D87" s="25">
        <f>IFERROR(INDEX(Reference!$E:$E,MATCH("Mutual Fund|"&amp;C87&amp;"|"&amp;B87,Reference!$A:$A,0)),"")</f>
        <v/>
      </c>
      <c r="E87" s="25">
        <f>IFERROR(INDEX(Reference!$H:$H,MATCH("Mutual Fund|"&amp;C87&amp;"|"&amp;B87,Reference!$A:$A,0)),"")</f>
        <v/>
      </c>
      <c r="F87" s="25">
        <f>IFERROR(INDEX(Reference!$G:$G,MATCH("Mutual Fund|"&amp;C87&amp;"|"&amp;B87,Reference!$A:$A,0)),"")</f>
        <v/>
      </c>
      <c r="G87" s="25">
        <f>IFERROR(INDEX(Reference!$I:$I,MATCH("Mutual Fund|"&amp;C87&amp;"|"&amp;B87,Reference!$A:$A,0)),"")</f>
        <v/>
      </c>
      <c r="H87" s="78" t="n"/>
      <c r="I87" s="45" t="n"/>
      <c r="J87" s="45" t="n"/>
      <c r="K87" s="79">
        <f>IFERROR(IF(H87="","",(AsOfDate-H87)/365.25),"")</f>
        <v/>
      </c>
      <c r="L87" s="48" t="n"/>
      <c r="M87" s="48" t="n"/>
      <c r="N87" s="49">
        <f>IFERROR(INDEX(Prices!$E:$E,MATCH("Mutual Fund|"&amp;C87&amp;"|"&amp;B87,Prices!$A:$A,0)),0)</f>
        <v/>
      </c>
      <c r="O87" s="50" t="n"/>
      <c r="P87" s="50">
        <f>L87*N87</f>
        <v/>
      </c>
      <c r="Q87" s="50">
        <f>P87-O87</f>
        <v/>
      </c>
      <c r="R87" s="64">
        <f>IFERROR(Q87/O87,0)</f>
        <v/>
      </c>
      <c r="S87" s="43" t="n"/>
    </row>
    <row r="88" ht="15" customHeight="1" s="54">
      <c r="A88" s="43" t="n">
        <v>84</v>
      </c>
      <c r="B88" s="43" t="n"/>
      <c r="C88" s="43" t="n"/>
      <c r="D88" s="25">
        <f>IFERROR(INDEX(Reference!$E:$E,MATCH("Mutual Fund|"&amp;C88&amp;"|"&amp;B88,Reference!$A:$A,0)),"")</f>
        <v/>
      </c>
      <c r="E88" s="25">
        <f>IFERROR(INDEX(Reference!$H:$H,MATCH("Mutual Fund|"&amp;C88&amp;"|"&amp;B88,Reference!$A:$A,0)),"")</f>
        <v/>
      </c>
      <c r="F88" s="25">
        <f>IFERROR(INDEX(Reference!$G:$G,MATCH("Mutual Fund|"&amp;C88&amp;"|"&amp;B88,Reference!$A:$A,0)),"")</f>
        <v/>
      </c>
      <c r="G88" s="25">
        <f>IFERROR(INDEX(Reference!$I:$I,MATCH("Mutual Fund|"&amp;C88&amp;"|"&amp;B88,Reference!$A:$A,0)),"")</f>
        <v/>
      </c>
      <c r="H88" s="78" t="n"/>
      <c r="I88" s="45" t="n"/>
      <c r="J88" s="45" t="n"/>
      <c r="K88" s="79">
        <f>IFERROR(IF(H88="","",(AsOfDate-H88)/365.25),"")</f>
        <v/>
      </c>
      <c r="L88" s="48" t="n"/>
      <c r="M88" s="48" t="n"/>
      <c r="N88" s="49">
        <f>IFERROR(INDEX(Prices!$E:$E,MATCH("Mutual Fund|"&amp;C88&amp;"|"&amp;B88,Prices!$A:$A,0)),0)</f>
        <v/>
      </c>
      <c r="O88" s="50" t="n"/>
      <c r="P88" s="50">
        <f>L88*N88</f>
        <v/>
      </c>
      <c r="Q88" s="50">
        <f>P88-O88</f>
        <v/>
      </c>
      <c r="R88" s="64">
        <f>IFERROR(Q88/O88,0)</f>
        <v/>
      </c>
      <c r="S88" s="43" t="n"/>
    </row>
    <row r="89" ht="15" customHeight="1" s="54">
      <c r="A89" s="43" t="n">
        <v>85</v>
      </c>
      <c r="B89" s="43" t="n"/>
      <c r="C89" s="43" t="n"/>
      <c r="D89" s="25">
        <f>IFERROR(INDEX(Reference!$E:$E,MATCH("Mutual Fund|"&amp;C89&amp;"|"&amp;B89,Reference!$A:$A,0)),"")</f>
        <v/>
      </c>
      <c r="E89" s="25">
        <f>IFERROR(INDEX(Reference!$H:$H,MATCH("Mutual Fund|"&amp;C89&amp;"|"&amp;B89,Reference!$A:$A,0)),"")</f>
        <v/>
      </c>
      <c r="F89" s="25">
        <f>IFERROR(INDEX(Reference!$G:$G,MATCH("Mutual Fund|"&amp;C89&amp;"|"&amp;B89,Reference!$A:$A,0)),"")</f>
        <v/>
      </c>
      <c r="G89" s="25">
        <f>IFERROR(INDEX(Reference!$I:$I,MATCH("Mutual Fund|"&amp;C89&amp;"|"&amp;B89,Reference!$A:$A,0)),"")</f>
        <v/>
      </c>
      <c r="H89" s="78" t="n"/>
      <c r="I89" s="45" t="n"/>
      <c r="J89" s="45" t="n"/>
      <c r="K89" s="79">
        <f>IFERROR(IF(H89="","",(AsOfDate-H89)/365.25),"")</f>
        <v/>
      </c>
      <c r="L89" s="48" t="n"/>
      <c r="M89" s="48" t="n"/>
      <c r="N89" s="49">
        <f>IFERROR(INDEX(Prices!$E:$E,MATCH("Mutual Fund|"&amp;C89&amp;"|"&amp;B89,Prices!$A:$A,0)),0)</f>
        <v/>
      </c>
      <c r="O89" s="50" t="n"/>
      <c r="P89" s="50">
        <f>L89*N89</f>
        <v/>
      </c>
      <c r="Q89" s="50">
        <f>P89-O89</f>
        <v/>
      </c>
      <c r="R89" s="64">
        <f>IFERROR(Q89/O89,0)</f>
        <v/>
      </c>
      <c r="S89" s="43" t="n"/>
    </row>
    <row r="90" ht="15" customHeight="1" s="54">
      <c r="A90" s="43" t="n">
        <v>86</v>
      </c>
      <c r="B90" s="43" t="n"/>
      <c r="C90" s="43" t="n"/>
      <c r="D90" s="25">
        <f>IFERROR(INDEX(Reference!$E:$E,MATCH("Mutual Fund|"&amp;C90&amp;"|"&amp;B90,Reference!$A:$A,0)),"")</f>
        <v/>
      </c>
      <c r="E90" s="25">
        <f>IFERROR(INDEX(Reference!$H:$H,MATCH("Mutual Fund|"&amp;C90&amp;"|"&amp;B90,Reference!$A:$A,0)),"")</f>
        <v/>
      </c>
      <c r="F90" s="25">
        <f>IFERROR(INDEX(Reference!$G:$G,MATCH("Mutual Fund|"&amp;C90&amp;"|"&amp;B90,Reference!$A:$A,0)),"")</f>
        <v/>
      </c>
      <c r="G90" s="25">
        <f>IFERROR(INDEX(Reference!$I:$I,MATCH("Mutual Fund|"&amp;C90&amp;"|"&amp;B90,Reference!$A:$A,0)),"")</f>
        <v/>
      </c>
      <c r="H90" s="78" t="n"/>
      <c r="I90" s="45" t="n"/>
      <c r="J90" s="45" t="n"/>
      <c r="K90" s="79">
        <f>IFERROR(IF(H90="","",(AsOfDate-H90)/365.25),"")</f>
        <v/>
      </c>
      <c r="L90" s="48" t="n"/>
      <c r="M90" s="48" t="n"/>
      <c r="N90" s="49">
        <f>IFERROR(INDEX(Prices!$E:$E,MATCH("Mutual Fund|"&amp;C90&amp;"|"&amp;B90,Prices!$A:$A,0)),0)</f>
        <v/>
      </c>
      <c r="O90" s="50" t="n"/>
      <c r="P90" s="50">
        <f>L90*N90</f>
        <v/>
      </c>
      <c r="Q90" s="50">
        <f>P90-O90</f>
        <v/>
      </c>
      <c r="R90" s="64">
        <f>IFERROR(Q90/O90,0)</f>
        <v/>
      </c>
      <c r="S90" s="43" t="n"/>
    </row>
    <row r="91" ht="15" customHeight="1" s="54">
      <c r="A91" s="43" t="n">
        <v>87</v>
      </c>
      <c r="B91" s="43" t="n"/>
      <c r="C91" s="43" t="n"/>
      <c r="D91" s="25">
        <f>IFERROR(INDEX(Reference!$E:$E,MATCH("Mutual Fund|"&amp;C91&amp;"|"&amp;B91,Reference!$A:$A,0)),"")</f>
        <v/>
      </c>
      <c r="E91" s="25">
        <f>IFERROR(INDEX(Reference!$H:$H,MATCH("Mutual Fund|"&amp;C91&amp;"|"&amp;B91,Reference!$A:$A,0)),"")</f>
        <v/>
      </c>
      <c r="F91" s="25">
        <f>IFERROR(INDEX(Reference!$G:$G,MATCH("Mutual Fund|"&amp;C91&amp;"|"&amp;B91,Reference!$A:$A,0)),"")</f>
        <v/>
      </c>
      <c r="G91" s="25">
        <f>IFERROR(INDEX(Reference!$I:$I,MATCH("Mutual Fund|"&amp;C91&amp;"|"&amp;B91,Reference!$A:$A,0)),"")</f>
        <v/>
      </c>
      <c r="H91" s="78" t="n"/>
      <c r="I91" s="45" t="n"/>
      <c r="J91" s="45" t="n"/>
      <c r="K91" s="79">
        <f>IFERROR(IF(H91="","",(AsOfDate-H91)/365.25),"")</f>
        <v/>
      </c>
      <c r="L91" s="48" t="n"/>
      <c r="M91" s="48" t="n"/>
      <c r="N91" s="49">
        <f>IFERROR(INDEX(Prices!$E:$E,MATCH("Mutual Fund|"&amp;C91&amp;"|"&amp;B91,Prices!$A:$A,0)),0)</f>
        <v/>
      </c>
      <c r="O91" s="50" t="n"/>
      <c r="P91" s="50">
        <f>L91*N91</f>
        <v/>
      </c>
      <c r="Q91" s="50">
        <f>P91-O91</f>
        <v/>
      </c>
      <c r="R91" s="64">
        <f>IFERROR(Q91/O91,0)</f>
        <v/>
      </c>
      <c r="S91" s="43" t="n"/>
    </row>
    <row r="92" ht="15" customHeight="1" s="54">
      <c r="A92" s="43" t="n">
        <v>88</v>
      </c>
      <c r="B92" s="43" t="n"/>
      <c r="C92" s="43" t="n"/>
      <c r="D92" s="25">
        <f>IFERROR(INDEX(Reference!$E:$E,MATCH("Mutual Fund|"&amp;C92&amp;"|"&amp;B92,Reference!$A:$A,0)),"")</f>
        <v/>
      </c>
      <c r="E92" s="25">
        <f>IFERROR(INDEX(Reference!$H:$H,MATCH("Mutual Fund|"&amp;C92&amp;"|"&amp;B92,Reference!$A:$A,0)),"")</f>
        <v/>
      </c>
      <c r="F92" s="25">
        <f>IFERROR(INDEX(Reference!$G:$G,MATCH("Mutual Fund|"&amp;C92&amp;"|"&amp;B92,Reference!$A:$A,0)),"")</f>
        <v/>
      </c>
      <c r="G92" s="25">
        <f>IFERROR(INDEX(Reference!$I:$I,MATCH("Mutual Fund|"&amp;C92&amp;"|"&amp;B92,Reference!$A:$A,0)),"")</f>
        <v/>
      </c>
      <c r="H92" s="78" t="n"/>
      <c r="I92" s="45" t="n"/>
      <c r="J92" s="45" t="n"/>
      <c r="K92" s="79">
        <f>IFERROR(IF(H92="","",(AsOfDate-H92)/365.25),"")</f>
        <v/>
      </c>
      <c r="L92" s="48" t="n"/>
      <c r="M92" s="48" t="n"/>
      <c r="N92" s="49">
        <f>IFERROR(INDEX(Prices!$E:$E,MATCH("Mutual Fund|"&amp;C92&amp;"|"&amp;B92,Prices!$A:$A,0)),0)</f>
        <v/>
      </c>
      <c r="O92" s="50" t="n"/>
      <c r="P92" s="50">
        <f>L92*N92</f>
        <v/>
      </c>
      <c r="Q92" s="50">
        <f>P92-O92</f>
        <v/>
      </c>
      <c r="R92" s="64">
        <f>IFERROR(Q92/O92,0)</f>
        <v/>
      </c>
      <c r="S92" s="43" t="n"/>
    </row>
    <row r="93" ht="15" customHeight="1" s="54">
      <c r="A93" s="43" t="n">
        <v>89</v>
      </c>
      <c r="B93" s="43" t="n"/>
      <c r="C93" s="43" t="n"/>
      <c r="D93" s="25">
        <f>IFERROR(INDEX(Reference!$E:$E,MATCH("Mutual Fund|"&amp;C93&amp;"|"&amp;B93,Reference!$A:$A,0)),"")</f>
        <v/>
      </c>
      <c r="E93" s="25">
        <f>IFERROR(INDEX(Reference!$H:$H,MATCH("Mutual Fund|"&amp;C93&amp;"|"&amp;B93,Reference!$A:$A,0)),"")</f>
        <v/>
      </c>
      <c r="F93" s="25">
        <f>IFERROR(INDEX(Reference!$G:$G,MATCH("Mutual Fund|"&amp;C93&amp;"|"&amp;B93,Reference!$A:$A,0)),"")</f>
        <v/>
      </c>
      <c r="G93" s="25">
        <f>IFERROR(INDEX(Reference!$I:$I,MATCH("Mutual Fund|"&amp;C93&amp;"|"&amp;B93,Reference!$A:$A,0)),"")</f>
        <v/>
      </c>
      <c r="H93" s="78" t="n"/>
      <c r="I93" s="45" t="n"/>
      <c r="J93" s="45" t="n"/>
      <c r="K93" s="79">
        <f>IFERROR(IF(H93="","",(AsOfDate-H93)/365.25),"")</f>
        <v/>
      </c>
      <c r="L93" s="48" t="n"/>
      <c r="M93" s="48" t="n"/>
      <c r="N93" s="49">
        <f>IFERROR(INDEX(Prices!$E:$E,MATCH("Mutual Fund|"&amp;C93&amp;"|"&amp;B93,Prices!$A:$A,0)),0)</f>
        <v/>
      </c>
      <c r="O93" s="50" t="n"/>
      <c r="P93" s="50">
        <f>L93*N93</f>
        <v/>
      </c>
      <c r="Q93" s="50">
        <f>P93-O93</f>
        <v/>
      </c>
      <c r="R93" s="64">
        <f>IFERROR(Q93/O93,0)</f>
        <v/>
      </c>
      <c r="S93" s="43" t="n"/>
    </row>
    <row r="94" ht="15" customHeight="1" s="54">
      <c r="A94" s="43" t="n">
        <v>90</v>
      </c>
      <c r="B94" s="43" t="n"/>
      <c r="C94" s="43" t="n"/>
      <c r="D94" s="25">
        <f>IFERROR(INDEX(Reference!$E:$E,MATCH("Mutual Fund|"&amp;C94&amp;"|"&amp;B94,Reference!$A:$A,0)),"")</f>
        <v/>
      </c>
      <c r="E94" s="25">
        <f>IFERROR(INDEX(Reference!$H:$H,MATCH("Mutual Fund|"&amp;C94&amp;"|"&amp;B94,Reference!$A:$A,0)),"")</f>
        <v/>
      </c>
      <c r="F94" s="25">
        <f>IFERROR(INDEX(Reference!$G:$G,MATCH("Mutual Fund|"&amp;C94&amp;"|"&amp;B94,Reference!$A:$A,0)),"")</f>
        <v/>
      </c>
      <c r="G94" s="25">
        <f>IFERROR(INDEX(Reference!$I:$I,MATCH("Mutual Fund|"&amp;C94&amp;"|"&amp;B94,Reference!$A:$A,0)),"")</f>
        <v/>
      </c>
      <c r="H94" s="78" t="n"/>
      <c r="I94" s="45" t="n"/>
      <c r="J94" s="45" t="n"/>
      <c r="K94" s="79">
        <f>IFERROR(IF(H94="","",(AsOfDate-H94)/365.25),"")</f>
        <v/>
      </c>
      <c r="L94" s="48" t="n"/>
      <c r="M94" s="48" t="n"/>
      <c r="N94" s="49">
        <f>IFERROR(INDEX(Prices!$E:$E,MATCH("Mutual Fund|"&amp;C94&amp;"|"&amp;B94,Prices!$A:$A,0)),0)</f>
        <v/>
      </c>
      <c r="O94" s="50" t="n"/>
      <c r="P94" s="50">
        <f>L94*N94</f>
        <v/>
      </c>
      <c r="Q94" s="50">
        <f>P94-O94</f>
        <v/>
      </c>
      <c r="R94" s="64">
        <f>IFERROR(Q94/O94,0)</f>
        <v/>
      </c>
      <c r="S94" s="43" t="n"/>
    </row>
    <row r="95" ht="15" customHeight="1" s="54">
      <c r="A95" s="43" t="n">
        <v>91</v>
      </c>
      <c r="B95" s="43" t="n"/>
      <c r="C95" s="43" t="n"/>
      <c r="D95" s="25">
        <f>IFERROR(INDEX(Reference!$E:$E,MATCH("Mutual Fund|"&amp;C95&amp;"|"&amp;B95,Reference!$A:$A,0)),"")</f>
        <v/>
      </c>
      <c r="E95" s="25">
        <f>IFERROR(INDEX(Reference!$H:$H,MATCH("Mutual Fund|"&amp;C95&amp;"|"&amp;B95,Reference!$A:$A,0)),"")</f>
        <v/>
      </c>
      <c r="F95" s="25">
        <f>IFERROR(INDEX(Reference!$G:$G,MATCH("Mutual Fund|"&amp;C95&amp;"|"&amp;B95,Reference!$A:$A,0)),"")</f>
        <v/>
      </c>
      <c r="G95" s="25">
        <f>IFERROR(INDEX(Reference!$I:$I,MATCH("Mutual Fund|"&amp;C95&amp;"|"&amp;B95,Reference!$A:$A,0)),"")</f>
        <v/>
      </c>
      <c r="H95" s="78" t="n"/>
      <c r="I95" s="45" t="n"/>
      <c r="J95" s="45" t="n"/>
      <c r="K95" s="79">
        <f>IFERROR(IF(H95="","",(AsOfDate-H95)/365.25),"")</f>
        <v/>
      </c>
      <c r="L95" s="48" t="n"/>
      <c r="M95" s="48" t="n"/>
      <c r="N95" s="49">
        <f>IFERROR(INDEX(Prices!$E:$E,MATCH("Mutual Fund|"&amp;C95&amp;"|"&amp;B95,Prices!$A:$A,0)),0)</f>
        <v/>
      </c>
      <c r="O95" s="50" t="n"/>
      <c r="P95" s="50">
        <f>L95*N95</f>
        <v/>
      </c>
      <c r="Q95" s="50">
        <f>P95-O95</f>
        <v/>
      </c>
      <c r="R95" s="64">
        <f>IFERROR(Q95/O95,0)</f>
        <v/>
      </c>
      <c r="S95" s="43" t="n"/>
    </row>
    <row r="96" ht="15" customHeight="1" s="54">
      <c r="A96" s="43" t="n">
        <v>92</v>
      </c>
      <c r="B96" s="43" t="n"/>
      <c r="C96" s="43" t="n"/>
      <c r="D96" s="25">
        <f>IFERROR(INDEX(Reference!$E:$E,MATCH("Mutual Fund|"&amp;C96&amp;"|"&amp;B96,Reference!$A:$A,0)),"")</f>
        <v/>
      </c>
      <c r="E96" s="25">
        <f>IFERROR(INDEX(Reference!$H:$H,MATCH("Mutual Fund|"&amp;C96&amp;"|"&amp;B96,Reference!$A:$A,0)),"")</f>
        <v/>
      </c>
      <c r="F96" s="25">
        <f>IFERROR(INDEX(Reference!$G:$G,MATCH("Mutual Fund|"&amp;C96&amp;"|"&amp;B96,Reference!$A:$A,0)),"")</f>
        <v/>
      </c>
      <c r="G96" s="25">
        <f>IFERROR(INDEX(Reference!$I:$I,MATCH("Mutual Fund|"&amp;C96&amp;"|"&amp;B96,Reference!$A:$A,0)),"")</f>
        <v/>
      </c>
      <c r="H96" s="78" t="n"/>
      <c r="I96" s="45" t="n"/>
      <c r="J96" s="45" t="n"/>
      <c r="K96" s="79">
        <f>IFERROR(IF(H96="","",(AsOfDate-H96)/365.25),"")</f>
        <v/>
      </c>
      <c r="L96" s="48" t="n"/>
      <c r="M96" s="48" t="n"/>
      <c r="N96" s="49">
        <f>IFERROR(INDEX(Prices!$E:$E,MATCH("Mutual Fund|"&amp;C96&amp;"|"&amp;B96,Prices!$A:$A,0)),0)</f>
        <v/>
      </c>
      <c r="O96" s="50" t="n"/>
      <c r="P96" s="50">
        <f>L96*N96</f>
        <v/>
      </c>
      <c r="Q96" s="50">
        <f>P96-O96</f>
        <v/>
      </c>
      <c r="R96" s="64">
        <f>IFERROR(Q96/O96,0)</f>
        <v/>
      </c>
      <c r="S96" s="43" t="n"/>
    </row>
    <row r="97" ht="15" customHeight="1" s="54">
      <c r="A97" s="43" t="n">
        <v>93</v>
      </c>
      <c r="B97" s="43" t="n"/>
      <c r="C97" s="43" t="n"/>
      <c r="D97" s="25">
        <f>IFERROR(INDEX(Reference!$E:$E,MATCH("Mutual Fund|"&amp;C97&amp;"|"&amp;B97,Reference!$A:$A,0)),"")</f>
        <v/>
      </c>
      <c r="E97" s="25">
        <f>IFERROR(INDEX(Reference!$H:$H,MATCH("Mutual Fund|"&amp;C97&amp;"|"&amp;B97,Reference!$A:$A,0)),"")</f>
        <v/>
      </c>
      <c r="F97" s="25">
        <f>IFERROR(INDEX(Reference!$G:$G,MATCH("Mutual Fund|"&amp;C97&amp;"|"&amp;B97,Reference!$A:$A,0)),"")</f>
        <v/>
      </c>
      <c r="G97" s="25">
        <f>IFERROR(INDEX(Reference!$I:$I,MATCH("Mutual Fund|"&amp;C97&amp;"|"&amp;B97,Reference!$A:$A,0)),"")</f>
        <v/>
      </c>
      <c r="H97" s="78" t="n"/>
      <c r="I97" s="45" t="n"/>
      <c r="J97" s="45" t="n"/>
      <c r="K97" s="79">
        <f>IFERROR(IF(H97="","",(AsOfDate-H97)/365.25),"")</f>
        <v/>
      </c>
      <c r="L97" s="48" t="n"/>
      <c r="M97" s="48" t="n"/>
      <c r="N97" s="49">
        <f>IFERROR(INDEX(Prices!$E:$E,MATCH("Mutual Fund|"&amp;C97&amp;"|"&amp;B97,Prices!$A:$A,0)),0)</f>
        <v/>
      </c>
      <c r="O97" s="50" t="n"/>
      <c r="P97" s="50">
        <f>L97*N97</f>
        <v/>
      </c>
      <c r="Q97" s="50">
        <f>P97-O97</f>
        <v/>
      </c>
      <c r="R97" s="64">
        <f>IFERROR(Q97/O97,0)</f>
        <v/>
      </c>
      <c r="S97" s="43" t="n"/>
    </row>
    <row r="98" ht="15" customHeight="1" s="54">
      <c r="A98" s="43" t="n">
        <v>94</v>
      </c>
      <c r="B98" s="43" t="n"/>
      <c r="C98" s="43" t="n"/>
      <c r="D98" s="25">
        <f>IFERROR(INDEX(Reference!$E:$E,MATCH("Mutual Fund|"&amp;C98&amp;"|"&amp;B98,Reference!$A:$A,0)),"")</f>
        <v/>
      </c>
      <c r="E98" s="25">
        <f>IFERROR(INDEX(Reference!$H:$H,MATCH("Mutual Fund|"&amp;C98&amp;"|"&amp;B98,Reference!$A:$A,0)),"")</f>
        <v/>
      </c>
      <c r="F98" s="25">
        <f>IFERROR(INDEX(Reference!$G:$G,MATCH("Mutual Fund|"&amp;C98&amp;"|"&amp;B98,Reference!$A:$A,0)),"")</f>
        <v/>
      </c>
      <c r="G98" s="25">
        <f>IFERROR(INDEX(Reference!$I:$I,MATCH("Mutual Fund|"&amp;C98&amp;"|"&amp;B98,Reference!$A:$A,0)),"")</f>
        <v/>
      </c>
      <c r="H98" s="78" t="n"/>
      <c r="I98" s="45" t="n"/>
      <c r="J98" s="45" t="n"/>
      <c r="K98" s="79">
        <f>IFERROR(IF(H98="","",(AsOfDate-H98)/365.25),"")</f>
        <v/>
      </c>
      <c r="L98" s="48" t="n"/>
      <c r="M98" s="48" t="n"/>
      <c r="N98" s="49">
        <f>IFERROR(INDEX(Prices!$E:$E,MATCH("Mutual Fund|"&amp;C98&amp;"|"&amp;B98,Prices!$A:$A,0)),0)</f>
        <v/>
      </c>
      <c r="O98" s="50" t="n"/>
      <c r="P98" s="50">
        <f>L98*N98</f>
        <v/>
      </c>
      <c r="Q98" s="50">
        <f>P98-O98</f>
        <v/>
      </c>
      <c r="R98" s="64">
        <f>IFERROR(Q98/O98,0)</f>
        <v/>
      </c>
      <c r="S98" s="43" t="n"/>
    </row>
    <row r="99" ht="15" customHeight="1" s="54">
      <c r="A99" s="43" t="n">
        <v>95</v>
      </c>
      <c r="B99" s="43" t="n"/>
      <c r="C99" s="43" t="n"/>
      <c r="D99" s="25">
        <f>IFERROR(INDEX(Reference!$E:$E,MATCH("Mutual Fund|"&amp;C99&amp;"|"&amp;B99,Reference!$A:$A,0)),"")</f>
        <v/>
      </c>
      <c r="E99" s="25">
        <f>IFERROR(INDEX(Reference!$H:$H,MATCH("Mutual Fund|"&amp;C99&amp;"|"&amp;B99,Reference!$A:$A,0)),"")</f>
        <v/>
      </c>
      <c r="F99" s="25">
        <f>IFERROR(INDEX(Reference!$G:$G,MATCH("Mutual Fund|"&amp;C99&amp;"|"&amp;B99,Reference!$A:$A,0)),"")</f>
        <v/>
      </c>
      <c r="G99" s="25">
        <f>IFERROR(INDEX(Reference!$I:$I,MATCH("Mutual Fund|"&amp;C99&amp;"|"&amp;B99,Reference!$A:$A,0)),"")</f>
        <v/>
      </c>
      <c r="H99" s="78" t="n"/>
      <c r="I99" s="45" t="n"/>
      <c r="J99" s="45" t="n"/>
      <c r="K99" s="79">
        <f>IFERROR(IF(H99="","",(AsOfDate-H99)/365.25),"")</f>
        <v/>
      </c>
      <c r="L99" s="48" t="n"/>
      <c r="M99" s="48" t="n"/>
      <c r="N99" s="49">
        <f>IFERROR(INDEX(Prices!$E:$E,MATCH("Mutual Fund|"&amp;C99&amp;"|"&amp;B99,Prices!$A:$A,0)),0)</f>
        <v/>
      </c>
      <c r="O99" s="50" t="n"/>
      <c r="P99" s="50">
        <f>L99*N99</f>
        <v/>
      </c>
      <c r="Q99" s="50">
        <f>P99-O99</f>
        <v/>
      </c>
      <c r="R99" s="64">
        <f>IFERROR(Q99/O99,0)</f>
        <v/>
      </c>
      <c r="S99" s="43" t="n"/>
    </row>
    <row r="100" ht="15" customHeight="1" s="54">
      <c r="A100" s="43" t="n">
        <v>96</v>
      </c>
      <c r="B100" s="43" t="n"/>
      <c r="C100" s="43" t="n"/>
      <c r="D100" s="25">
        <f>IFERROR(INDEX(Reference!$E:$E,MATCH("Mutual Fund|"&amp;C100&amp;"|"&amp;B100,Reference!$A:$A,0)),"")</f>
        <v/>
      </c>
      <c r="E100" s="25">
        <f>IFERROR(INDEX(Reference!$H:$H,MATCH("Mutual Fund|"&amp;C100&amp;"|"&amp;B100,Reference!$A:$A,0)),"")</f>
        <v/>
      </c>
      <c r="F100" s="25">
        <f>IFERROR(INDEX(Reference!$G:$G,MATCH("Mutual Fund|"&amp;C100&amp;"|"&amp;B100,Reference!$A:$A,0)),"")</f>
        <v/>
      </c>
      <c r="G100" s="25">
        <f>IFERROR(INDEX(Reference!$I:$I,MATCH("Mutual Fund|"&amp;C100&amp;"|"&amp;B100,Reference!$A:$A,0)),"")</f>
        <v/>
      </c>
      <c r="H100" s="78" t="n"/>
      <c r="I100" s="45" t="n"/>
      <c r="J100" s="45" t="n"/>
      <c r="K100" s="79">
        <f>IFERROR(IF(H100="","",(AsOfDate-H100)/365.25),"")</f>
        <v/>
      </c>
      <c r="L100" s="48" t="n"/>
      <c r="M100" s="48" t="n"/>
      <c r="N100" s="49">
        <f>IFERROR(INDEX(Prices!$E:$E,MATCH("Mutual Fund|"&amp;C100&amp;"|"&amp;B100,Prices!$A:$A,0)),0)</f>
        <v/>
      </c>
      <c r="O100" s="50" t="n"/>
      <c r="P100" s="50">
        <f>L100*N100</f>
        <v/>
      </c>
      <c r="Q100" s="50">
        <f>P100-O100</f>
        <v/>
      </c>
      <c r="R100" s="64">
        <f>IFERROR(Q100/O100,0)</f>
        <v/>
      </c>
      <c r="S100" s="43" t="n"/>
    </row>
    <row r="101" ht="15" customHeight="1" s="54">
      <c r="A101" s="43" t="n">
        <v>97</v>
      </c>
      <c r="B101" s="43" t="n"/>
      <c r="C101" s="43" t="n"/>
      <c r="D101" s="25">
        <f>IFERROR(INDEX(Reference!$E:$E,MATCH("Mutual Fund|"&amp;C101&amp;"|"&amp;B101,Reference!$A:$A,0)),"")</f>
        <v/>
      </c>
      <c r="E101" s="25">
        <f>IFERROR(INDEX(Reference!$H:$H,MATCH("Mutual Fund|"&amp;C101&amp;"|"&amp;B101,Reference!$A:$A,0)),"")</f>
        <v/>
      </c>
      <c r="F101" s="25">
        <f>IFERROR(INDEX(Reference!$G:$G,MATCH("Mutual Fund|"&amp;C101&amp;"|"&amp;B101,Reference!$A:$A,0)),"")</f>
        <v/>
      </c>
      <c r="G101" s="25">
        <f>IFERROR(INDEX(Reference!$I:$I,MATCH("Mutual Fund|"&amp;C101&amp;"|"&amp;B101,Reference!$A:$A,0)),"")</f>
        <v/>
      </c>
      <c r="H101" s="78" t="n"/>
      <c r="I101" s="45" t="n"/>
      <c r="J101" s="45" t="n"/>
      <c r="K101" s="79">
        <f>IFERROR(IF(H101="","",(AsOfDate-H101)/365.25),"")</f>
        <v/>
      </c>
      <c r="L101" s="48" t="n"/>
      <c r="M101" s="48" t="n"/>
      <c r="N101" s="49">
        <f>IFERROR(INDEX(Prices!$E:$E,MATCH("Mutual Fund|"&amp;C101&amp;"|"&amp;B101,Prices!$A:$A,0)),0)</f>
        <v/>
      </c>
      <c r="O101" s="50" t="n"/>
      <c r="P101" s="50">
        <f>L101*N101</f>
        <v/>
      </c>
      <c r="Q101" s="50">
        <f>P101-O101</f>
        <v/>
      </c>
      <c r="R101" s="64">
        <f>IFERROR(Q101/O101,0)</f>
        <v/>
      </c>
      <c r="S101" s="43" t="n"/>
    </row>
    <row r="102" ht="15" customHeight="1" s="54">
      <c r="A102" s="43" t="n">
        <v>98</v>
      </c>
      <c r="B102" s="43" t="n"/>
      <c r="C102" s="43" t="n"/>
      <c r="D102" s="25">
        <f>IFERROR(INDEX(Reference!$E:$E,MATCH("Mutual Fund|"&amp;C102&amp;"|"&amp;B102,Reference!$A:$A,0)),"")</f>
        <v/>
      </c>
      <c r="E102" s="25">
        <f>IFERROR(INDEX(Reference!$H:$H,MATCH("Mutual Fund|"&amp;C102&amp;"|"&amp;B102,Reference!$A:$A,0)),"")</f>
        <v/>
      </c>
      <c r="F102" s="25">
        <f>IFERROR(INDEX(Reference!$G:$G,MATCH("Mutual Fund|"&amp;C102&amp;"|"&amp;B102,Reference!$A:$A,0)),"")</f>
        <v/>
      </c>
      <c r="G102" s="25">
        <f>IFERROR(INDEX(Reference!$I:$I,MATCH("Mutual Fund|"&amp;C102&amp;"|"&amp;B102,Reference!$A:$A,0)),"")</f>
        <v/>
      </c>
      <c r="H102" s="78" t="n"/>
      <c r="I102" s="45" t="n"/>
      <c r="J102" s="45" t="n"/>
      <c r="K102" s="79">
        <f>IFERROR(IF(H102="","",(AsOfDate-H102)/365.25),"")</f>
        <v/>
      </c>
      <c r="L102" s="48" t="n"/>
      <c r="M102" s="48" t="n"/>
      <c r="N102" s="49">
        <f>IFERROR(INDEX(Prices!$E:$E,MATCH("Mutual Fund|"&amp;C102&amp;"|"&amp;B102,Prices!$A:$A,0)),0)</f>
        <v/>
      </c>
      <c r="O102" s="50" t="n"/>
      <c r="P102" s="50">
        <f>L102*N102</f>
        <v/>
      </c>
      <c r="Q102" s="50">
        <f>P102-O102</f>
        <v/>
      </c>
      <c r="R102" s="64">
        <f>IFERROR(Q102/O102,0)</f>
        <v/>
      </c>
      <c r="S102" s="43" t="n"/>
    </row>
    <row r="103" ht="15" customHeight="1" s="54">
      <c r="A103" s="43" t="n">
        <v>99</v>
      </c>
      <c r="B103" s="43" t="n"/>
      <c r="C103" s="43" t="n"/>
      <c r="D103" s="25">
        <f>IFERROR(INDEX(Reference!$E:$E,MATCH("Mutual Fund|"&amp;C103&amp;"|"&amp;B103,Reference!$A:$A,0)),"")</f>
        <v/>
      </c>
      <c r="E103" s="25">
        <f>IFERROR(INDEX(Reference!$H:$H,MATCH("Mutual Fund|"&amp;C103&amp;"|"&amp;B103,Reference!$A:$A,0)),"")</f>
        <v/>
      </c>
      <c r="F103" s="25">
        <f>IFERROR(INDEX(Reference!$G:$G,MATCH("Mutual Fund|"&amp;C103&amp;"|"&amp;B103,Reference!$A:$A,0)),"")</f>
        <v/>
      </c>
      <c r="G103" s="25">
        <f>IFERROR(INDEX(Reference!$I:$I,MATCH("Mutual Fund|"&amp;C103&amp;"|"&amp;B103,Reference!$A:$A,0)),"")</f>
        <v/>
      </c>
      <c r="H103" s="78" t="n"/>
      <c r="I103" s="45" t="n"/>
      <c r="J103" s="45" t="n"/>
      <c r="K103" s="79">
        <f>IFERROR(IF(H103="","",(AsOfDate-H103)/365.25),"")</f>
        <v/>
      </c>
      <c r="L103" s="48" t="n"/>
      <c r="M103" s="48" t="n"/>
      <c r="N103" s="49">
        <f>IFERROR(INDEX(Prices!$E:$E,MATCH("Mutual Fund|"&amp;C103&amp;"|"&amp;B103,Prices!$A:$A,0)),0)</f>
        <v/>
      </c>
      <c r="O103" s="50" t="n"/>
      <c r="P103" s="50">
        <f>L103*N103</f>
        <v/>
      </c>
      <c r="Q103" s="50">
        <f>P103-O103</f>
        <v/>
      </c>
      <c r="R103" s="64">
        <f>IFERROR(Q103/O103,0)</f>
        <v/>
      </c>
      <c r="S103" s="43" t="n"/>
    </row>
    <row r="104" ht="15" customHeight="1" s="54">
      <c r="A104" s="43" t="n">
        <v>100</v>
      </c>
      <c r="B104" s="43" t="n"/>
      <c r="C104" s="43" t="n"/>
      <c r="D104" s="25">
        <f>IFERROR(INDEX(Reference!$E:$E,MATCH("Mutual Fund|"&amp;C104&amp;"|"&amp;B104,Reference!$A:$A,0)),"")</f>
        <v/>
      </c>
      <c r="E104" s="25">
        <f>IFERROR(INDEX(Reference!$H:$H,MATCH("Mutual Fund|"&amp;C104&amp;"|"&amp;B104,Reference!$A:$A,0)),"")</f>
        <v/>
      </c>
      <c r="F104" s="25">
        <f>IFERROR(INDEX(Reference!$G:$G,MATCH("Mutual Fund|"&amp;C104&amp;"|"&amp;B104,Reference!$A:$A,0)),"")</f>
        <v/>
      </c>
      <c r="G104" s="25">
        <f>IFERROR(INDEX(Reference!$I:$I,MATCH("Mutual Fund|"&amp;C104&amp;"|"&amp;B104,Reference!$A:$A,0)),"")</f>
        <v/>
      </c>
      <c r="H104" s="78" t="n"/>
      <c r="I104" s="45" t="n"/>
      <c r="J104" s="45" t="n"/>
      <c r="K104" s="79">
        <f>IFERROR(IF(H104="","",(AsOfDate-H104)/365.25),"")</f>
        <v/>
      </c>
      <c r="L104" s="48" t="n"/>
      <c r="M104" s="48" t="n"/>
      <c r="N104" s="49">
        <f>IFERROR(INDEX(Prices!$E:$E,MATCH("Mutual Fund|"&amp;C104&amp;"|"&amp;B104,Prices!$A:$A,0)),0)</f>
        <v/>
      </c>
      <c r="O104" s="50" t="n"/>
      <c r="P104" s="50">
        <f>L104*N104</f>
        <v/>
      </c>
      <c r="Q104" s="50">
        <f>P104-O104</f>
        <v/>
      </c>
      <c r="R104" s="64">
        <f>IFERROR(Q104/O104,0)</f>
        <v/>
      </c>
      <c r="S104" s="43" t="n"/>
    </row>
    <row r="105" ht="15" customHeight="1" s="54">
      <c r="A105" s="43" t="n">
        <v>101</v>
      </c>
      <c r="B105" s="43" t="n"/>
      <c r="C105" s="43" t="n"/>
      <c r="D105" s="25">
        <f>IFERROR(INDEX(Reference!$E:$E,MATCH("Mutual Fund|"&amp;C105&amp;"|"&amp;B105,Reference!$A:$A,0)),"")</f>
        <v/>
      </c>
      <c r="E105" s="25">
        <f>IFERROR(INDEX(Reference!$H:$H,MATCH("Mutual Fund|"&amp;C105&amp;"|"&amp;B105,Reference!$A:$A,0)),"")</f>
        <v/>
      </c>
      <c r="F105" s="25">
        <f>IFERROR(INDEX(Reference!$G:$G,MATCH("Mutual Fund|"&amp;C105&amp;"|"&amp;B105,Reference!$A:$A,0)),"")</f>
        <v/>
      </c>
      <c r="G105" s="25">
        <f>IFERROR(INDEX(Reference!$I:$I,MATCH("Mutual Fund|"&amp;C105&amp;"|"&amp;B105,Reference!$A:$A,0)),"")</f>
        <v/>
      </c>
      <c r="H105" s="78" t="n"/>
      <c r="I105" s="45" t="n"/>
      <c r="J105" s="45" t="n"/>
      <c r="K105" s="79">
        <f>IFERROR(IF(H105="","",(AsOfDate-H105)/365.25),"")</f>
        <v/>
      </c>
      <c r="L105" s="48" t="n"/>
      <c r="M105" s="48" t="n"/>
      <c r="N105" s="49">
        <f>IFERROR(INDEX(Prices!$E:$E,MATCH("Mutual Fund|"&amp;C105&amp;"|"&amp;B105,Prices!$A:$A,0)),0)</f>
        <v/>
      </c>
      <c r="O105" s="50" t="n"/>
      <c r="P105" s="50">
        <f>L105*N105</f>
        <v/>
      </c>
      <c r="Q105" s="50">
        <f>P105-O105</f>
        <v/>
      </c>
      <c r="R105" s="64">
        <f>IFERROR(Q105/O105,0)</f>
        <v/>
      </c>
      <c r="S105" s="43" t="n"/>
    </row>
    <row r="106" ht="15" customHeight="1" s="54">
      <c r="A106" s="43" t="n">
        <v>102</v>
      </c>
      <c r="B106" s="43" t="n"/>
      <c r="C106" s="43" t="n"/>
      <c r="D106" s="25">
        <f>IFERROR(INDEX(Reference!$E:$E,MATCH("Mutual Fund|"&amp;C106&amp;"|"&amp;B106,Reference!$A:$A,0)),"")</f>
        <v/>
      </c>
      <c r="E106" s="25">
        <f>IFERROR(INDEX(Reference!$H:$H,MATCH("Mutual Fund|"&amp;C106&amp;"|"&amp;B106,Reference!$A:$A,0)),"")</f>
        <v/>
      </c>
      <c r="F106" s="25">
        <f>IFERROR(INDEX(Reference!$G:$G,MATCH("Mutual Fund|"&amp;C106&amp;"|"&amp;B106,Reference!$A:$A,0)),"")</f>
        <v/>
      </c>
      <c r="G106" s="25">
        <f>IFERROR(INDEX(Reference!$I:$I,MATCH("Mutual Fund|"&amp;C106&amp;"|"&amp;B106,Reference!$A:$A,0)),"")</f>
        <v/>
      </c>
      <c r="H106" s="78" t="n"/>
      <c r="I106" s="45" t="n"/>
      <c r="J106" s="45" t="n"/>
      <c r="K106" s="79">
        <f>IFERROR(IF(H106="","",(AsOfDate-H106)/365.25),"")</f>
        <v/>
      </c>
      <c r="L106" s="48" t="n"/>
      <c r="M106" s="48" t="n"/>
      <c r="N106" s="49">
        <f>IFERROR(INDEX(Prices!$E:$E,MATCH("Mutual Fund|"&amp;C106&amp;"|"&amp;B106,Prices!$A:$A,0)),0)</f>
        <v/>
      </c>
      <c r="O106" s="50" t="n"/>
      <c r="P106" s="50">
        <f>L106*N106</f>
        <v/>
      </c>
      <c r="Q106" s="50">
        <f>P106-O106</f>
        <v/>
      </c>
      <c r="R106" s="64">
        <f>IFERROR(Q106/O106,0)</f>
        <v/>
      </c>
      <c r="S106" s="43" t="n"/>
    </row>
    <row r="107" ht="15" customHeight="1" s="54">
      <c r="A107" s="43" t="n">
        <v>103</v>
      </c>
      <c r="B107" s="43" t="n"/>
      <c r="C107" s="43" t="n"/>
      <c r="D107" s="25">
        <f>IFERROR(INDEX(Reference!$E:$E,MATCH("Mutual Fund|"&amp;C107&amp;"|"&amp;B107,Reference!$A:$A,0)),"")</f>
        <v/>
      </c>
      <c r="E107" s="25">
        <f>IFERROR(INDEX(Reference!$H:$H,MATCH("Mutual Fund|"&amp;C107&amp;"|"&amp;B107,Reference!$A:$A,0)),"")</f>
        <v/>
      </c>
      <c r="F107" s="25">
        <f>IFERROR(INDEX(Reference!$G:$G,MATCH("Mutual Fund|"&amp;C107&amp;"|"&amp;B107,Reference!$A:$A,0)),"")</f>
        <v/>
      </c>
      <c r="G107" s="25">
        <f>IFERROR(INDEX(Reference!$I:$I,MATCH("Mutual Fund|"&amp;C107&amp;"|"&amp;B107,Reference!$A:$A,0)),"")</f>
        <v/>
      </c>
      <c r="H107" s="78" t="n"/>
      <c r="I107" s="45" t="n"/>
      <c r="J107" s="45" t="n"/>
      <c r="K107" s="79">
        <f>IFERROR(IF(H107="","",(AsOfDate-H107)/365.25),"")</f>
        <v/>
      </c>
      <c r="L107" s="48" t="n"/>
      <c r="M107" s="48" t="n"/>
      <c r="N107" s="49">
        <f>IFERROR(INDEX(Prices!$E:$E,MATCH("Mutual Fund|"&amp;C107&amp;"|"&amp;B107,Prices!$A:$A,0)),0)</f>
        <v/>
      </c>
      <c r="O107" s="50" t="n"/>
      <c r="P107" s="50">
        <f>L107*N107</f>
        <v/>
      </c>
      <c r="Q107" s="50">
        <f>P107-O107</f>
        <v/>
      </c>
      <c r="R107" s="64">
        <f>IFERROR(Q107/O107,0)</f>
        <v/>
      </c>
      <c r="S107" s="43" t="n"/>
    </row>
    <row r="108" ht="15" customHeight="1" s="54">
      <c r="A108" s="43" t="n">
        <v>104</v>
      </c>
      <c r="B108" s="43" t="n"/>
      <c r="C108" s="43" t="n"/>
      <c r="D108" s="25">
        <f>IFERROR(INDEX(Reference!$E:$E,MATCH("Mutual Fund|"&amp;C108&amp;"|"&amp;B108,Reference!$A:$A,0)),"")</f>
        <v/>
      </c>
      <c r="E108" s="25">
        <f>IFERROR(INDEX(Reference!$H:$H,MATCH("Mutual Fund|"&amp;C108&amp;"|"&amp;B108,Reference!$A:$A,0)),"")</f>
        <v/>
      </c>
      <c r="F108" s="25">
        <f>IFERROR(INDEX(Reference!$G:$G,MATCH("Mutual Fund|"&amp;C108&amp;"|"&amp;B108,Reference!$A:$A,0)),"")</f>
        <v/>
      </c>
      <c r="G108" s="25">
        <f>IFERROR(INDEX(Reference!$I:$I,MATCH("Mutual Fund|"&amp;C108&amp;"|"&amp;B108,Reference!$A:$A,0)),"")</f>
        <v/>
      </c>
      <c r="H108" s="78" t="n"/>
      <c r="I108" s="45" t="n"/>
      <c r="J108" s="45" t="n"/>
      <c r="K108" s="79">
        <f>IFERROR(IF(H108="","",(AsOfDate-H108)/365.25),"")</f>
        <v/>
      </c>
      <c r="L108" s="48" t="n"/>
      <c r="M108" s="48" t="n"/>
      <c r="N108" s="49">
        <f>IFERROR(INDEX(Prices!$E:$E,MATCH("Mutual Fund|"&amp;C108&amp;"|"&amp;B108,Prices!$A:$A,0)),0)</f>
        <v/>
      </c>
      <c r="O108" s="50" t="n"/>
      <c r="P108" s="50">
        <f>L108*N108</f>
        <v/>
      </c>
      <c r="Q108" s="50">
        <f>P108-O108</f>
        <v/>
      </c>
      <c r="R108" s="64">
        <f>IFERROR(Q108/O108,0)</f>
        <v/>
      </c>
      <c r="S108" s="43" t="n"/>
    </row>
    <row r="109" ht="15" customHeight="1" s="54">
      <c r="A109" s="43" t="n">
        <v>105</v>
      </c>
      <c r="B109" s="43" t="n"/>
      <c r="C109" s="43" t="n"/>
      <c r="D109" s="25">
        <f>IFERROR(INDEX(Reference!$E:$E,MATCH("Mutual Fund|"&amp;C109&amp;"|"&amp;B109,Reference!$A:$A,0)),"")</f>
        <v/>
      </c>
      <c r="E109" s="25">
        <f>IFERROR(INDEX(Reference!$H:$H,MATCH("Mutual Fund|"&amp;C109&amp;"|"&amp;B109,Reference!$A:$A,0)),"")</f>
        <v/>
      </c>
      <c r="F109" s="25">
        <f>IFERROR(INDEX(Reference!$G:$G,MATCH("Mutual Fund|"&amp;C109&amp;"|"&amp;B109,Reference!$A:$A,0)),"")</f>
        <v/>
      </c>
      <c r="G109" s="25">
        <f>IFERROR(INDEX(Reference!$I:$I,MATCH("Mutual Fund|"&amp;C109&amp;"|"&amp;B109,Reference!$A:$A,0)),"")</f>
        <v/>
      </c>
      <c r="H109" s="78" t="n"/>
      <c r="I109" s="45" t="n"/>
      <c r="J109" s="45" t="n"/>
      <c r="K109" s="79">
        <f>IFERROR(IF(H109="","",(AsOfDate-H109)/365.25),"")</f>
        <v/>
      </c>
      <c r="L109" s="48" t="n"/>
      <c r="M109" s="48" t="n"/>
      <c r="N109" s="49">
        <f>IFERROR(INDEX(Prices!$E:$E,MATCH("Mutual Fund|"&amp;C109&amp;"|"&amp;B109,Prices!$A:$A,0)),0)</f>
        <v/>
      </c>
      <c r="O109" s="50" t="n"/>
      <c r="P109" s="50">
        <f>L109*N109</f>
        <v/>
      </c>
      <c r="Q109" s="50">
        <f>P109-O109</f>
        <v/>
      </c>
      <c r="R109" s="64">
        <f>IFERROR(Q109/O109,0)</f>
        <v/>
      </c>
      <c r="S109" s="43" t="n"/>
    </row>
    <row r="110" ht="15" customHeight="1" s="54">
      <c r="A110" s="43" t="n">
        <v>106</v>
      </c>
      <c r="B110" s="43" t="n"/>
      <c r="C110" s="43" t="n"/>
      <c r="D110" s="25">
        <f>IFERROR(INDEX(Reference!$E:$E,MATCH("Mutual Fund|"&amp;C110&amp;"|"&amp;B110,Reference!$A:$A,0)),"")</f>
        <v/>
      </c>
      <c r="E110" s="25">
        <f>IFERROR(INDEX(Reference!$H:$H,MATCH("Mutual Fund|"&amp;C110&amp;"|"&amp;B110,Reference!$A:$A,0)),"")</f>
        <v/>
      </c>
      <c r="F110" s="25">
        <f>IFERROR(INDEX(Reference!$G:$G,MATCH("Mutual Fund|"&amp;C110&amp;"|"&amp;B110,Reference!$A:$A,0)),"")</f>
        <v/>
      </c>
      <c r="G110" s="25">
        <f>IFERROR(INDEX(Reference!$I:$I,MATCH("Mutual Fund|"&amp;C110&amp;"|"&amp;B110,Reference!$A:$A,0)),"")</f>
        <v/>
      </c>
      <c r="H110" s="78" t="n"/>
      <c r="I110" s="45" t="n"/>
      <c r="J110" s="45" t="n"/>
      <c r="K110" s="79">
        <f>IFERROR(IF(H110="","",(AsOfDate-H110)/365.25),"")</f>
        <v/>
      </c>
      <c r="L110" s="48" t="n"/>
      <c r="M110" s="48" t="n"/>
      <c r="N110" s="49">
        <f>IFERROR(INDEX(Prices!$E:$E,MATCH("Mutual Fund|"&amp;C110&amp;"|"&amp;B110,Prices!$A:$A,0)),0)</f>
        <v/>
      </c>
      <c r="O110" s="50" t="n"/>
      <c r="P110" s="50">
        <f>L110*N110</f>
        <v/>
      </c>
      <c r="Q110" s="50">
        <f>P110-O110</f>
        <v/>
      </c>
      <c r="R110" s="64">
        <f>IFERROR(Q110/O110,0)</f>
        <v/>
      </c>
      <c r="S110" s="43" t="n"/>
    </row>
    <row r="111" ht="15" customHeight="1" s="54">
      <c r="A111" s="43" t="n">
        <v>107</v>
      </c>
      <c r="B111" s="43" t="n"/>
      <c r="C111" s="43" t="n"/>
      <c r="D111" s="25">
        <f>IFERROR(INDEX(Reference!$E:$E,MATCH("Mutual Fund|"&amp;C111&amp;"|"&amp;B111,Reference!$A:$A,0)),"")</f>
        <v/>
      </c>
      <c r="E111" s="25">
        <f>IFERROR(INDEX(Reference!$H:$H,MATCH("Mutual Fund|"&amp;C111&amp;"|"&amp;B111,Reference!$A:$A,0)),"")</f>
        <v/>
      </c>
      <c r="F111" s="25">
        <f>IFERROR(INDEX(Reference!$G:$G,MATCH("Mutual Fund|"&amp;C111&amp;"|"&amp;B111,Reference!$A:$A,0)),"")</f>
        <v/>
      </c>
      <c r="G111" s="25">
        <f>IFERROR(INDEX(Reference!$I:$I,MATCH("Mutual Fund|"&amp;C111&amp;"|"&amp;B111,Reference!$A:$A,0)),"")</f>
        <v/>
      </c>
      <c r="H111" s="78" t="n"/>
      <c r="I111" s="45" t="n"/>
      <c r="J111" s="45" t="n"/>
      <c r="K111" s="79">
        <f>IFERROR(IF(H111="","",(AsOfDate-H111)/365.25),"")</f>
        <v/>
      </c>
      <c r="L111" s="48" t="n"/>
      <c r="M111" s="48" t="n"/>
      <c r="N111" s="49">
        <f>IFERROR(INDEX(Prices!$E:$E,MATCH("Mutual Fund|"&amp;C111&amp;"|"&amp;B111,Prices!$A:$A,0)),0)</f>
        <v/>
      </c>
      <c r="O111" s="50" t="n"/>
      <c r="P111" s="50">
        <f>L111*N111</f>
        <v/>
      </c>
      <c r="Q111" s="50">
        <f>P111-O111</f>
        <v/>
      </c>
      <c r="R111" s="64">
        <f>IFERROR(Q111/O111,0)</f>
        <v/>
      </c>
      <c r="S111" s="43" t="n"/>
    </row>
    <row r="112" ht="15" customHeight="1" s="54">
      <c r="A112" s="43" t="n">
        <v>108</v>
      </c>
      <c r="B112" s="43" t="n"/>
      <c r="C112" s="43" t="n"/>
      <c r="D112" s="25">
        <f>IFERROR(INDEX(Reference!$E:$E,MATCH("Mutual Fund|"&amp;C112&amp;"|"&amp;B112,Reference!$A:$A,0)),"")</f>
        <v/>
      </c>
      <c r="E112" s="25">
        <f>IFERROR(INDEX(Reference!$H:$H,MATCH("Mutual Fund|"&amp;C112&amp;"|"&amp;B112,Reference!$A:$A,0)),"")</f>
        <v/>
      </c>
      <c r="F112" s="25">
        <f>IFERROR(INDEX(Reference!$G:$G,MATCH("Mutual Fund|"&amp;C112&amp;"|"&amp;B112,Reference!$A:$A,0)),"")</f>
        <v/>
      </c>
      <c r="G112" s="25">
        <f>IFERROR(INDEX(Reference!$I:$I,MATCH("Mutual Fund|"&amp;C112&amp;"|"&amp;B112,Reference!$A:$A,0)),"")</f>
        <v/>
      </c>
      <c r="H112" s="78" t="n"/>
      <c r="I112" s="45" t="n"/>
      <c r="J112" s="45" t="n"/>
      <c r="K112" s="79">
        <f>IFERROR(IF(H112="","",(AsOfDate-H112)/365.25),"")</f>
        <v/>
      </c>
      <c r="L112" s="48" t="n"/>
      <c r="M112" s="48" t="n"/>
      <c r="N112" s="49">
        <f>IFERROR(INDEX(Prices!$E:$E,MATCH("Mutual Fund|"&amp;C112&amp;"|"&amp;B112,Prices!$A:$A,0)),0)</f>
        <v/>
      </c>
      <c r="O112" s="50" t="n"/>
      <c r="P112" s="50">
        <f>L112*N112</f>
        <v/>
      </c>
      <c r="Q112" s="50">
        <f>P112-O112</f>
        <v/>
      </c>
      <c r="R112" s="64">
        <f>IFERROR(Q112/O112,0)</f>
        <v/>
      </c>
      <c r="S112" s="43" t="n"/>
    </row>
    <row r="113" ht="15" customHeight="1" s="54">
      <c r="A113" s="43" t="n">
        <v>109</v>
      </c>
      <c r="B113" s="43" t="n"/>
      <c r="C113" s="43" t="n"/>
      <c r="D113" s="25">
        <f>IFERROR(INDEX(Reference!$E:$E,MATCH("Mutual Fund|"&amp;C113&amp;"|"&amp;B113,Reference!$A:$A,0)),"")</f>
        <v/>
      </c>
      <c r="E113" s="25">
        <f>IFERROR(INDEX(Reference!$H:$H,MATCH("Mutual Fund|"&amp;C113&amp;"|"&amp;B113,Reference!$A:$A,0)),"")</f>
        <v/>
      </c>
      <c r="F113" s="25">
        <f>IFERROR(INDEX(Reference!$G:$G,MATCH("Mutual Fund|"&amp;C113&amp;"|"&amp;B113,Reference!$A:$A,0)),"")</f>
        <v/>
      </c>
      <c r="G113" s="25">
        <f>IFERROR(INDEX(Reference!$I:$I,MATCH("Mutual Fund|"&amp;C113&amp;"|"&amp;B113,Reference!$A:$A,0)),"")</f>
        <v/>
      </c>
      <c r="H113" s="78" t="n"/>
      <c r="I113" s="45" t="n"/>
      <c r="J113" s="45" t="n"/>
      <c r="K113" s="79">
        <f>IFERROR(IF(H113="","",(AsOfDate-H113)/365.25),"")</f>
        <v/>
      </c>
      <c r="L113" s="48" t="n"/>
      <c r="M113" s="48" t="n"/>
      <c r="N113" s="49">
        <f>IFERROR(INDEX(Prices!$E:$E,MATCH("Mutual Fund|"&amp;C113&amp;"|"&amp;B113,Prices!$A:$A,0)),0)</f>
        <v/>
      </c>
      <c r="O113" s="50" t="n"/>
      <c r="P113" s="50">
        <f>L113*N113</f>
        <v/>
      </c>
      <c r="Q113" s="50">
        <f>P113-O113</f>
        <v/>
      </c>
      <c r="R113" s="64">
        <f>IFERROR(Q113/O113,0)</f>
        <v/>
      </c>
      <c r="S113" s="43" t="n"/>
    </row>
    <row r="114" ht="15" customHeight="1" s="54">
      <c r="A114" s="43" t="n">
        <v>110</v>
      </c>
      <c r="B114" s="43" t="n"/>
      <c r="C114" s="43" t="n"/>
      <c r="D114" s="25">
        <f>IFERROR(INDEX(Reference!$E:$E,MATCH("Mutual Fund|"&amp;C114&amp;"|"&amp;B114,Reference!$A:$A,0)),"")</f>
        <v/>
      </c>
      <c r="E114" s="25">
        <f>IFERROR(INDEX(Reference!$H:$H,MATCH("Mutual Fund|"&amp;C114&amp;"|"&amp;B114,Reference!$A:$A,0)),"")</f>
        <v/>
      </c>
      <c r="F114" s="25">
        <f>IFERROR(INDEX(Reference!$G:$G,MATCH("Mutual Fund|"&amp;C114&amp;"|"&amp;B114,Reference!$A:$A,0)),"")</f>
        <v/>
      </c>
      <c r="G114" s="25">
        <f>IFERROR(INDEX(Reference!$I:$I,MATCH("Mutual Fund|"&amp;C114&amp;"|"&amp;B114,Reference!$A:$A,0)),"")</f>
        <v/>
      </c>
      <c r="H114" s="78" t="n"/>
      <c r="I114" s="45" t="n"/>
      <c r="J114" s="45" t="n"/>
      <c r="K114" s="79">
        <f>IFERROR(IF(H114="","",(AsOfDate-H114)/365.25),"")</f>
        <v/>
      </c>
      <c r="L114" s="48" t="n"/>
      <c r="M114" s="48" t="n"/>
      <c r="N114" s="49">
        <f>IFERROR(INDEX(Prices!$E:$E,MATCH("Mutual Fund|"&amp;C114&amp;"|"&amp;B114,Prices!$A:$A,0)),0)</f>
        <v/>
      </c>
      <c r="O114" s="50" t="n"/>
      <c r="P114" s="50">
        <f>L114*N114</f>
        <v/>
      </c>
      <c r="Q114" s="50">
        <f>P114-O114</f>
        <v/>
      </c>
      <c r="R114" s="64">
        <f>IFERROR(Q114/O114,0)</f>
        <v/>
      </c>
      <c r="S114" s="43" t="n"/>
    </row>
    <row r="115" ht="15" customHeight="1" s="54">
      <c r="A115" s="43" t="n">
        <v>111</v>
      </c>
      <c r="B115" s="43" t="n"/>
      <c r="C115" s="43" t="n"/>
      <c r="D115" s="25">
        <f>IFERROR(INDEX(Reference!$E:$E,MATCH("Mutual Fund|"&amp;C115&amp;"|"&amp;B115,Reference!$A:$A,0)),"")</f>
        <v/>
      </c>
      <c r="E115" s="25">
        <f>IFERROR(INDEX(Reference!$H:$H,MATCH("Mutual Fund|"&amp;C115&amp;"|"&amp;B115,Reference!$A:$A,0)),"")</f>
        <v/>
      </c>
      <c r="F115" s="25">
        <f>IFERROR(INDEX(Reference!$G:$G,MATCH("Mutual Fund|"&amp;C115&amp;"|"&amp;B115,Reference!$A:$A,0)),"")</f>
        <v/>
      </c>
      <c r="G115" s="25">
        <f>IFERROR(INDEX(Reference!$I:$I,MATCH("Mutual Fund|"&amp;C115&amp;"|"&amp;B115,Reference!$A:$A,0)),"")</f>
        <v/>
      </c>
      <c r="H115" s="78" t="n"/>
      <c r="I115" s="45" t="n"/>
      <c r="J115" s="45" t="n"/>
      <c r="K115" s="79">
        <f>IFERROR(IF(H115="","",(AsOfDate-H115)/365.25),"")</f>
        <v/>
      </c>
      <c r="L115" s="48" t="n"/>
      <c r="M115" s="48" t="n"/>
      <c r="N115" s="49">
        <f>IFERROR(INDEX(Prices!$E:$E,MATCH("Mutual Fund|"&amp;C115&amp;"|"&amp;B115,Prices!$A:$A,0)),0)</f>
        <v/>
      </c>
      <c r="O115" s="50" t="n"/>
      <c r="P115" s="50">
        <f>L115*N115</f>
        <v/>
      </c>
      <c r="Q115" s="50">
        <f>P115-O115</f>
        <v/>
      </c>
      <c r="R115" s="64">
        <f>IFERROR(Q115/O115,0)</f>
        <v/>
      </c>
      <c r="S115" s="43" t="n"/>
    </row>
    <row r="116" ht="15" customHeight="1" s="54">
      <c r="A116" s="43" t="n">
        <v>112</v>
      </c>
      <c r="B116" s="43" t="n"/>
      <c r="C116" s="43" t="n"/>
      <c r="D116" s="25">
        <f>IFERROR(INDEX(Reference!$E:$E,MATCH("Mutual Fund|"&amp;C116&amp;"|"&amp;B116,Reference!$A:$A,0)),"")</f>
        <v/>
      </c>
      <c r="E116" s="25">
        <f>IFERROR(INDEX(Reference!$H:$H,MATCH("Mutual Fund|"&amp;C116&amp;"|"&amp;B116,Reference!$A:$A,0)),"")</f>
        <v/>
      </c>
      <c r="F116" s="25">
        <f>IFERROR(INDEX(Reference!$G:$G,MATCH("Mutual Fund|"&amp;C116&amp;"|"&amp;B116,Reference!$A:$A,0)),"")</f>
        <v/>
      </c>
      <c r="G116" s="25">
        <f>IFERROR(INDEX(Reference!$I:$I,MATCH("Mutual Fund|"&amp;C116&amp;"|"&amp;B116,Reference!$A:$A,0)),"")</f>
        <v/>
      </c>
      <c r="H116" s="78" t="n"/>
      <c r="I116" s="45" t="n"/>
      <c r="J116" s="45" t="n"/>
      <c r="K116" s="79">
        <f>IFERROR(IF(H116="","",(AsOfDate-H116)/365.25),"")</f>
        <v/>
      </c>
      <c r="L116" s="48" t="n"/>
      <c r="M116" s="48" t="n"/>
      <c r="N116" s="49">
        <f>IFERROR(INDEX(Prices!$E:$E,MATCH("Mutual Fund|"&amp;C116&amp;"|"&amp;B116,Prices!$A:$A,0)),0)</f>
        <v/>
      </c>
      <c r="O116" s="50" t="n"/>
      <c r="P116" s="50">
        <f>L116*N116</f>
        <v/>
      </c>
      <c r="Q116" s="50">
        <f>P116-O116</f>
        <v/>
      </c>
      <c r="R116" s="64">
        <f>IFERROR(Q116/O116,0)</f>
        <v/>
      </c>
      <c r="S116" s="43" t="n"/>
    </row>
    <row r="117" ht="15" customHeight="1" s="54">
      <c r="A117" s="43" t="n">
        <v>113</v>
      </c>
      <c r="B117" s="43" t="n"/>
      <c r="C117" s="43" t="n"/>
      <c r="D117" s="25">
        <f>IFERROR(INDEX(Reference!$E:$E,MATCH("Mutual Fund|"&amp;C117&amp;"|"&amp;B117,Reference!$A:$A,0)),"")</f>
        <v/>
      </c>
      <c r="E117" s="25">
        <f>IFERROR(INDEX(Reference!$H:$H,MATCH("Mutual Fund|"&amp;C117&amp;"|"&amp;B117,Reference!$A:$A,0)),"")</f>
        <v/>
      </c>
      <c r="F117" s="25">
        <f>IFERROR(INDEX(Reference!$G:$G,MATCH("Mutual Fund|"&amp;C117&amp;"|"&amp;B117,Reference!$A:$A,0)),"")</f>
        <v/>
      </c>
      <c r="G117" s="25">
        <f>IFERROR(INDEX(Reference!$I:$I,MATCH("Mutual Fund|"&amp;C117&amp;"|"&amp;B117,Reference!$A:$A,0)),"")</f>
        <v/>
      </c>
      <c r="H117" s="78" t="n"/>
      <c r="I117" s="45" t="n"/>
      <c r="J117" s="45" t="n"/>
      <c r="K117" s="79">
        <f>IFERROR(IF(H117="","",(AsOfDate-H117)/365.25),"")</f>
        <v/>
      </c>
      <c r="L117" s="48" t="n"/>
      <c r="M117" s="48" t="n"/>
      <c r="N117" s="49">
        <f>IFERROR(INDEX(Prices!$E:$E,MATCH("Mutual Fund|"&amp;C117&amp;"|"&amp;B117,Prices!$A:$A,0)),0)</f>
        <v/>
      </c>
      <c r="O117" s="50" t="n"/>
      <c r="P117" s="50">
        <f>L117*N117</f>
        <v/>
      </c>
      <c r="Q117" s="50">
        <f>P117-O117</f>
        <v/>
      </c>
      <c r="R117" s="64">
        <f>IFERROR(Q117/O117,0)</f>
        <v/>
      </c>
      <c r="S117" s="43" t="n"/>
    </row>
    <row r="118" ht="15" customHeight="1" s="54">
      <c r="A118" s="43" t="n">
        <v>114</v>
      </c>
      <c r="B118" s="43" t="n"/>
      <c r="C118" s="43" t="n"/>
      <c r="D118" s="25">
        <f>IFERROR(INDEX(Reference!$E:$E,MATCH("Mutual Fund|"&amp;C118&amp;"|"&amp;B118,Reference!$A:$A,0)),"")</f>
        <v/>
      </c>
      <c r="E118" s="25">
        <f>IFERROR(INDEX(Reference!$H:$H,MATCH("Mutual Fund|"&amp;C118&amp;"|"&amp;B118,Reference!$A:$A,0)),"")</f>
        <v/>
      </c>
      <c r="F118" s="25">
        <f>IFERROR(INDEX(Reference!$G:$G,MATCH("Mutual Fund|"&amp;C118&amp;"|"&amp;B118,Reference!$A:$A,0)),"")</f>
        <v/>
      </c>
      <c r="G118" s="25">
        <f>IFERROR(INDEX(Reference!$I:$I,MATCH("Mutual Fund|"&amp;C118&amp;"|"&amp;B118,Reference!$A:$A,0)),"")</f>
        <v/>
      </c>
      <c r="H118" s="78" t="n"/>
      <c r="I118" s="45" t="n"/>
      <c r="J118" s="45" t="n"/>
      <c r="K118" s="79">
        <f>IFERROR(IF(H118="","",(AsOfDate-H118)/365.25),"")</f>
        <v/>
      </c>
      <c r="L118" s="48" t="n"/>
      <c r="M118" s="48" t="n"/>
      <c r="N118" s="49">
        <f>IFERROR(INDEX(Prices!$E:$E,MATCH("Mutual Fund|"&amp;C118&amp;"|"&amp;B118,Prices!$A:$A,0)),0)</f>
        <v/>
      </c>
      <c r="O118" s="50" t="n"/>
      <c r="P118" s="50">
        <f>L118*N118</f>
        <v/>
      </c>
      <c r="Q118" s="50">
        <f>P118-O118</f>
        <v/>
      </c>
      <c r="R118" s="64">
        <f>IFERROR(Q118/O118,0)</f>
        <v/>
      </c>
      <c r="S118" s="43" t="n"/>
    </row>
    <row r="119" ht="15" customHeight="1" s="54">
      <c r="A119" s="43" t="n">
        <v>115</v>
      </c>
      <c r="B119" s="43" t="n"/>
      <c r="C119" s="43" t="n"/>
      <c r="D119" s="25">
        <f>IFERROR(INDEX(Reference!$E:$E,MATCH("Mutual Fund|"&amp;C119&amp;"|"&amp;B119,Reference!$A:$A,0)),"")</f>
        <v/>
      </c>
      <c r="E119" s="25">
        <f>IFERROR(INDEX(Reference!$H:$H,MATCH("Mutual Fund|"&amp;C119&amp;"|"&amp;B119,Reference!$A:$A,0)),"")</f>
        <v/>
      </c>
      <c r="F119" s="25">
        <f>IFERROR(INDEX(Reference!$G:$G,MATCH("Mutual Fund|"&amp;C119&amp;"|"&amp;B119,Reference!$A:$A,0)),"")</f>
        <v/>
      </c>
      <c r="G119" s="25">
        <f>IFERROR(INDEX(Reference!$I:$I,MATCH("Mutual Fund|"&amp;C119&amp;"|"&amp;B119,Reference!$A:$A,0)),"")</f>
        <v/>
      </c>
      <c r="H119" s="78" t="n"/>
      <c r="I119" s="45" t="n"/>
      <c r="J119" s="45" t="n"/>
      <c r="K119" s="79">
        <f>IFERROR(IF(H119="","",(AsOfDate-H119)/365.25),"")</f>
        <v/>
      </c>
      <c r="L119" s="48" t="n"/>
      <c r="M119" s="48" t="n"/>
      <c r="N119" s="49">
        <f>IFERROR(INDEX(Prices!$E:$E,MATCH("Mutual Fund|"&amp;C119&amp;"|"&amp;B119,Prices!$A:$A,0)),0)</f>
        <v/>
      </c>
      <c r="O119" s="50" t="n"/>
      <c r="P119" s="50">
        <f>L119*N119</f>
        <v/>
      </c>
      <c r="Q119" s="50">
        <f>P119-O119</f>
        <v/>
      </c>
      <c r="R119" s="64">
        <f>IFERROR(Q119/O119,0)</f>
        <v/>
      </c>
      <c r="S119" s="43" t="n"/>
    </row>
    <row r="120" ht="15" customHeight="1" s="54">
      <c r="A120" s="43" t="n">
        <v>116</v>
      </c>
      <c r="B120" s="43" t="n"/>
      <c r="C120" s="43" t="n"/>
      <c r="D120" s="25">
        <f>IFERROR(INDEX(Reference!$E:$E,MATCH("Mutual Fund|"&amp;C120&amp;"|"&amp;B120,Reference!$A:$A,0)),"")</f>
        <v/>
      </c>
      <c r="E120" s="25">
        <f>IFERROR(INDEX(Reference!$H:$H,MATCH("Mutual Fund|"&amp;C120&amp;"|"&amp;B120,Reference!$A:$A,0)),"")</f>
        <v/>
      </c>
      <c r="F120" s="25">
        <f>IFERROR(INDEX(Reference!$G:$G,MATCH("Mutual Fund|"&amp;C120&amp;"|"&amp;B120,Reference!$A:$A,0)),"")</f>
        <v/>
      </c>
      <c r="G120" s="25">
        <f>IFERROR(INDEX(Reference!$I:$I,MATCH("Mutual Fund|"&amp;C120&amp;"|"&amp;B120,Reference!$A:$A,0)),"")</f>
        <v/>
      </c>
      <c r="H120" s="78" t="n"/>
      <c r="I120" s="45" t="n"/>
      <c r="J120" s="45" t="n"/>
      <c r="K120" s="79">
        <f>IFERROR(IF(H120="","",(AsOfDate-H120)/365.25),"")</f>
        <v/>
      </c>
      <c r="L120" s="48" t="n"/>
      <c r="M120" s="48" t="n"/>
      <c r="N120" s="49">
        <f>IFERROR(INDEX(Prices!$E:$E,MATCH("Mutual Fund|"&amp;C120&amp;"|"&amp;B120,Prices!$A:$A,0)),0)</f>
        <v/>
      </c>
      <c r="O120" s="50" t="n"/>
      <c r="P120" s="50">
        <f>L120*N120</f>
        <v/>
      </c>
      <c r="Q120" s="50">
        <f>P120-O120</f>
        <v/>
      </c>
      <c r="R120" s="64">
        <f>IFERROR(Q120/O120,0)</f>
        <v/>
      </c>
      <c r="S120" s="43" t="n"/>
    </row>
    <row r="121" ht="15" customHeight="1" s="54">
      <c r="A121" s="43" t="n">
        <v>117</v>
      </c>
      <c r="B121" s="43" t="n"/>
      <c r="C121" s="43" t="n"/>
      <c r="D121" s="25">
        <f>IFERROR(INDEX(Reference!$E:$E,MATCH("Mutual Fund|"&amp;C121&amp;"|"&amp;B121,Reference!$A:$A,0)),"")</f>
        <v/>
      </c>
      <c r="E121" s="25">
        <f>IFERROR(INDEX(Reference!$H:$H,MATCH("Mutual Fund|"&amp;C121&amp;"|"&amp;B121,Reference!$A:$A,0)),"")</f>
        <v/>
      </c>
      <c r="F121" s="25">
        <f>IFERROR(INDEX(Reference!$G:$G,MATCH("Mutual Fund|"&amp;C121&amp;"|"&amp;B121,Reference!$A:$A,0)),"")</f>
        <v/>
      </c>
      <c r="G121" s="25">
        <f>IFERROR(INDEX(Reference!$I:$I,MATCH("Mutual Fund|"&amp;C121&amp;"|"&amp;B121,Reference!$A:$A,0)),"")</f>
        <v/>
      </c>
      <c r="H121" s="78" t="n"/>
      <c r="I121" s="45" t="n"/>
      <c r="J121" s="45" t="n"/>
      <c r="K121" s="79">
        <f>IFERROR(IF(H121="","",(AsOfDate-H121)/365.25),"")</f>
        <v/>
      </c>
      <c r="L121" s="48" t="n"/>
      <c r="M121" s="48" t="n"/>
      <c r="N121" s="49">
        <f>IFERROR(INDEX(Prices!$E:$E,MATCH("Mutual Fund|"&amp;C121&amp;"|"&amp;B121,Prices!$A:$A,0)),0)</f>
        <v/>
      </c>
      <c r="O121" s="50" t="n"/>
      <c r="P121" s="50">
        <f>L121*N121</f>
        <v/>
      </c>
      <c r="Q121" s="50">
        <f>P121-O121</f>
        <v/>
      </c>
      <c r="R121" s="64">
        <f>IFERROR(Q121/O121,0)</f>
        <v/>
      </c>
      <c r="S121" s="43" t="n"/>
    </row>
    <row r="122" ht="15" customHeight="1" s="54">
      <c r="A122" s="43" t="n">
        <v>118</v>
      </c>
      <c r="B122" s="43" t="n"/>
      <c r="C122" s="43" t="n"/>
      <c r="D122" s="25">
        <f>IFERROR(INDEX(Reference!$E:$E,MATCH("Mutual Fund|"&amp;C122&amp;"|"&amp;B122,Reference!$A:$A,0)),"")</f>
        <v/>
      </c>
      <c r="E122" s="25">
        <f>IFERROR(INDEX(Reference!$H:$H,MATCH("Mutual Fund|"&amp;C122&amp;"|"&amp;B122,Reference!$A:$A,0)),"")</f>
        <v/>
      </c>
      <c r="F122" s="25">
        <f>IFERROR(INDEX(Reference!$G:$G,MATCH("Mutual Fund|"&amp;C122&amp;"|"&amp;B122,Reference!$A:$A,0)),"")</f>
        <v/>
      </c>
      <c r="G122" s="25">
        <f>IFERROR(INDEX(Reference!$I:$I,MATCH("Mutual Fund|"&amp;C122&amp;"|"&amp;B122,Reference!$A:$A,0)),"")</f>
        <v/>
      </c>
      <c r="H122" s="78" t="n"/>
      <c r="I122" s="45" t="n"/>
      <c r="J122" s="45" t="n"/>
      <c r="K122" s="79">
        <f>IFERROR(IF(H122="","",(AsOfDate-H122)/365.25),"")</f>
        <v/>
      </c>
      <c r="L122" s="48" t="n"/>
      <c r="M122" s="48" t="n"/>
      <c r="N122" s="49">
        <f>IFERROR(INDEX(Prices!$E:$E,MATCH("Mutual Fund|"&amp;C122&amp;"|"&amp;B122,Prices!$A:$A,0)),0)</f>
        <v/>
      </c>
      <c r="O122" s="50" t="n"/>
      <c r="P122" s="50">
        <f>L122*N122</f>
        <v/>
      </c>
      <c r="Q122" s="50">
        <f>P122-O122</f>
        <v/>
      </c>
      <c r="R122" s="64">
        <f>IFERROR(Q122/O122,0)</f>
        <v/>
      </c>
      <c r="S122" s="43" t="n"/>
    </row>
    <row r="123" ht="15" customHeight="1" s="54">
      <c r="A123" s="43" t="n">
        <v>119</v>
      </c>
      <c r="B123" s="43" t="n"/>
      <c r="C123" s="43" t="n"/>
      <c r="D123" s="25">
        <f>IFERROR(INDEX(Reference!$E:$E,MATCH("Mutual Fund|"&amp;C123&amp;"|"&amp;B123,Reference!$A:$A,0)),"")</f>
        <v/>
      </c>
      <c r="E123" s="25">
        <f>IFERROR(INDEX(Reference!$H:$H,MATCH("Mutual Fund|"&amp;C123&amp;"|"&amp;B123,Reference!$A:$A,0)),"")</f>
        <v/>
      </c>
      <c r="F123" s="25">
        <f>IFERROR(INDEX(Reference!$G:$G,MATCH("Mutual Fund|"&amp;C123&amp;"|"&amp;B123,Reference!$A:$A,0)),"")</f>
        <v/>
      </c>
      <c r="G123" s="25">
        <f>IFERROR(INDEX(Reference!$I:$I,MATCH("Mutual Fund|"&amp;C123&amp;"|"&amp;B123,Reference!$A:$A,0)),"")</f>
        <v/>
      </c>
      <c r="H123" s="78" t="n"/>
      <c r="I123" s="45" t="n"/>
      <c r="J123" s="45" t="n"/>
      <c r="K123" s="79">
        <f>IFERROR(IF(H123="","",(AsOfDate-H123)/365.25),"")</f>
        <v/>
      </c>
      <c r="L123" s="48" t="n"/>
      <c r="M123" s="48" t="n"/>
      <c r="N123" s="49">
        <f>IFERROR(INDEX(Prices!$E:$E,MATCH("Mutual Fund|"&amp;C123&amp;"|"&amp;B123,Prices!$A:$A,0)),0)</f>
        <v/>
      </c>
      <c r="O123" s="50" t="n"/>
      <c r="P123" s="50">
        <f>L123*N123</f>
        <v/>
      </c>
      <c r="Q123" s="50">
        <f>P123-O123</f>
        <v/>
      </c>
      <c r="R123" s="64">
        <f>IFERROR(Q123/O123,0)</f>
        <v/>
      </c>
      <c r="S123" s="43" t="n"/>
    </row>
    <row r="124" ht="15" customHeight="1" s="54">
      <c r="A124" s="43" t="n">
        <v>120</v>
      </c>
      <c r="B124" s="43" t="n"/>
      <c r="C124" s="43" t="n"/>
      <c r="D124" s="25">
        <f>IFERROR(INDEX(Reference!$E:$E,MATCH("Mutual Fund|"&amp;C124&amp;"|"&amp;B124,Reference!$A:$A,0)),"")</f>
        <v/>
      </c>
      <c r="E124" s="25">
        <f>IFERROR(INDEX(Reference!$H:$H,MATCH("Mutual Fund|"&amp;C124&amp;"|"&amp;B124,Reference!$A:$A,0)),"")</f>
        <v/>
      </c>
      <c r="F124" s="25">
        <f>IFERROR(INDEX(Reference!$G:$G,MATCH("Mutual Fund|"&amp;C124&amp;"|"&amp;B124,Reference!$A:$A,0)),"")</f>
        <v/>
      </c>
      <c r="G124" s="25">
        <f>IFERROR(INDEX(Reference!$I:$I,MATCH("Mutual Fund|"&amp;C124&amp;"|"&amp;B124,Reference!$A:$A,0)),"")</f>
        <v/>
      </c>
      <c r="H124" s="78" t="n"/>
      <c r="I124" s="45" t="n"/>
      <c r="J124" s="45" t="n"/>
      <c r="K124" s="79">
        <f>IFERROR(IF(H124="","",(AsOfDate-H124)/365.25),"")</f>
        <v/>
      </c>
      <c r="L124" s="48" t="n"/>
      <c r="M124" s="48" t="n"/>
      <c r="N124" s="49">
        <f>IFERROR(INDEX(Prices!$E:$E,MATCH("Mutual Fund|"&amp;C124&amp;"|"&amp;B124,Prices!$A:$A,0)),0)</f>
        <v/>
      </c>
      <c r="O124" s="50" t="n"/>
      <c r="P124" s="50">
        <f>L124*N124</f>
        <v/>
      </c>
      <c r="Q124" s="50">
        <f>P124-O124</f>
        <v/>
      </c>
      <c r="R124" s="64">
        <f>IFERROR(Q124/O124,0)</f>
        <v/>
      </c>
      <c r="S124" s="43" t="n"/>
    </row>
    <row r="125" ht="15" customHeight="1" s="54">
      <c r="A125" s="43" t="n">
        <v>121</v>
      </c>
      <c r="B125" s="43" t="n"/>
      <c r="C125" s="43" t="n"/>
      <c r="D125" s="25">
        <f>IFERROR(INDEX(Reference!$E:$E,MATCH("Mutual Fund|"&amp;C125&amp;"|"&amp;B125,Reference!$A:$A,0)),"")</f>
        <v/>
      </c>
      <c r="E125" s="25">
        <f>IFERROR(INDEX(Reference!$H:$H,MATCH("Mutual Fund|"&amp;C125&amp;"|"&amp;B125,Reference!$A:$A,0)),"")</f>
        <v/>
      </c>
      <c r="F125" s="25">
        <f>IFERROR(INDEX(Reference!$G:$G,MATCH("Mutual Fund|"&amp;C125&amp;"|"&amp;B125,Reference!$A:$A,0)),"")</f>
        <v/>
      </c>
      <c r="G125" s="25">
        <f>IFERROR(INDEX(Reference!$I:$I,MATCH("Mutual Fund|"&amp;C125&amp;"|"&amp;B125,Reference!$A:$A,0)),"")</f>
        <v/>
      </c>
      <c r="H125" s="78" t="n"/>
      <c r="I125" s="45" t="n"/>
      <c r="J125" s="45" t="n"/>
      <c r="K125" s="79">
        <f>IFERROR(IF(H125="","",(AsOfDate-H125)/365.25),"")</f>
        <v/>
      </c>
      <c r="L125" s="48" t="n"/>
      <c r="M125" s="48" t="n"/>
      <c r="N125" s="49">
        <f>IFERROR(INDEX(Prices!$E:$E,MATCH("Mutual Fund|"&amp;C125&amp;"|"&amp;B125,Prices!$A:$A,0)),0)</f>
        <v/>
      </c>
      <c r="O125" s="50" t="n"/>
      <c r="P125" s="50">
        <f>L125*N125</f>
        <v/>
      </c>
      <c r="Q125" s="50">
        <f>P125-O125</f>
        <v/>
      </c>
      <c r="R125" s="64">
        <f>IFERROR(Q125/O125,0)</f>
        <v/>
      </c>
      <c r="S125" s="43" t="n"/>
    </row>
    <row r="126" ht="15" customHeight="1" s="54">
      <c r="A126" s="43" t="n">
        <v>122</v>
      </c>
      <c r="B126" s="43" t="n"/>
      <c r="C126" s="43" t="n"/>
      <c r="D126" s="25">
        <f>IFERROR(INDEX(Reference!$E:$E,MATCH("Mutual Fund|"&amp;C126&amp;"|"&amp;B126,Reference!$A:$A,0)),"")</f>
        <v/>
      </c>
      <c r="E126" s="25">
        <f>IFERROR(INDEX(Reference!$H:$H,MATCH("Mutual Fund|"&amp;C126&amp;"|"&amp;B126,Reference!$A:$A,0)),"")</f>
        <v/>
      </c>
      <c r="F126" s="25">
        <f>IFERROR(INDEX(Reference!$G:$G,MATCH("Mutual Fund|"&amp;C126&amp;"|"&amp;B126,Reference!$A:$A,0)),"")</f>
        <v/>
      </c>
      <c r="G126" s="25">
        <f>IFERROR(INDEX(Reference!$I:$I,MATCH("Mutual Fund|"&amp;C126&amp;"|"&amp;B126,Reference!$A:$A,0)),"")</f>
        <v/>
      </c>
      <c r="H126" s="78" t="n"/>
      <c r="I126" s="45" t="n"/>
      <c r="J126" s="45" t="n"/>
      <c r="K126" s="79">
        <f>IFERROR(IF(H126="","",(AsOfDate-H126)/365.25),"")</f>
        <v/>
      </c>
      <c r="L126" s="48" t="n"/>
      <c r="M126" s="48" t="n"/>
      <c r="N126" s="49">
        <f>IFERROR(INDEX(Prices!$E:$E,MATCH("Mutual Fund|"&amp;C126&amp;"|"&amp;B126,Prices!$A:$A,0)),0)</f>
        <v/>
      </c>
      <c r="O126" s="50" t="n"/>
      <c r="P126" s="50">
        <f>L126*N126</f>
        <v/>
      </c>
      <c r="Q126" s="50">
        <f>P126-O126</f>
        <v/>
      </c>
      <c r="R126" s="64">
        <f>IFERROR(Q126/O126,0)</f>
        <v/>
      </c>
      <c r="S126" s="43" t="n"/>
    </row>
    <row r="127" ht="15" customHeight="1" s="54">
      <c r="A127" s="43" t="n">
        <v>123</v>
      </c>
      <c r="B127" s="43" t="n"/>
      <c r="C127" s="43" t="n"/>
      <c r="D127" s="25">
        <f>IFERROR(INDEX(Reference!$E:$E,MATCH("Mutual Fund|"&amp;C127&amp;"|"&amp;B127,Reference!$A:$A,0)),"")</f>
        <v/>
      </c>
      <c r="E127" s="25">
        <f>IFERROR(INDEX(Reference!$H:$H,MATCH("Mutual Fund|"&amp;C127&amp;"|"&amp;B127,Reference!$A:$A,0)),"")</f>
        <v/>
      </c>
      <c r="F127" s="25">
        <f>IFERROR(INDEX(Reference!$G:$G,MATCH("Mutual Fund|"&amp;C127&amp;"|"&amp;B127,Reference!$A:$A,0)),"")</f>
        <v/>
      </c>
      <c r="G127" s="25">
        <f>IFERROR(INDEX(Reference!$I:$I,MATCH("Mutual Fund|"&amp;C127&amp;"|"&amp;B127,Reference!$A:$A,0)),"")</f>
        <v/>
      </c>
      <c r="H127" s="78" t="n"/>
      <c r="I127" s="45" t="n"/>
      <c r="J127" s="45" t="n"/>
      <c r="K127" s="79">
        <f>IFERROR(IF(H127="","",(AsOfDate-H127)/365.25),"")</f>
        <v/>
      </c>
      <c r="L127" s="48" t="n"/>
      <c r="M127" s="48" t="n"/>
      <c r="N127" s="49">
        <f>IFERROR(INDEX(Prices!$E:$E,MATCH("Mutual Fund|"&amp;C127&amp;"|"&amp;B127,Prices!$A:$A,0)),0)</f>
        <v/>
      </c>
      <c r="O127" s="50" t="n"/>
      <c r="P127" s="50">
        <f>L127*N127</f>
        <v/>
      </c>
      <c r="Q127" s="50">
        <f>P127-O127</f>
        <v/>
      </c>
      <c r="R127" s="64">
        <f>IFERROR(Q127/O127,0)</f>
        <v/>
      </c>
      <c r="S127" s="43" t="n"/>
    </row>
    <row r="128" ht="15" customHeight="1" s="54">
      <c r="A128" s="43" t="n">
        <v>124</v>
      </c>
      <c r="B128" s="43" t="n"/>
      <c r="C128" s="43" t="n"/>
      <c r="D128" s="25">
        <f>IFERROR(INDEX(Reference!$E:$E,MATCH("Mutual Fund|"&amp;C128&amp;"|"&amp;B128,Reference!$A:$A,0)),"")</f>
        <v/>
      </c>
      <c r="E128" s="25">
        <f>IFERROR(INDEX(Reference!$H:$H,MATCH("Mutual Fund|"&amp;C128&amp;"|"&amp;B128,Reference!$A:$A,0)),"")</f>
        <v/>
      </c>
      <c r="F128" s="25">
        <f>IFERROR(INDEX(Reference!$G:$G,MATCH("Mutual Fund|"&amp;C128&amp;"|"&amp;B128,Reference!$A:$A,0)),"")</f>
        <v/>
      </c>
      <c r="G128" s="25">
        <f>IFERROR(INDEX(Reference!$I:$I,MATCH("Mutual Fund|"&amp;C128&amp;"|"&amp;B128,Reference!$A:$A,0)),"")</f>
        <v/>
      </c>
      <c r="H128" s="78" t="n"/>
      <c r="I128" s="45" t="n"/>
      <c r="J128" s="45" t="n"/>
      <c r="K128" s="79">
        <f>IFERROR(IF(H128="","",(AsOfDate-H128)/365.25),"")</f>
        <v/>
      </c>
      <c r="L128" s="48" t="n"/>
      <c r="M128" s="48" t="n"/>
      <c r="N128" s="49">
        <f>IFERROR(INDEX(Prices!$E:$E,MATCH("Mutual Fund|"&amp;C128&amp;"|"&amp;B128,Prices!$A:$A,0)),0)</f>
        <v/>
      </c>
      <c r="O128" s="50" t="n"/>
      <c r="P128" s="50">
        <f>L128*N128</f>
        <v/>
      </c>
      <c r="Q128" s="50">
        <f>P128-O128</f>
        <v/>
      </c>
      <c r="R128" s="64">
        <f>IFERROR(Q128/O128,0)</f>
        <v/>
      </c>
      <c r="S128" s="43" t="n"/>
    </row>
    <row r="129" ht="15" customHeight="1" s="54">
      <c r="A129" s="43" t="n">
        <v>125</v>
      </c>
      <c r="B129" s="43" t="n"/>
      <c r="C129" s="43" t="n"/>
      <c r="D129" s="25">
        <f>IFERROR(INDEX(Reference!$E:$E,MATCH("Mutual Fund|"&amp;C129&amp;"|"&amp;B129,Reference!$A:$A,0)),"")</f>
        <v/>
      </c>
      <c r="E129" s="25">
        <f>IFERROR(INDEX(Reference!$H:$H,MATCH("Mutual Fund|"&amp;C129&amp;"|"&amp;B129,Reference!$A:$A,0)),"")</f>
        <v/>
      </c>
      <c r="F129" s="25">
        <f>IFERROR(INDEX(Reference!$G:$G,MATCH("Mutual Fund|"&amp;C129&amp;"|"&amp;B129,Reference!$A:$A,0)),"")</f>
        <v/>
      </c>
      <c r="G129" s="25">
        <f>IFERROR(INDEX(Reference!$I:$I,MATCH("Mutual Fund|"&amp;C129&amp;"|"&amp;B129,Reference!$A:$A,0)),"")</f>
        <v/>
      </c>
      <c r="H129" s="78" t="n"/>
      <c r="I129" s="45" t="n"/>
      <c r="J129" s="45" t="n"/>
      <c r="K129" s="79">
        <f>IFERROR(IF(H129="","",(AsOfDate-H129)/365.25),"")</f>
        <v/>
      </c>
      <c r="L129" s="48" t="n"/>
      <c r="M129" s="48" t="n"/>
      <c r="N129" s="49">
        <f>IFERROR(INDEX(Prices!$E:$E,MATCH("Mutual Fund|"&amp;C129&amp;"|"&amp;B129,Prices!$A:$A,0)),0)</f>
        <v/>
      </c>
      <c r="O129" s="50" t="n"/>
      <c r="P129" s="50">
        <f>L129*N129</f>
        <v/>
      </c>
      <c r="Q129" s="50">
        <f>P129-O129</f>
        <v/>
      </c>
      <c r="R129" s="64">
        <f>IFERROR(Q129/O129,0)</f>
        <v/>
      </c>
      <c r="S129" s="43" t="n"/>
    </row>
    <row r="130" ht="15" customHeight="1" s="54">
      <c r="A130" s="43" t="n">
        <v>126</v>
      </c>
      <c r="B130" s="43" t="n"/>
      <c r="C130" s="43" t="n"/>
      <c r="D130" s="25">
        <f>IFERROR(INDEX(Reference!$E:$E,MATCH("Mutual Fund|"&amp;C130&amp;"|"&amp;B130,Reference!$A:$A,0)),"")</f>
        <v/>
      </c>
      <c r="E130" s="25">
        <f>IFERROR(INDEX(Reference!$H:$H,MATCH("Mutual Fund|"&amp;C130&amp;"|"&amp;B130,Reference!$A:$A,0)),"")</f>
        <v/>
      </c>
      <c r="F130" s="25">
        <f>IFERROR(INDEX(Reference!$G:$G,MATCH("Mutual Fund|"&amp;C130&amp;"|"&amp;B130,Reference!$A:$A,0)),"")</f>
        <v/>
      </c>
      <c r="G130" s="25">
        <f>IFERROR(INDEX(Reference!$I:$I,MATCH("Mutual Fund|"&amp;C130&amp;"|"&amp;B130,Reference!$A:$A,0)),"")</f>
        <v/>
      </c>
      <c r="H130" s="78" t="n"/>
      <c r="I130" s="45" t="n"/>
      <c r="J130" s="45" t="n"/>
      <c r="K130" s="79">
        <f>IFERROR(IF(H130="","",(AsOfDate-H130)/365.25),"")</f>
        <v/>
      </c>
      <c r="L130" s="48" t="n"/>
      <c r="M130" s="48" t="n"/>
      <c r="N130" s="49">
        <f>IFERROR(INDEX(Prices!$E:$E,MATCH("Mutual Fund|"&amp;C130&amp;"|"&amp;B130,Prices!$A:$A,0)),0)</f>
        <v/>
      </c>
      <c r="O130" s="50" t="n"/>
      <c r="P130" s="50">
        <f>L130*N130</f>
        <v/>
      </c>
      <c r="Q130" s="50">
        <f>P130-O130</f>
        <v/>
      </c>
      <c r="R130" s="64">
        <f>IFERROR(Q130/O130,0)</f>
        <v/>
      </c>
      <c r="S130" s="43" t="n"/>
    </row>
    <row r="131" ht="15" customHeight="1" s="54">
      <c r="A131" s="43" t="n">
        <v>127</v>
      </c>
      <c r="B131" s="43" t="n"/>
      <c r="C131" s="43" t="n"/>
      <c r="D131" s="25">
        <f>IFERROR(INDEX(Reference!$E:$E,MATCH("Mutual Fund|"&amp;C131&amp;"|"&amp;B131,Reference!$A:$A,0)),"")</f>
        <v/>
      </c>
      <c r="E131" s="25">
        <f>IFERROR(INDEX(Reference!$H:$H,MATCH("Mutual Fund|"&amp;C131&amp;"|"&amp;B131,Reference!$A:$A,0)),"")</f>
        <v/>
      </c>
      <c r="F131" s="25">
        <f>IFERROR(INDEX(Reference!$G:$G,MATCH("Mutual Fund|"&amp;C131&amp;"|"&amp;B131,Reference!$A:$A,0)),"")</f>
        <v/>
      </c>
      <c r="G131" s="25">
        <f>IFERROR(INDEX(Reference!$I:$I,MATCH("Mutual Fund|"&amp;C131&amp;"|"&amp;B131,Reference!$A:$A,0)),"")</f>
        <v/>
      </c>
      <c r="H131" s="78" t="n"/>
      <c r="I131" s="45" t="n"/>
      <c r="J131" s="45" t="n"/>
      <c r="K131" s="79">
        <f>IFERROR(IF(H131="","",(AsOfDate-H131)/365.25),"")</f>
        <v/>
      </c>
      <c r="L131" s="48" t="n"/>
      <c r="M131" s="48" t="n"/>
      <c r="N131" s="49">
        <f>IFERROR(INDEX(Prices!$E:$E,MATCH("Mutual Fund|"&amp;C131&amp;"|"&amp;B131,Prices!$A:$A,0)),0)</f>
        <v/>
      </c>
      <c r="O131" s="50" t="n"/>
      <c r="P131" s="50">
        <f>L131*N131</f>
        <v/>
      </c>
      <c r="Q131" s="50">
        <f>P131-O131</f>
        <v/>
      </c>
      <c r="R131" s="64">
        <f>IFERROR(Q131/O131,0)</f>
        <v/>
      </c>
      <c r="S131" s="43" t="n"/>
    </row>
    <row r="132" ht="15" customHeight="1" s="54">
      <c r="A132" s="43" t="n">
        <v>128</v>
      </c>
      <c r="B132" s="43" t="n"/>
      <c r="C132" s="43" t="n"/>
      <c r="D132" s="25">
        <f>IFERROR(INDEX(Reference!$E:$E,MATCH("Mutual Fund|"&amp;C132&amp;"|"&amp;B132,Reference!$A:$A,0)),"")</f>
        <v/>
      </c>
      <c r="E132" s="25">
        <f>IFERROR(INDEX(Reference!$H:$H,MATCH("Mutual Fund|"&amp;C132&amp;"|"&amp;B132,Reference!$A:$A,0)),"")</f>
        <v/>
      </c>
      <c r="F132" s="25">
        <f>IFERROR(INDEX(Reference!$G:$G,MATCH("Mutual Fund|"&amp;C132&amp;"|"&amp;B132,Reference!$A:$A,0)),"")</f>
        <v/>
      </c>
      <c r="G132" s="25">
        <f>IFERROR(INDEX(Reference!$I:$I,MATCH("Mutual Fund|"&amp;C132&amp;"|"&amp;B132,Reference!$A:$A,0)),"")</f>
        <v/>
      </c>
      <c r="H132" s="78" t="n"/>
      <c r="I132" s="45" t="n"/>
      <c r="J132" s="45" t="n"/>
      <c r="K132" s="79">
        <f>IFERROR(IF(H132="","",(AsOfDate-H132)/365.25),"")</f>
        <v/>
      </c>
      <c r="L132" s="48" t="n"/>
      <c r="M132" s="48" t="n"/>
      <c r="N132" s="49">
        <f>IFERROR(INDEX(Prices!$E:$E,MATCH("Mutual Fund|"&amp;C132&amp;"|"&amp;B132,Prices!$A:$A,0)),0)</f>
        <v/>
      </c>
      <c r="O132" s="50" t="n"/>
      <c r="P132" s="50">
        <f>L132*N132</f>
        <v/>
      </c>
      <c r="Q132" s="50">
        <f>P132-O132</f>
        <v/>
      </c>
      <c r="R132" s="64">
        <f>IFERROR(Q132/O132,0)</f>
        <v/>
      </c>
      <c r="S132" s="43" t="n"/>
    </row>
    <row r="133" ht="15" customHeight="1" s="54">
      <c r="A133" s="43" t="n">
        <v>129</v>
      </c>
      <c r="B133" s="43" t="n"/>
      <c r="C133" s="43" t="n"/>
      <c r="D133" s="25">
        <f>IFERROR(INDEX(Reference!$E:$E,MATCH("Mutual Fund|"&amp;C133&amp;"|"&amp;B133,Reference!$A:$A,0)),"")</f>
        <v/>
      </c>
      <c r="E133" s="25">
        <f>IFERROR(INDEX(Reference!$H:$H,MATCH("Mutual Fund|"&amp;C133&amp;"|"&amp;B133,Reference!$A:$A,0)),"")</f>
        <v/>
      </c>
      <c r="F133" s="25">
        <f>IFERROR(INDEX(Reference!$G:$G,MATCH("Mutual Fund|"&amp;C133&amp;"|"&amp;B133,Reference!$A:$A,0)),"")</f>
        <v/>
      </c>
      <c r="G133" s="25">
        <f>IFERROR(INDEX(Reference!$I:$I,MATCH("Mutual Fund|"&amp;C133&amp;"|"&amp;B133,Reference!$A:$A,0)),"")</f>
        <v/>
      </c>
      <c r="H133" s="78" t="n"/>
      <c r="I133" s="45" t="n"/>
      <c r="J133" s="45" t="n"/>
      <c r="K133" s="79">
        <f>IFERROR(IF(H133="","",(AsOfDate-H133)/365.25),"")</f>
        <v/>
      </c>
      <c r="L133" s="48" t="n"/>
      <c r="M133" s="48" t="n"/>
      <c r="N133" s="49">
        <f>IFERROR(INDEX(Prices!$E:$E,MATCH("Mutual Fund|"&amp;C133&amp;"|"&amp;B133,Prices!$A:$A,0)),0)</f>
        <v/>
      </c>
      <c r="O133" s="50" t="n"/>
      <c r="P133" s="50">
        <f>L133*N133</f>
        <v/>
      </c>
      <c r="Q133" s="50">
        <f>P133-O133</f>
        <v/>
      </c>
      <c r="R133" s="64">
        <f>IFERROR(Q133/O133,0)</f>
        <v/>
      </c>
      <c r="S133" s="43" t="n"/>
    </row>
    <row r="134" ht="15" customHeight="1" s="54">
      <c r="A134" s="43" t="n">
        <v>130</v>
      </c>
      <c r="B134" s="43" t="n"/>
      <c r="C134" s="43" t="n"/>
      <c r="D134" s="25">
        <f>IFERROR(INDEX(Reference!$E:$E,MATCH("Mutual Fund|"&amp;C134&amp;"|"&amp;B134,Reference!$A:$A,0)),"")</f>
        <v/>
      </c>
      <c r="E134" s="25">
        <f>IFERROR(INDEX(Reference!$H:$H,MATCH("Mutual Fund|"&amp;C134&amp;"|"&amp;B134,Reference!$A:$A,0)),"")</f>
        <v/>
      </c>
      <c r="F134" s="25">
        <f>IFERROR(INDEX(Reference!$G:$G,MATCH("Mutual Fund|"&amp;C134&amp;"|"&amp;B134,Reference!$A:$A,0)),"")</f>
        <v/>
      </c>
      <c r="G134" s="25">
        <f>IFERROR(INDEX(Reference!$I:$I,MATCH("Mutual Fund|"&amp;C134&amp;"|"&amp;B134,Reference!$A:$A,0)),"")</f>
        <v/>
      </c>
      <c r="H134" s="78" t="n"/>
      <c r="I134" s="45" t="n"/>
      <c r="J134" s="45" t="n"/>
      <c r="K134" s="79">
        <f>IFERROR(IF(H134="","",(AsOfDate-H134)/365.25),"")</f>
        <v/>
      </c>
      <c r="L134" s="48" t="n"/>
      <c r="M134" s="48" t="n"/>
      <c r="N134" s="49">
        <f>IFERROR(INDEX(Prices!$E:$E,MATCH("Mutual Fund|"&amp;C134&amp;"|"&amp;B134,Prices!$A:$A,0)),0)</f>
        <v/>
      </c>
      <c r="O134" s="50" t="n"/>
      <c r="P134" s="50">
        <f>L134*N134</f>
        <v/>
      </c>
      <c r="Q134" s="50">
        <f>P134-O134</f>
        <v/>
      </c>
      <c r="R134" s="64">
        <f>IFERROR(Q134/O134,0)</f>
        <v/>
      </c>
      <c r="S134" s="43" t="n"/>
    </row>
    <row r="135" ht="15" customHeight="1" s="54">
      <c r="A135" s="43" t="n">
        <v>131</v>
      </c>
      <c r="B135" s="43" t="n"/>
      <c r="C135" s="43" t="n"/>
      <c r="D135" s="25">
        <f>IFERROR(INDEX(Reference!$E:$E,MATCH("Mutual Fund|"&amp;C135&amp;"|"&amp;B135,Reference!$A:$A,0)),"")</f>
        <v/>
      </c>
      <c r="E135" s="25">
        <f>IFERROR(INDEX(Reference!$H:$H,MATCH("Mutual Fund|"&amp;C135&amp;"|"&amp;B135,Reference!$A:$A,0)),"")</f>
        <v/>
      </c>
      <c r="F135" s="25">
        <f>IFERROR(INDEX(Reference!$G:$G,MATCH("Mutual Fund|"&amp;C135&amp;"|"&amp;B135,Reference!$A:$A,0)),"")</f>
        <v/>
      </c>
      <c r="G135" s="25">
        <f>IFERROR(INDEX(Reference!$I:$I,MATCH("Mutual Fund|"&amp;C135&amp;"|"&amp;B135,Reference!$A:$A,0)),"")</f>
        <v/>
      </c>
      <c r="H135" s="78" t="n"/>
      <c r="I135" s="45" t="n"/>
      <c r="J135" s="45" t="n"/>
      <c r="K135" s="79">
        <f>IFERROR(IF(H135="","",(AsOfDate-H135)/365.25),"")</f>
        <v/>
      </c>
      <c r="L135" s="48" t="n"/>
      <c r="M135" s="48" t="n"/>
      <c r="N135" s="49">
        <f>IFERROR(INDEX(Prices!$E:$E,MATCH("Mutual Fund|"&amp;C135&amp;"|"&amp;B135,Prices!$A:$A,0)),0)</f>
        <v/>
      </c>
      <c r="O135" s="50" t="n"/>
      <c r="P135" s="50">
        <f>L135*N135</f>
        <v/>
      </c>
      <c r="Q135" s="50">
        <f>P135-O135</f>
        <v/>
      </c>
      <c r="R135" s="64">
        <f>IFERROR(Q135/O135,0)</f>
        <v/>
      </c>
      <c r="S135" s="43" t="n"/>
    </row>
    <row r="136" ht="15" customHeight="1" s="54">
      <c r="A136" s="43" t="n">
        <v>132</v>
      </c>
      <c r="B136" s="43" t="n"/>
      <c r="C136" s="43" t="n"/>
      <c r="D136" s="25">
        <f>IFERROR(INDEX(Reference!$E:$E,MATCH("Mutual Fund|"&amp;C136&amp;"|"&amp;B136,Reference!$A:$A,0)),"")</f>
        <v/>
      </c>
      <c r="E136" s="25">
        <f>IFERROR(INDEX(Reference!$H:$H,MATCH("Mutual Fund|"&amp;C136&amp;"|"&amp;B136,Reference!$A:$A,0)),"")</f>
        <v/>
      </c>
      <c r="F136" s="25">
        <f>IFERROR(INDEX(Reference!$G:$G,MATCH("Mutual Fund|"&amp;C136&amp;"|"&amp;B136,Reference!$A:$A,0)),"")</f>
        <v/>
      </c>
      <c r="G136" s="25">
        <f>IFERROR(INDEX(Reference!$I:$I,MATCH("Mutual Fund|"&amp;C136&amp;"|"&amp;B136,Reference!$A:$A,0)),"")</f>
        <v/>
      </c>
      <c r="H136" s="78" t="n"/>
      <c r="I136" s="45" t="n"/>
      <c r="J136" s="45" t="n"/>
      <c r="K136" s="79">
        <f>IFERROR(IF(H136="","",(AsOfDate-H136)/365.25),"")</f>
        <v/>
      </c>
      <c r="L136" s="48" t="n"/>
      <c r="M136" s="48" t="n"/>
      <c r="N136" s="49">
        <f>IFERROR(INDEX(Prices!$E:$E,MATCH("Mutual Fund|"&amp;C136&amp;"|"&amp;B136,Prices!$A:$A,0)),0)</f>
        <v/>
      </c>
      <c r="O136" s="50" t="n"/>
      <c r="P136" s="50">
        <f>L136*N136</f>
        <v/>
      </c>
      <c r="Q136" s="50">
        <f>P136-O136</f>
        <v/>
      </c>
      <c r="R136" s="64">
        <f>IFERROR(Q136/O136,0)</f>
        <v/>
      </c>
      <c r="S136" s="43" t="n"/>
    </row>
    <row r="137" ht="15" customHeight="1" s="54">
      <c r="A137" s="43" t="n">
        <v>133</v>
      </c>
      <c r="B137" s="43" t="n"/>
      <c r="C137" s="43" t="n"/>
      <c r="D137" s="25">
        <f>IFERROR(INDEX(Reference!$E:$E,MATCH("Mutual Fund|"&amp;C137&amp;"|"&amp;B137,Reference!$A:$A,0)),"")</f>
        <v/>
      </c>
      <c r="E137" s="25">
        <f>IFERROR(INDEX(Reference!$H:$H,MATCH("Mutual Fund|"&amp;C137&amp;"|"&amp;B137,Reference!$A:$A,0)),"")</f>
        <v/>
      </c>
      <c r="F137" s="25">
        <f>IFERROR(INDEX(Reference!$G:$G,MATCH("Mutual Fund|"&amp;C137&amp;"|"&amp;B137,Reference!$A:$A,0)),"")</f>
        <v/>
      </c>
      <c r="G137" s="25">
        <f>IFERROR(INDEX(Reference!$I:$I,MATCH("Mutual Fund|"&amp;C137&amp;"|"&amp;B137,Reference!$A:$A,0)),"")</f>
        <v/>
      </c>
      <c r="H137" s="78" t="n"/>
      <c r="I137" s="45" t="n"/>
      <c r="J137" s="45" t="n"/>
      <c r="K137" s="79">
        <f>IFERROR(IF(H137="","",(AsOfDate-H137)/365.25),"")</f>
        <v/>
      </c>
      <c r="L137" s="48" t="n"/>
      <c r="M137" s="48" t="n"/>
      <c r="N137" s="49">
        <f>IFERROR(INDEX(Prices!$E:$E,MATCH("Mutual Fund|"&amp;C137&amp;"|"&amp;B137,Prices!$A:$A,0)),0)</f>
        <v/>
      </c>
      <c r="O137" s="50" t="n"/>
      <c r="P137" s="50">
        <f>L137*N137</f>
        <v/>
      </c>
      <c r="Q137" s="50">
        <f>P137-O137</f>
        <v/>
      </c>
      <c r="R137" s="64">
        <f>IFERROR(Q137/O137,0)</f>
        <v/>
      </c>
      <c r="S137" s="43" t="n"/>
    </row>
    <row r="138" ht="15" customHeight="1" s="54">
      <c r="A138" s="43" t="n">
        <v>134</v>
      </c>
      <c r="B138" s="43" t="n"/>
      <c r="C138" s="43" t="n"/>
      <c r="D138" s="25">
        <f>IFERROR(INDEX(Reference!$E:$E,MATCH("Mutual Fund|"&amp;C138&amp;"|"&amp;B138,Reference!$A:$A,0)),"")</f>
        <v/>
      </c>
      <c r="E138" s="25">
        <f>IFERROR(INDEX(Reference!$H:$H,MATCH("Mutual Fund|"&amp;C138&amp;"|"&amp;B138,Reference!$A:$A,0)),"")</f>
        <v/>
      </c>
      <c r="F138" s="25">
        <f>IFERROR(INDEX(Reference!$G:$G,MATCH("Mutual Fund|"&amp;C138&amp;"|"&amp;B138,Reference!$A:$A,0)),"")</f>
        <v/>
      </c>
      <c r="G138" s="25">
        <f>IFERROR(INDEX(Reference!$I:$I,MATCH("Mutual Fund|"&amp;C138&amp;"|"&amp;B138,Reference!$A:$A,0)),"")</f>
        <v/>
      </c>
      <c r="H138" s="78" t="n"/>
      <c r="I138" s="45" t="n"/>
      <c r="J138" s="45" t="n"/>
      <c r="K138" s="79">
        <f>IFERROR(IF(H138="","",(AsOfDate-H138)/365.25),"")</f>
        <v/>
      </c>
      <c r="L138" s="48" t="n"/>
      <c r="M138" s="48" t="n"/>
      <c r="N138" s="49">
        <f>IFERROR(INDEX(Prices!$E:$E,MATCH("Mutual Fund|"&amp;C138&amp;"|"&amp;B138,Prices!$A:$A,0)),0)</f>
        <v/>
      </c>
      <c r="O138" s="50" t="n"/>
      <c r="P138" s="50">
        <f>L138*N138</f>
        <v/>
      </c>
      <c r="Q138" s="50">
        <f>P138-O138</f>
        <v/>
      </c>
      <c r="R138" s="64">
        <f>IFERROR(Q138/O138,0)</f>
        <v/>
      </c>
      <c r="S138" s="43" t="n"/>
    </row>
    <row r="139" ht="15" customHeight="1" s="54">
      <c r="A139" s="43" t="n">
        <v>135</v>
      </c>
      <c r="B139" s="43" t="n"/>
      <c r="C139" s="43" t="n"/>
      <c r="D139" s="25">
        <f>IFERROR(INDEX(Reference!$E:$E,MATCH("Mutual Fund|"&amp;C139&amp;"|"&amp;B139,Reference!$A:$A,0)),"")</f>
        <v/>
      </c>
      <c r="E139" s="25">
        <f>IFERROR(INDEX(Reference!$H:$H,MATCH("Mutual Fund|"&amp;C139&amp;"|"&amp;B139,Reference!$A:$A,0)),"")</f>
        <v/>
      </c>
      <c r="F139" s="25">
        <f>IFERROR(INDEX(Reference!$G:$G,MATCH("Mutual Fund|"&amp;C139&amp;"|"&amp;B139,Reference!$A:$A,0)),"")</f>
        <v/>
      </c>
      <c r="G139" s="25">
        <f>IFERROR(INDEX(Reference!$I:$I,MATCH("Mutual Fund|"&amp;C139&amp;"|"&amp;B139,Reference!$A:$A,0)),"")</f>
        <v/>
      </c>
      <c r="H139" s="78" t="n"/>
      <c r="I139" s="45" t="n"/>
      <c r="J139" s="45" t="n"/>
      <c r="K139" s="79">
        <f>IFERROR(IF(H139="","",(AsOfDate-H139)/365.25),"")</f>
        <v/>
      </c>
      <c r="L139" s="48" t="n"/>
      <c r="M139" s="48" t="n"/>
      <c r="N139" s="49">
        <f>IFERROR(INDEX(Prices!$E:$E,MATCH("Mutual Fund|"&amp;C139&amp;"|"&amp;B139,Prices!$A:$A,0)),0)</f>
        <v/>
      </c>
      <c r="O139" s="50" t="n"/>
      <c r="P139" s="50">
        <f>L139*N139</f>
        <v/>
      </c>
      <c r="Q139" s="50">
        <f>P139-O139</f>
        <v/>
      </c>
      <c r="R139" s="64">
        <f>IFERROR(Q139/O139,0)</f>
        <v/>
      </c>
      <c r="S139" s="43" t="n"/>
    </row>
    <row r="140" ht="15" customHeight="1" s="54">
      <c r="A140" s="43" t="n">
        <v>136</v>
      </c>
      <c r="B140" s="43" t="n"/>
      <c r="C140" s="43" t="n"/>
      <c r="D140" s="25">
        <f>IFERROR(INDEX(Reference!$E:$E,MATCH("Mutual Fund|"&amp;C140&amp;"|"&amp;B140,Reference!$A:$A,0)),"")</f>
        <v/>
      </c>
      <c r="E140" s="25">
        <f>IFERROR(INDEX(Reference!$H:$H,MATCH("Mutual Fund|"&amp;C140&amp;"|"&amp;B140,Reference!$A:$A,0)),"")</f>
        <v/>
      </c>
      <c r="F140" s="25">
        <f>IFERROR(INDEX(Reference!$G:$G,MATCH("Mutual Fund|"&amp;C140&amp;"|"&amp;B140,Reference!$A:$A,0)),"")</f>
        <v/>
      </c>
      <c r="G140" s="25">
        <f>IFERROR(INDEX(Reference!$I:$I,MATCH("Mutual Fund|"&amp;C140&amp;"|"&amp;B140,Reference!$A:$A,0)),"")</f>
        <v/>
      </c>
      <c r="H140" s="78" t="n"/>
      <c r="I140" s="45" t="n"/>
      <c r="J140" s="45" t="n"/>
      <c r="K140" s="79">
        <f>IFERROR(IF(H140="","",(AsOfDate-H140)/365.25),"")</f>
        <v/>
      </c>
      <c r="L140" s="48" t="n"/>
      <c r="M140" s="48" t="n"/>
      <c r="N140" s="49">
        <f>IFERROR(INDEX(Prices!$E:$E,MATCH("Mutual Fund|"&amp;C140&amp;"|"&amp;B140,Prices!$A:$A,0)),0)</f>
        <v/>
      </c>
      <c r="O140" s="50" t="n"/>
      <c r="P140" s="50">
        <f>L140*N140</f>
        <v/>
      </c>
      <c r="Q140" s="50">
        <f>P140-O140</f>
        <v/>
      </c>
      <c r="R140" s="64">
        <f>IFERROR(Q140/O140,0)</f>
        <v/>
      </c>
      <c r="S140" s="43" t="n"/>
    </row>
    <row r="141" ht="15" customHeight="1" s="54">
      <c r="A141" s="43" t="n">
        <v>137</v>
      </c>
      <c r="B141" s="43" t="n"/>
      <c r="C141" s="43" t="n"/>
      <c r="D141" s="25">
        <f>IFERROR(INDEX(Reference!$E:$E,MATCH("Mutual Fund|"&amp;C141&amp;"|"&amp;B141,Reference!$A:$A,0)),"")</f>
        <v/>
      </c>
      <c r="E141" s="25">
        <f>IFERROR(INDEX(Reference!$H:$H,MATCH("Mutual Fund|"&amp;C141&amp;"|"&amp;B141,Reference!$A:$A,0)),"")</f>
        <v/>
      </c>
      <c r="F141" s="25">
        <f>IFERROR(INDEX(Reference!$G:$G,MATCH("Mutual Fund|"&amp;C141&amp;"|"&amp;B141,Reference!$A:$A,0)),"")</f>
        <v/>
      </c>
      <c r="G141" s="25">
        <f>IFERROR(INDEX(Reference!$I:$I,MATCH("Mutual Fund|"&amp;C141&amp;"|"&amp;B141,Reference!$A:$A,0)),"")</f>
        <v/>
      </c>
      <c r="H141" s="78" t="n"/>
      <c r="I141" s="45" t="n"/>
      <c r="J141" s="45" t="n"/>
      <c r="K141" s="79">
        <f>IFERROR(IF(H141="","",(AsOfDate-H141)/365.25),"")</f>
        <v/>
      </c>
      <c r="L141" s="48" t="n"/>
      <c r="M141" s="48" t="n"/>
      <c r="N141" s="49">
        <f>IFERROR(INDEX(Prices!$E:$E,MATCH("Mutual Fund|"&amp;C141&amp;"|"&amp;B141,Prices!$A:$A,0)),0)</f>
        <v/>
      </c>
      <c r="O141" s="50" t="n"/>
      <c r="P141" s="50">
        <f>L141*N141</f>
        <v/>
      </c>
      <c r="Q141" s="50">
        <f>P141-O141</f>
        <v/>
      </c>
      <c r="R141" s="64">
        <f>IFERROR(Q141/O141,0)</f>
        <v/>
      </c>
      <c r="S141" s="43" t="n"/>
    </row>
    <row r="142" ht="15" customHeight="1" s="54">
      <c r="A142" s="43" t="n">
        <v>138</v>
      </c>
      <c r="B142" s="43" t="n"/>
      <c r="C142" s="43" t="n"/>
      <c r="D142" s="25">
        <f>IFERROR(INDEX(Reference!$E:$E,MATCH("Mutual Fund|"&amp;C142&amp;"|"&amp;B142,Reference!$A:$A,0)),"")</f>
        <v/>
      </c>
      <c r="E142" s="25">
        <f>IFERROR(INDEX(Reference!$H:$H,MATCH("Mutual Fund|"&amp;C142&amp;"|"&amp;B142,Reference!$A:$A,0)),"")</f>
        <v/>
      </c>
      <c r="F142" s="25">
        <f>IFERROR(INDEX(Reference!$G:$G,MATCH("Mutual Fund|"&amp;C142&amp;"|"&amp;B142,Reference!$A:$A,0)),"")</f>
        <v/>
      </c>
      <c r="G142" s="25">
        <f>IFERROR(INDEX(Reference!$I:$I,MATCH("Mutual Fund|"&amp;C142&amp;"|"&amp;B142,Reference!$A:$A,0)),"")</f>
        <v/>
      </c>
      <c r="H142" s="78" t="n"/>
      <c r="I142" s="45" t="n"/>
      <c r="J142" s="45" t="n"/>
      <c r="K142" s="79">
        <f>IFERROR(IF(H142="","",(AsOfDate-H142)/365.25),"")</f>
        <v/>
      </c>
      <c r="L142" s="48" t="n"/>
      <c r="M142" s="48" t="n"/>
      <c r="N142" s="49">
        <f>IFERROR(INDEX(Prices!$E:$E,MATCH("Mutual Fund|"&amp;C142&amp;"|"&amp;B142,Prices!$A:$A,0)),0)</f>
        <v/>
      </c>
      <c r="O142" s="50" t="n"/>
      <c r="P142" s="50">
        <f>L142*N142</f>
        <v/>
      </c>
      <c r="Q142" s="50">
        <f>P142-O142</f>
        <v/>
      </c>
      <c r="R142" s="64">
        <f>IFERROR(Q142/O142,0)</f>
        <v/>
      </c>
      <c r="S142" s="43" t="n"/>
    </row>
    <row r="143" ht="15" customHeight="1" s="54">
      <c r="A143" s="43" t="n">
        <v>139</v>
      </c>
      <c r="B143" s="43" t="n"/>
      <c r="C143" s="43" t="n"/>
      <c r="D143" s="25">
        <f>IFERROR(INDEX(Reference!$E:$E,MATCH("Mutual Fund|"&amp;C143&amp;"|"&amp;B143,Reference!$A:$A,0)),"")</f>
        <v/>
      </c>
      <c r="E143" s="25">
        <f>IFERROR(INDEX(Reference!$H:$H,MATCH("Mutual Fund|"&amp;C143&amp;"|"&amp;B143,Reference!$A:$A,0)),"")</f>
        <v/>
      </c>
      <c r="F143" s="25">
        <f>IFERROR(INDEX(Reference!$G:$G,MATCH("Mutual Fund|"&amp;C143&amp;"|"&amp;B143,Reference!$A:$A,0)),"")</f>
        <v/>
      </c>
      <c r="G143" s="25">
        <f>IFERROR(INDEX(Reference!$I:$I,MATCH("Mutual Fund|"&amp;C143&amp;"|"&amp;B143,Reference!$A:$A,0)),"")</f>
        <v/>
      </c>
      <c r="H143" s="78" t="n"/>
      <c r="I143" s="45" t="n"/>
      <c r="J143" s="45" t="n"/>
      <c r="K143" s="79">
        <f>IFERROR(IF(H143="","",(AsOfDate-H143)/365.25),"")</f>
        <v/>
      </c>
      <c r="L143" s="48" t="n"/>
      <c r="M143" s="48" t="n"/>
      <c r="N143" s="49">
        <f>IFERROR(INDEX(Prices!$E:$E,MATCH("Mutual Fund|"&amp;C143&amp;"|"&amp;B143,Prices!$A:$A,0)),0)</f>
        <v/>
      </c>
      <c r="O143" s="50" t="n"/>
      <c r="P143" s="50">
        <f>L143*N143</f>
        <v/>
      </c>
      <c r="Q143" s="50">
        <f>P143-O143</f>
        <v/>
      </c>
      <c r="R143" s="64">
        <f>IFERROR(Q143/O143,0)</f>
        <v/>
      </c>
      <c r="S143" s="43" t="n"/>
    </row>
    <row r="144" ht="15" customHeight="1" s="54">
      <c r="A144" s="43" t="n">
        <v>140</v>
      </c>
      <c r="B144" s="43" t="n"/>
      <c r="C144" s="43" t="n"/>
      <c r="D144" s="25">
        <f>IFERROR(INDEX(Reference!$E:$E,MATCH("Mutual Fund|"&amp;C144&amp;"|"&amp;B144,Reference!$A:$A,0)),"")</f>
        <v/>
      </c>
      <c r="E144" s="25">
        <f>IFERROR(INDEX(Reference!$H:$H,MATCH("Mutual Fund|"&amp;C144&amp;"|"&amp;B144,Reference!$A:$A,0)),"")</f>
        <v/>
      </c>
      <c r="F144" s="25">
        <f>IFERROR(INDEX(Reference!$G:$G,MATCH("Mutual Fund|"&amp;C144&amp;"|"&amp;B144,Reference!$A:$A,0)),"")</f>
        <v/>
      </c>
      <c r="G144" s="25">
        <f>IFERROR(INDEX(Reference!$I:$I,MATCH("Mutual Fund|"&amp;C144&amp;"|"&amp;B144,Reference!$A:$A,0)),"")</f>
        <v/>
      </c>
      <c r="H144" s="78" t="n"/>
      <c r="I144" s="45" t="n"/>
      <c r="J144" s="45" t="n"/>
      <c r="K144" s="79">
        <f>IFERROR(IF(H144="","",(AsOfDate-H144)/365.25),"")</f>
        <v/>
      </c>
      <c r="L144" s="48" t="n"/>
      <c r="M144" s="48" t="n"/>
      <c r="N144" s="49">
        <f>IFERROR(INDEX(Prices!$E:$E,MATCH("Mutual Fund|"&amp;C144&amp;"|"&amp;B144,Prices!$A:$A,0)),0)</f>
        <v/>
      </c>
      <c r="O144" s="50" t="n"/>
      <c r="P144" s="50">
        <f>L144*N144</f>
        <v/>
      </c>
      <c r="Q144" s="50">
        <f>P144-O144</f>
        <v/>
      </c>
      <c r="R144" s="64">
        <f>IFERROR(Q144/O144,0)</f>
        <v/>
      </c>
      <c r="S144" s="43" t="n"/>
    </row>
    <row r="145" ht="15" customHeight="1" s="54">
      <c r="A145" s="43" t="n">
        <v>141</v>
      </c>
      <c r="B145" s="43" t="n"/>
      <c r="C145" s="43" t="n"/>
      <c r="D145" s="25">
        <f>IFERROR(INDEX(Reference!$E:$E,MATCH("Mutual Fund|"&amp;C145&amp;"|"&amp;B145,Reference!$A:$A,0)),"")</f>
        <v/>
      </c>
      <c r="E145" s="25">
        <f>IFERROR(INDEX(Reference!$H:$H,MATCH("Mutual Fund|"&amp;C145&amp;"|"&amp;B145,Reference!$A:$A,0)),"")</f>
        <v/>
      </c>
      <c r="F145" s="25">
        <f>IFERROR(INDEX(Reference!$G:$G,MATCH("Mutual Fund|"&amp;C145&amp;"|"&amp;B145,Reference!$A:$A,0)),"")</f>
        <v/>
      </c>
      <c r="G145" s="25">
        <f>IFERROR(INDEX(Reference!$I:$I,MATCH("Mutual Fund|"&amp;C145&amp;"|"&amp;B145,Reference!$A:$A,0)),"")</f>
        <v/>
      </c>
      <c r="H145" s="78" t="n"/>
      <c r="I145" s="45" t="n"/>
      <c r="J145" s="45" t="n"/>
      <c r="K145" s="79">
        <f>IFERROR(IF(H145="","",(AsOfDate-H145)/365.25),"")</f>
        <v/>
      </c>
      <c r="L145" s="48" t="n"/>
      <c r="M145" s="48" t="n"/>
      <c r="N145" s="49">
        <f>IFERROR(INDEX(Prices!$E:$E,MATCH("Mutual Fund|"&amp;C145&amp;"|"&amp;B145,Prices!$A:$A,0)),0)</f>
        <v/>
      </c>
      <c r="O145" s="50" t="n"/>
      <c r="P145" s="50">
        <f>L145*N145</f>
        <v/>
      </c>
      <c r="Q145" s="50">
        <f>P145-O145</f>
        <v/>
      </c>
      <c r="R145" s="64">
        <f>IFERROR(Q145/O145,0)</f>
        <v/>
      </c>
      <c r="S145" s="43" t="n"/>
    </row>
    <row r="146" ht="15" customHeight="1" s="54">
      <c r="A146" s="43" t="n">
        <v>142</v>
      </c>
      <c r="B146" s="43" t="n"/>
      <c r="C146" s="43" t="n"/>
      <c r="D146" s="25">
        <f>IFERROR(INDEX(Reference!$E:$E,MATCH("Mutual Fund|"&amp;C146&amp;"|"&amp;B146,Reference!$A:$A,0)),"")</f>
        <v/>
      </c>
      <c r="E146" s="25">
        <f>IFERROR(INDEX(Reference!$H:$H,MATCH("Mutual Fund|"&amp;C146&amp;"|"&amp;B146,Reference!$A:$A,0)),"")</f>
        <v/>
      </c>
      <c r="F146" s="25">
        <f>IFERROR(INDEX(Reference!$G:$G,MATCH("Mutual Fund|"&amp;C146&amp;"|"&amp;B146,Reference!$A:$A,0)),"")</f>
        <v/>
      </c>
      <c r="G146" s="25">
        <f>IFERROR(INDEX(Reference!$I:$I,MATCH("Mutual Fund|"&amp;C146&amp;"|"&amp;B146,Reference!$A:$A,0)),"")</f>
        <v/>
      </c>
      <c r="H146" s="78" t="n"/>
      <c r="I146" s="45" t="n"/>
      <c r="J146" s="45" t="n"/>
      <c r="K146" s="79">
        <f>IFERROR(IF(H146="","",(AsOfDate-H146)/365.25),"")</f>
        <v/>
      </c>
      <c r="L146" s="48" t="n"/>
      <c r="M146" s="48" t="n"/>
      <c r="N146" s="49">
        <f>IFERROR(INDEX(Prices!$E:$E,MATCH("Mutual Fund|"&amp;C146&amp;"|"&amp;B146,Prices!$A:$A,0)),0)</f>
        <v/>
      </c>
      <c r="O146" s="50" t="n"/>
      <c r="P146" s="50">
        <f>L146*N146</f>
        <v/>
      </c>
      <c r="Q146" s="50">
        <f>P146-O146</f>
        <v/>
      </c>
      <c r="R146" s="64">
        <f>IFERROR(Q146/O146,0)</f>
        <v/>
      </c>
      <c r="S146" s="43" t="n"/>
    </row>
    <row r="147" ht="15" customHeight="1" s="54">
      <c r="A147" s="43" t="n">
        <v>143</v>
      </c>
      <c r="B147" s="43" t="n"/>
      <c r="C147" s="43" t="n"/>
      <c r="D147" s="25">
        <f>IFERROR(INDEX(Reference!$E:$E,MATCH("Mutual Fund|"&amp;C147&amp;"|"&amp;B147,Reference!$A:$A,0)),"")</f>
        <v/>
      </c>
      <c r="E147" s="25">
        <f>IFERROR(INDEX(Reference!$H:$H,MATCH("Mutual Fund|"&amp;C147&amp;"|"&amp;B147,Reference!$A:$A,0)),"")</f>
        <v/>
      </c>
      <c r="F147" s="25">
        <f>IFERROR(INDEX(Reference!$G:$G,MATCH("Mutual Fund|"&amp;C147&amp;"|"&amp;B147,Reference!$A:$A,0)),"")</f>
        <v/>
      </c>
      <c r="G147" s="25">
        <f>IFERROR(INDEX(Reference!$I:$I,MATCH("Mutual Fund|"&amp;C147&amp;"|"&amp;B147,Reference!$A:$A,0)),"")</f>
        <v/>
      </c>
      <c r="H147" s="78" t="n"/>
      <c r="I147" s="45" t="n"/>
      <c r="J147" s="45" t="n"/>
      <c r="K147" s="79">
        <f>IFERROR(IF(H147="","",(AsOfDate-H147)/365.25),"")</f>
        <v/>
      </c>
      <c r="L147" s="48" t="n"/>
      <c r="M147" s="48" t="n"/>
      <c r="N147" s="49">
        <f>IFERROR(INDEX(Prices!$E:$E,MATCH("Mutual Fund|"&amp;C147&amp;"|"&amp;B147,Prices!$A:$A,0)),0)</f>
        <v/>
      </c>
      <c r="O147" s="50" t="n"/>
      <c r="P147" s="50">
        <f>L147*N147</f>
        <v/>
      </c>
      <c r="Q147" s="50">
        <f>P147-O147</f>
        <v/>
      </c>
      <c r="R147" s="64">
        <f>IFERROR(Q147/O147,0)</f>
        <v/>
      </c>
      <c r="S147" s="43" t="n"/>
    </row>
    <row r="148" ht="15" customHeight="1" s="54">
      <c r="A148" s="43" t="n">
        <v>144</v>
      </c>
      <c r="B148" s="43" t="n"/>
      <c r="C148" s="43" t="n"/>
      <c r="D148" s="25">
        <f>IFERROR(INDEX(Reference!$E:$E,MATCH("Mutual Fund|"&amp;C148&amp;"|"&amp;B148,Reference!$A:$A,0)),"")</f>
        <v/>
      </c>
      <c r="E148" s="25">
        <f>IFERROR(INDEX(Reference!$H:$H,MATCH("Mutual Fund|"&amp;C148&amp;"|"&amp;B148,Reference!$A:$A,0)),"")</f>
        <v/>
      </c>
      <c r="F148" s="25">
        <f>IFERROR(INDEX(Reference!$G:$G,MATCH("Mutual Fund|"&amp;C148&amp;"|"&amp;B148,Reference!$A:$A,0)),"")</f>
        <v/>
      </c>
      <c r="G148" s="25">
        <f>IFERROR(INDEX(Reference!$I:$I,MATCH("Mutual Fund|"&amp;C148&amp;"|"&amp;B148,Reference!$A:$A,0)),"")</f>
        <v/>
      </c>
      <c r="H148" s="78" t="n"/>
      <c r="I148" s="45" t="n"/>
      <c r="J148" s="45" t="n"/>
      <c r="K148" s="79">
        <f>IFERROR(IF(H148="","",(AsOfDate-H148)/365.25),"")</f>
        <v/>
      </c>
      <c r="L148" s="48" t="n"/>
      <c r="M148" s="48" t="n"/>
      <c r="N148" s="49">
        <f>IFERROR(INDEX(Prices!$E:$E,MATCH("Mutual Fund|"&amp;C148&amp;"|"&amp;B148,Prices!$A:$A,0)),0)</f>
        <v/>
      </c>
      <c r="O148" s="50" t="n"/>
      <c r="P148" s="50">
        <f>L148*N148</f>
        <v/>
      </c>
      <c r="Q148" s="50">
        <f>P148-O148</f>
        <v/>
      </c>
      <c r="R148" s="64">
        <f>IFERROR(Q148/O148,0)</f>
        <v/>
      </c>
      <c r="S148" s="43" t="n"/>
    </row>
    <row r="149" ht="15" customHeight="1" s="54">
      <c r="A149" s="43" t="n">
        <v>145</v>
      </c>
      <c r="B149" s="43" t="n"/>
      <c r="C149" s="43" t="n"/>
      <c r="D149" s="25">
        <f>IFERROR(INDEX(Reference!$E:$E,MATCH("Mutual Fund|"&amp;C149&amp;"|"&amp;B149,Reference!$A:$A,0)),"")</f>
        <v/>
      </c>
      <c r="E149" s="25">
        <f>IFERROR(INDEX(Reference!$H:$H,MATCH("Mutual Fund|"&amp;C149&amp;"|"&amp;B149,Reference!$A:$A,0)),"")</f>
        <v/>
      </c>
      <c r="F149" s="25">
        <f>IFERROR(INDEX(Reference!$G:$G,MATCH("Mutual Fund|"&amp;C149&amp;"|"&amp;B149,Reference!$A:$A,0)),"")</f>
        <v/>
      </c>
      <c r="G149" s="25">
        <f>IFERROR(INDEX(Reference!$I:$I,MATCH("Mutual Fund|"&amp;C149&amp;"|"&amp;B149,Reference!$A:$A,0)),"")</f>
        <v/>
      </c>
      <c r="H149" s="78" t="n"/>
      <c r="I149" s="45" t="n"/>
      <c r="J149" s="45" t="n"/>
      <c r="K149" s="79">
        <f>IFERROR(IF(H149="","",(AsOfDate-H149)/365.25),"")</f>
        <v/>
      </c>
      <c r="L149" s="48" t="n"/>
      <c r="M149" s="48" t="n"/>
      <c r="N149" s="49">
        <f>IFERROR(INDEX(Prices!$E:$E,MATCH("Mutual Fund|"&amp;C149&amp;"|"&amp;B149,Prices!$A:$A,0)),0)</f>
        <v/>
      </c>
      <c r="O149" s="50" t="n"/>
      <c r="P149" s="50">
        <f>L149*N149</f>
        <v/>
      </c>
      <c r="Q149" s="50">
        <f>P149-O149</f>
        <v/>
      </c>
      <c r="R149" s="64">
        <f>IFERROR(Q149/O149,0)</f>
        <v/>
      </c>
      <c r="S149" s="43" t="n"/>
    </row>
    <row r="150" ht="15" customHeight="1" s="54">
      <c r="A150" s="43" t="n">
        <v>146</v>
      </c>
      <c r="B150" s="43" t="n"/>
      <c r="C150" s="43" t="n"/>
      <c r="D150" s="25">
        <f>IFERROR(INDEX(Reference!$E:$E,MATCH("Mutual Fund|"&amp;C150&amp;"|"&amp;B150,Reference!$A:$A,0)),"")</f>
        <v/>
      </c>
      <c r="E150" s="25">
        <f>IFERROR(INDEX(Reference!$H:$H,MATCH("Mutual Fund|"&amp;C150&amp;"|"&amp;B150,Reference!$A:$A,0)),"")</f>
        <v/>
      </c>
      <c r="F150" s="25">
        <f>IFERROR(INDEX(Reference!$G:$G,MATCH("Mutual Fund|"&amp;C150&amp;"|"&amp;B150,Reference!$A:$A,0)),"")</f>
        <v/>
      </c>
      <c r="G150" s="25">
        <f>IFERROR(INDEX(Reference!$I:$I,MATCH("Mutual Fund|"&amp;C150&amp;"|"&amp;B150,Reference!$A:$A,0)),"")</f>
        <v/>
      </c>
      <c r="H150" s="78" t="n"/>
      <c r="I150" s="45" t="n"/>
      <c r="J150" s="45" t="n"/>
      <c r="K150" s="79">
        <f>IFERROR(IF(H150="","",(AsOfDate-H150)/365.25),"")</f>
        <v/>
      </c>
      <c r="L150" s="48" t="n"/>
      <c r="M150" s="48" t="n"/>
      <c r="N150" s="49">
        <f>IFERROR(INDEX(Prices!$E:$E,MATCH("Mutual Fund|"&amp;C150&amp;"|"&amp;B150,Prices!$A:$A,0)),0)</f>
        <v/>
      </c>
      <c r="O150" s="50" t="n"/>
      <c r="P150" s="50">
        <f>L150*N150</f>
        <v/>
      </c>
      <c r="Q150" s="50">
        <f>P150-O150</f>
        <v/>
      </c>
      <c r="R150" s="64">
        <f>IFERROR(Q150/O150,0)</f>
        <v/>
      </c>
      <c r="S150" s="43" t="n"/>
    </row>
    <row r="151" ht="15" customHeight="1" s="54">
      <c r="A151" s="43" t="n">
        <v>147</v>
      </c>
      <c r="B151" s="43" t="n"/>
      <c r="C151" s="43" t="n"/>
      <c r="D151" s="25">
        <f>IFERROR(INDEX(Reference!$E:$E,MATCH("Mutual Fund|"&amp;C151&amp;"|"&amp;B151,Reference!$A:$A,0)),"")</f>
        <v/>
      </c>
      <c r="E151" s="25">
        <f>IFERROR(INDEX(Reference!$H:$H,MATCH("Mutual Fund|"&amp;C151&amp;"|"&amp;B151,Reference!$A:$A,0)),"")</f>
        <v/>
      </c>
      <c r="F151" s="25">
        <f>IFERROR(INDEX(Reference!$G:$G,MATCH("Mutual Fund|"&amp;C151&amp;"|"&amp;B151,Reference!$A:$A,0)),"")</f>
        <v/>
      </c>
      <c r="G151" s="25">
        <f>IFERROR(INDEX(Reference!$I:$I,MATCH("Mutual Fund|"&amp;C151&amp;"|"&amp;B151,Reference!$A:$A,0)),"")</f>
        <v/>
      </c>
      <c r="H151" s="78" t="n"/>
      <c r="I151" s="45" t="n"/>
      <c r="J151" s="45" t="n"/>
      <c r="K151" s="79">
        <f>IFERROR(IF(H151="","",(AsOfDate-H151)/365.25),"")</f>
        <v/>
      </c>
      <c r="L151" s="48" t="n"/>
      <c r="M151" s="48" t="n"/>
      <c r="N151" s="49">
        <f>IFERROR(INDEX(Prices!$E:$E,MATCH("Mutual Fund|"&amp;C151&amp;"|"&amp;B151,Prices!$A:$A,0)),0)</f>
        <v/>
      </c>
      <c r="O151" s="50" t="n"/>
      <c r="P151" s="50">
        <f>L151*N151</f>
        <v/>
      </c>
      <c r="Q151" s="50">
        <f>P151-O151</f>
        <v/>
      </c>
      <c r="R151" s="64">
        <f>IFERROR(Q151/O151,0)</f>
        <v/>
      </c>
      <c r="S151" s="43" t="n"/>
    </row>
    <row r="152" ht="15" customHeight="1" s="54">
      <c r="A152" s="43" t="n">
        <v>148</v>
      </c>
      <c r="B152" s="43" t="n"/>
      <c r="C152" s="43" t="n"/>
      <c r="D152" s="25">
        <f>IFERROR(INDEX(Reference!$E:$E,MATCH("Mutual Fund|"&amp;C152&amp;"|"&amp;B152,Reference!$A:$A,0)),"")</f>
        <v/>
      </c>
      <c r="E152" s="25">
        <f>IFERROR(INDEX(Reference!$H:$H,MATCH("Mutual Fund|"&amp;C152&amp;"|"&amp;B152,Reference!$A:$A,0)),"")</f>
        <v/>
      </c>
      <c r="F152" s="25">
        <f>IFERROR(INDEX(Reference!$G:$G,MATCH("Mutual Fund|"&amp;C152&amp;"|"&amp;B152,Reference!$A:$A,0)),"")</f>
        <v/>
      </c>
      <c r="G152" s="25">
        <f>IFERROR(INDEX(Reference!$I:$I,MATCH("Mutual Fund|"&amp;C152&amp;"|"&amp;B152,Reference!$A:$A,0)),"")</f>
        <v/>
      </c>
      <c r="H152" s="78" t="n"/>
      <c r="I152" s="45" t="n"/>
      <c r="J152" s="45" t="n"/>
      <c r="K152" s="79">
        <f>IFERROR(IF(H152="","",(AsOfDate-H152)/365.25),"")</f>
        <v/>
      </c>
      <c r="L152" s="48" t="n"/>
      <c r="M152" s="48" t="n"/>
      <c r="N152" s="49">
        <f>IFERROR(INDEX(Prices!$E:$E,MATCH("Mutual Fund|"&amp;C152&amp;"|"&amp;B152,Prices!$A:$A,0)),0)</f>
        <v/>
      </c>
      <c r="O152" s="50" t="n"/>
      <c r="P152" s="50">
        <f>L152*N152</f>
        <v/>
      </c>
      <c r="Q152" s="50">
        <f>P152-O152</f>
        <v/>
      </c>
      <c r="R152" s="64">
        <f>IFERROR(Q152/O152,0)</f>
        <v/>
      </c>
      <c r="S152" s="43" t="n"/>
    </row>
    <row r="153" ht="15" customHeight="1" s="54">
      <c r="A153" s="43" t="n">
        <v>149</v>
      </c>
      <c r="B153" s="43" t="n"/>
      <c r="C153" s="43" t="n"/>
      <c r="D153" s="25">
        <f>IFERROR(INDEX(Reference!$E:$E,MATCH("Mutual Fund|"&amp;C153&amp;"|"&amp;B153,Reference!$A:$A,0)),"")</f>
        <v/>
      </c>
      <c r="E153" s="25">
        <f>IFERROR(INDEX(Reference!$H:$H,MATCH("Mutual Fund|"&amp;C153&amp;"|"&amp;B153,Reference!$A:$A,0)),"")</f>
        <v/>
      </c>
      <c r="F153" s="25">
        <f>IFERROR(INDEX(Reference!$G:$G,MATCH("Mutual Fund|"&amp;C153&amp;"|"&amp;B153,Reference!$A:$A,0)),"")</f>
        <v/>
      </c>
      <c r="G153" s="25">
        <f>IFERROR(INDEX(Reference!$I:$I,MATCH("Mutual Fund|"&amp;C153&amp;"|"&amp;B153,Reference!$A:$A,0)),"")</f>
        <v/>
      </c>
      <c r="H153" s="78" t="n"/>
      <c r="I153" s="45" t="n"/>
      <c r="J153" s="45" t="n"/>
      <c r="K153" s="79">
        <f>IFERROR(IF(H153="","",(AsOfDate-H153)/365.25),"")</f>
        <v/>
      </c>
      <c r="L153" s="48" t="n"/>
      <c r="M153" s="48" t="n"/>
      <c r="N153" s="49">
        <f>IFERROR(INDEX(Prices!$E:$E,MATCH("Mutual Fund|"&amp;C153&amp;"|"&amp;B153,Prices!$A:$A,0)),0)</f>
        <v/>
      </c>
      <c r="O153" s="50" t="n"/>
      <c r="P153" s="50">
        <f>L153*N153</f>
        <v/>
      </c>
      <c r="Q153" s="50">
        <f>P153-O153</f>
        <v/>
      </c>
      <c r="R153" s="64">
        <f>IFERROR(Q153/O153,0)</f>
        <v/>
      </c>
      <c r="S153" s="43" t="n"/>
    </row>
    <row r="154" ht="15" customHeight="1" s="54">
      <c r="A154" s="43" t="n">
        <v>150</v>
      </c>
      <c r="B154" s="43" t="n"/>
      <c r="C154" s="43" t="n"/>
      <c r="D154" s="25">
        <f>IFERROR(INDEX(Reference!$E:$E,MATCH("Mutual Fund|"&amp;C154&amp;"|"&amp;B154,Reference!$A:$A,0)),"")</f>
        <v/>
      </c>
      <c r="E154" s="25">
        <f>IFERROR(INDEX(Reference!$H:$H,MATCH("Mutual Fund|"&amp;C154&amp;"|"&amp;B154,Reference!$A:$A,0)),"")</f>
        <v/>
      </c>
      <c r="F154" s="25">
        <f>IFERROR(INDEX(Reference!$G:$G,MATCH("Mutual Fund|"&amp;C154&amp;"|"&amp;B154,Reference!$A:$A,0)),"")</f>
        <v/>
      </c>
      <c r="G154" s="25">
        <f>IFERROR(INDEX(Reference!$I:$I,MATCH("Mutual Fund|"&amp;C154&amp;"|"&amp;B154,Reference!$A:$A,0)),"")</f>
        <v/>
      </c>
      <c r="H154" s="78" t="n"/>
      <c r="I154" s="45" t="n"/>
      <c r="J154" s="45" t="n"/>
      <c r="K154" s="79">
        <f>IFERROR(IF(H154="","",(AsOfDate-H154)/365.25),"")</f>
        <v/>
      </c>
      <c r="L154" s="48" t="n"/>
      <c r="M154" s="48" t="n"/>
      <c r="N154" s="49">
        <f>IFERROR(INDEX(Prices!$E:$E,MATCH("Mutual Fund|"&amp;C154&amp;"|"&amp;B154,Prices!$A:$A,0)),0)</f>
        <v/>
      </c>
      <c r="O154" s="50" t="n"/>
      <c r="P154" s="50">
        <f>L154*N154</f>
        <v/>
      </c>
      <c r="Q154" s="50">
        <f>P154-O154</f>
        <v/>
      </c>
      <c r="R154" s="64">
        <f>IFERROR(Q154/O154,0)</f>
        <v/>
      </c>
      <c r="S154" s="43" t="n"/>
    </row>
    <row r="155" ht="15" customHeight="1" s="54">
      <c r="A155" s="43" t="n">
        <v>151</v>
      </c>
      <c r="B155" s="43" t="n"/>
      <c r="C155" s="43" t="n"/>
      <c r="D155" s="25">
        <f>IFERROR(INDEX(Reference!$E:$E,MATCH("Mutual Fund|"&amp;C155&amp;"|"&amp;B155,Reference!$A:$A,0)),"")</f>
        <v/>
      </c>
      <c r="E155" s="25">
        <f>IFERROR(INDEX(Reference!$H:$H,MATCH("Mutual Fund|"&amp;C155&amp;"|"&amp;B155,Reference!$A:$A,0)),"")</f>
        <v/>
      </c>
      <c r="F155" s="25">
        <f>IFERROR(INDEX(Reference!$G:$G,MATCH("Mutual Fund|"&amp;C155&amp;"|"&amp;B155,Reference!$A:$A,0)),"")</f>
        <v/>
      </c>
      <c r="G155" s="25">
        <f>IFERROR(INDEX(Reference!$I:$I,MATCH("Mutual Fund|"&amp;C155&amp;"|"&amp;B155,Reference!$A:$A,0)),"")</f>
        <v/>
      </c>
      <c r="H155" s="78" t="n"/>
      <c r="I155" s="45" t="n"/>
      <c r="J155" s="45" t="n"/>
      <c r="K155" s="79">
        <f>IFERROR(IF(H155="","",(AsOfDate-H155)/365.25),"")</f>
        <v/>
      </c>
      <c r="L155" s="48" t="n"/>
      <c r="M155" s="48" t="n"/>
      <c r="N155" s="49">
        <f>IFERROR(INDEX(Prices!$E:$E,MATCH("Mutual Fund|"&amp;C155&amp;"|"&amp;B155,Prices!$A:$A,0)),0)</f>
        <v/>
      </c>
      <c r="O155" s="50" t="n"/>
      <c r="P155" s="50">
        <f>L155*N155</f>
        <v/>
      </c>
      <c r="Q155" s="50">
        <f>P155-O155</f>
        <v/>
      </c>
      <c r="R155" s="64">
        <f>IFERROR(Q155/O155,0)</f>
        <v/>
      </c>
      <c r="S155" s="43" t="n"/>
    </row>
    <row r="156" ht="15" customHeight="1" s="54">
      <c r="A156" s="43" t="n">
        <v>152</v>
      </c>
      <c r="B156" s="43" t="n"/>
      <c r="C156" s="43" t="n"/>
      <c r="D156" s="25">
        <f>IFERROR(INDEX(Reference!$E:$E,MATCH("Mutual Fund|"&amp;C156&amp;"|"&amp;B156,Reference!$A:$A,0)),"")</f>
        <v/>
      </c>
      <c r="E156" s="25">
        <f>IFERROR(INDEX(Reference!$H:$H,MATCH("Mutual Fund|"&amp;C156&amp;"|"&amp;B156,Reference!$A:$A,0)),"")</f>
        <v/>
      </c>
      <c r="F156" s="25">
        <f>IFERROR(INDEX(Reference!$G:$G,MATCH("Mutual Fund|"&amp;C156&amp;"|"&amp;B156,Reference!$A:$A,0)),"")</f>
        <v/>
      </c>
      <c r="G156" s="25">
        <f>IFERROR(INDEX(Reference!$I:$I,MATCH("Mutual Fund|"&amp;C156&amp;"|"&amp;B156,Reference!$A:$A,0)),"")</f>
        <v/>
      </c>
      <c r="H156" s="78" t="n"/>
      <c r="I156" s="45" t="n"/>
      <c r="J156" s="45" t="n"/>
      <c r="K156" s="79">
        <f>IFERROR(IF(H156="","",(AsOfDate-H156)/365.25),"")</f>
        <v/>
      </c>
      <c r="L156" s="48" t="n"/>
      <c r="M156" s="48" t="n"/>
      <c r="N156" s="49">
        <f>IFERROR(INDEX(Prices!$E:$E,MATCH("Mutual Fund|"&amp;C156&amp;"|"&amp;B156,Prices!$A:$A,0)),0)</f>
        <v/>
      </c>
      <c r="O156" s="50" t="n"/>
      <c r="P156" s="50">
        <f>L156*N156</f>
        <v/>
      </c>
      <c r="Q156" s="50">
        <f>P156-O156</f>
        <v/>
      </c>
      <c r="R156" s="64">
        <f>IFERROR(Q156/O156,0)</f>
        <v/>
      </c>
      <c r="S156" s="43" t="n"/>
    </row>
    <row r="157" ht="15" customHeight="1" s="54">
      <c r="A157" s="43" t="n">
        <v>153</v>
      </c>
      <c r="B157" s="43" t="n"/>
      <c r="C157" s="43" t="n"/>
      <c r="D157" s="25">
        <f>IFERROR(INDEX(Reference!$E:$E,MATCH("Mutual Fund|"&amp;C157&amp;"|"&amp;B157,Reference!$A:$A,0)),"")</f>
        <v/>
      </c>
      <c r="E157" s="25">
        <f>IFERROR(INDEX(Reference!$H:$H,MATCH("Mutual Fund|"&amp;C157&amp;"|"&amp;B157,Reference!$A:$A,0)),"")</f>
        <v/>
      </c>
      <c r="F157" s="25">
        <f>IFERROR(INDEX(Reference!$G:$G,MATCH("Mutual Fund|"&amp;C157&amp;"|"&amp;B157,Reference!$A:$A,0)),"")</f>
        <v/>
      </c>
      <c r="G157" s="25">
        <f>IFERROR(INDEX(Reference!$I:$I,MATCH("Mutual Fund|"&amp;C157&amp;"|"&amp;B157,Reference!$A:$A,0)),"")</f>
        <v/>
      </c>
      <c r="H157" s="78" t="n"/>
      <c r="I157" s="45" t="n"/>
      <c r="J157" s="45" t="n"/>
      <c r="K157" s="79">
        <f>IFERROR(IF(H157="","",(AsOfDate-H157)/365.25),"")</f>
        <v/>
      </c>
      <c r="L157" s="48" t="n"/>
      <c r="M157" s="48" t="n"/>
      <c r="N157" s="49">
        <f>IFERROR(INDEX(Prices!$E:$E,MATCH("Mutual Fund|"&amp;C157&amp;"|"&amp;B157,Prices!$A:$A,0)),0)</f>
        <v/>
      </c>
      <c r="O157" s="50" t="n"/>
      <c r="P157" s="50">
        <f>L157*N157</f>
        <v/>
      </c>
      <c r="Q157" s="50">
        <f>P157-O157</f>
        <v/>
      </c>
      <c r="R157" s="64">
        <f>IFERROR(Q157/O157,0)</f>
        <v/>
      </c>
      <c r="S157" s="43" t="n"/>
    </row>
    <row r="158" ht="15" customHeight="1" s="54">
      <c r="A158" s="43" t="n">
        <v>154</v>
      </c>
      <c r="B158" s="43" t="n"/>
      <c r="C158" s="43" t="n"/>
      <c r="D158" s="25">
        <f>IFERROR(INDEX(Reference!$E:$E,MATCH("Mutual Fund|"&amp;C158&amp;"|"&amp;B158,Reference!$A:$A,0)),"")</f>
        <v/>
      </c>
      <c r="E158" s="25">
        <f>IFERROR(INDEX(Reference!$H:$H,MATCH("Mutual Fund|"&amp;C158&amp;"|"&amp;B158,Reference!$A:$A,0)),"")</f>
        <v/>
      </c>
      <c r="F158" s="25">
        <f>IFERROR(INDEX(Reference!$G:$G,MATCH("Mutual Fund|"&amp;C158&amp;"|"&amp;B158,Reference!$A:$A,0)),"")</f>
        <v/>
      </c>
      <c r="G158" s="25">
        <f>IFERROR(INDEX(Reference!$I:$I,MATCH("Mutual Fund|"&amp;C158&amp;"|"&amp;B158,Reference!$A:$A,0)),"")</f>
        <v/>
      </c>
      <c r="H158" s="78" t="n"/>
      <c r="I158" s="45" t="n"/>
      <c r="J158" s="45" t="n"/>
      <c r="K158" s="79">
        <f>IFERROR(IF(H158="","",(AsOfDate-H158)/365.25),"")</f>
        <v/>
      </c>
      <c r="L158" s="48" t="n"/>
      <c r="M158" s="48" t="n"/>
      <c r="N158" s="49">
        <f>IFERROR(INDEX(Prices!$E:$E,MATCH("Mutual Fund|"&amp;C158&amp;"|"&amp;B158,Prices!$A:$A,0)),0)</f>
        <v/>
      </c>
      <c r="O158" s="50" t="n"/>
      <c r="P158" s="50">
        <f>L158*N158</f>
        <v/>
      </c>
      <c r="Q158" s="50">
        <f>P158-O158</f>
        <v/>
      </c>
      <c r="R158" s="64">
        <f>IFERROR(Q158/O158,0)</f>
        <v/>
      </c>
      <c r="S158" s="43" t="n"/>
    </row>
    <row r="159" ht="15" customHeight="1" s="54">
      <c r="A159" s="43" t="n">
        <v>155</v>
      </c>
      <c r="B159" s="43" t="n"/>
      <c r="C159" s="43" t="n"/>
      <c r="D159" s="25">
        <f>IFERROR(INDEX(Reference!$E:$E,MATCH("Mutual Fund|"&amp;C159&amp;"|"&amp;B159,Reference!$A:$A,0)),"")</f>
        <v/>
      </c>
      <c r="E159" s="25">
        <f>IFERROR(INDEX(Reference!$H:$H,MATCH("Mutual Fund|"&amp;C159&amp;"|"&amp;B159,Reference!$A:$A,0)),"")</f>
        <v/>
      </c>
      <c r="F159" s="25">
        <f>IFERROR(INDEX(Reference!$G:$G,MATCH("Mutual Fund|"&amp;C159&amp;"|"&amp;B159,Reference!$A:$A,0)),"")</f>
        <v/>
      </c>
      <c r="G159" s="25">
        <f>IFERROR(INDEX(Reference!$I:$I,MATCH("Mutual Fund|"&amp;C159&amp;"|"&amp;B159,Reference!$A:$A,0)),"")</f>
        <v/>
      </c>
      <c r="H159" s="78" t="n"/>
      <c r="I159" s="45" t="n"/>
      <c r="J159" s="45" t="n"/>
      <c r="K159" s="79">
        <f>IFERROR(IF(H159="","",(AsOfDate-H159)/365.25),"")</f>
        <v/>
      </c>
      <c r="L159" s="48" t="n"/>
      <c r="M159" s="48" t="n"/>
      <c r="N159" s="49">
        <f>IFERROR(INDEX(Prices!$E:$E,MATCH("Mutual Fund|"&amp;C159&amp;"|"&amp;B159,Prices!$A:$A,0)),0)</f>
        <v/>
      </c>
      <c r="O159" s="50" t="n"/>
      <c r="P159" s="50">
        <f>L159*N159</f>
        <v/>
      </c>
      <c r="Q159" s="50">
        <f>P159-O159</f>
        <v/>
      </c>
      <c r="R159" s="64">
        <f>IFERROR(Q159/O159,0)</f>
        <v/>
      </c>
      <c r="S159" s="43" t="n"/>
    </row>
    <row r="160" ht="15" customHeight="1" s="54">
      <c r="A160" s="43" t="n">
        <v>156</v>
      </c>
      <c r="B160" s="43" t="n"/>
      <c r="C160" s="43" t="n"/>
      <c r="D160" s="25">
        <f>IFERROR(INDEX(Reference!$E:$E,MATCH("Mutual Fund|"&amp;C160&amp;"|"&amp;B160,Reference!$A:$A,0)),"")</f>
        <v/>
      </c>
      <c r="E160" s="25">
        <f>IFERROR(INDEX(Reference!$H:$H,MATCH("Mutual Fund|"&amp;C160&amp;"|"&amp;B160,Reference!$A:$A,0)),"")</f>
        <v/>
      </c>
      <c r="F160" s="25">
        <f>IFERROR(INDEX(Reference!$G:$G,MATCH("Mutual Fund|"&amp;C160&amp;"|"&amp;B160,Reference!$A:$A,0)),"")</f>
        <v/>
      </c>
      <c r="G160" s="25">
        <f>IFERROR(INDEX(Reference!$I:$I,MATCH("Mutual Fund|"&amp;C160&amp;"|"&amp;B160,Reference!$A:$A,0)),"")</f>
        <v/>
      </c>
      <c r="H160" s="78" t="n"/>
      <c r="I160" s="45" t="n"/>
      <c r="J160" s="45" t="n"/>
      <c r="K160" s="79">
        <f>IFERROR(IF(H160="","",(AsOfDate-H160)/365.25),"")</f>
        <v/>
      </c>
      <c r="L160" s="48" t="n"/>
      <c r="M160" s="48" t="n"/>
      <c r="N160" s="49">
        <f>IFERROR(INDEX(Prices!$E:$E,MATCH("Mutual Fund|"&amp;C160&amp;"|"&amp;B160,Prices!$A:$A,0)),0)</f>
        <v/>
      </c>
      <c r="O160" s="50" t="n"/>
      <c r="P160" s="50">
        <f>L160*N160</f>
        <v/>
      </c>
      <c r="Q160" s="50">
        <f>P160-O160</f>
        <v/>
      </c>
      <c r="R160" s="64">
        <f>IFERROR(Q160/O160,0)</f>
        <v/>
      </c>
      <c r="S160" s="43" t="n"/>
    </row>
    <row r="161" ht="15" customHeight="1" s="54">
      <c r="A161" s="43" t="n">
        <v>157</v>
      </c>
      <c r="B161" s="43" t="n"/>
      <c r="C161" s="43" t="n"/>
      <c r="D161" s="25">
        <f>IFERROR(INDEX(Reference!$E:$E,MATCH("Mutual Fund|"&amp;C161&amp;"|"&amp;B161,Reference!$A:$A,0)),"")</f>
        <v/>
      </c>
      <c r="E161" s="25">
        <f>IFERROR(INDEX(Reference!$H:$H,MATCH("Mutual Fund|"&amp;C161&amp;"|"&amp;B161,Reference!$A:$A,0)),"")</f>
        <v/>
      </c>
      <c r="F161" s="25">
        <f>IFERROR(INDEX(Reference!$G:$G,MATCH("Mutual Fund|"&amp;C161&amp;"|"&amp;B161,Reference!$A:$A,0)),"")</f>
        <v/>
      </c>
      <c r="G161" s="25">
        <f>IFERROR(INDEX(Reference!$I:$I,MATCH("Mutual Fund|"&amp;C161&amp;"|"&amp;B161,Reference!$A:$A,0)),"")</f>
        <v/>
      </c>
      <c r="H161" s="78" t="n"/>
      <c r="I161" s="45" t="n"/>
      <c r="J161" s="45" t="n"/>
      <c r="K161" s="79">
        <f>IFERROR(IF(H161="","",(AsOfDate-H161)/365.25),"")</f>
        <v/>
      </c>
      <c r="L161" s="48" t="n"/>
      <c r="M161" s="48" t="n"/>
      <c r="N161" s="49">
        <f>IFERROR(INDEX(Prices!$E:$E,MATCH("Mutual Fund|"&amp;C161&amp;"|"&amp;B161,Prices!$A:$A,0)),0)</f>
        <v/>
      </c>
      <c r="O161" s="50" t="n"/>
      <c r="P161" s="50">
        <f>L161*N161</f>
        <v/>
      </c>
      <c r="Q161" s="50">
        <f>P161-O161</f>
        <v/>
      </c>
      <c r="R161" s="64">
        <f>IFERROR(Q161/O161,0)</f>
        <v/>
      </c>
      <c r="S161" s="43" t="n"/>
    </row>
    <row r="162" ht="15" customHeight="1" s="54">
      <c r="A162" s="43" t="n">
        <v>158</v>
      </c>
      <c r="B162" s="43" t="n"/>
      <c r="C162" s="43" t="n"/>
      <c r="D162" s="25">
        <f>IFERROR(INDEX(Reference!$E:$E,MATCH("Mutual Fund|"&amp;C162&amp;"|"&amp;B162,Reference!$A:$A,0)),"")</f>
        <v/>
      </c>
      <c r="E162" s="25">
        <f>IFERROR(INDEX(Reference!$H:$H,MATCH("Mutual Fund|"&amp;C162&amp;"|"&amp;B162,Reference!$A:$A,0)),"")</f>
        <v/>
      </c>
      <c r="F162" s="25">
        <f>IFERROR(INDEX(Reference!$G:$G,MATCH("Mutual Fund|"&amp;C162&amp;"|"&amp;B162,Reference!$A:$A,0)),"")</f>
        <v/>
      </c>
      <c r="G162" s="25">
        <f>IFERROR(INDEX(Reference!$I:$I,MATCH("Mutual Fund|"&amp;C162&amp;"|"&amp;B162,Reference!$A:$A,0)),"")</f>
        <v/>
      </c>
      <c r="H162" s="78" t="n"/>
      <c r="I162" s="45" t="n"/>
      <c r="J162" s="45" t="n"/>
      <c r="K162" s="79">
        <f>IFERROR(IF(H162="","",(AsOfDate-H162)/365.25),"")</f>
        <v/>
      </c>
      <c r="L162" s="48" t="n"/>
      <c r="M162" s="48" t="n"/>
      <c r="N162" s="49">
        <f>IFERROR(INDEX(Prices!$E:$E,MATCH("Mutual Fund|"&amp;C162&amp;"|"&amp;B162,Prices!$A:$A,0)),0)</f>
        <v/>
      </c>
      <c r="O162" s="50" t="n"/>
      <c r="P162" s="50">
        <f>L162*N162</f>
        <v/>
      </c>
      <c r="Q162" s="50">
        <f>P162-O162</f>
        <v/>
      </c>
      <c r="R162" s="64">
        <f>IFERROR(Q162/O162,0)</f>
        <v/>
      </c>
      <c r="S162" s="43" t="n"/>
    </row>
    <row r="163" ht="15" customHeight="1" s="54">
      <c r="A163" s="43" t="n">
        <v>159</v>
      </c>
      <c r="B163" s="43" t="n"/>
      <c r="C163" s="43" t="n"/>
      <c r="D163" s="25">
        <f>IFERROR(INDEX(Reference!$E:$E,MATCH("Mutual Fund|"&amp;C163&amp;"|"&amp;B163,Reference!$A:$A,0)),"")</f>
        <v/>
      </c>
      <c r="E163" s="25">
        <f>IFERROR(INDEX(Reference!$H:$H,MATCH("Mutual Fund|"&amp;C163&amp;"|"&amp;B163,Reference!$A:$A,0)),"")</f>
        <v/>
      </c>
      <c r="F163" s="25">
        <f>IFERROR(INDEX(Reference!$G:$G,MATCH("Mutual Fund|"&amp;C163&amp;"|"&amp;B163,Reference!$A:$A,0)),"")</f>
        <v/>
      </c>
      <c r="G163" s="25">
        <f>IFERROR(INDEX(Reference!$I:$I,MATCH("Mutual Fund|"&amp;C163&amp;"|"&amp;B163,Reference!$A:$A,0)),"")</f>
        <v/>
      </c>
      <c r="H163" s="78" t="n"/>
      <c r="I163" s="45" t="n"/>
      <c r="J163" s="45" t="n"/>
      <c r="K163" s="79">
        <f>IFERROR(IF(H163="","",(AsOfDate-H163)/365.25),"")</f>
        <v/>
      </c>
      <c r="L163" s="48" t="n"/>
      <c r="M163" s="48" t="n"/>
      <c r="N163" s="49">
        <f>IFERROR(INDEX(Prices!$E:$E,MATCH("Mutual Fund|"&amp;C163&amp;"|"&amp;B163,Prices!$A:$A,0)),0)</f>
        <v/>
      </c>
      <c r="O163" s="50" t="n"/>
      <c r="P163" s="50">
        <f>L163*N163</f>
        <v/>
      </c>
      <c r="Q163" s="50">
        <f>P163-O163</f>
        <v/>
      </c>
      <c r="R163" s="64">
        <f>IFERROR(Q163/O163,0)</f>
        <v/>
      </c>
      <c r="S163" s="43" t="n"/>
    </row>
    <row r="164" ht="15" customHeight="1" s="54">
      <c r="A164" s="43" t="n">
        <v>160</v>
      </c>
      <c r="B164" s="43" t="n"/>
      <c r="C164" s="43" t="n"/>
      <c r="D164" s="25">
        <f>IFERROR(INDEX(Reference!$E:$E,MATCH("Mutual Fund|"&amp;C164&amp;"|"&amp;B164,Reference!$A:$A,0)),"")</f>
        <v/>
      </c>
      <c r="E164" s="25">
        <f>IFERROR(INDEX(Reference!$H:$H,MATCH("Mutual Fund|"&amp;C164&amp;"|"&amp;B164,Reference!$A:$A,0)),"")</f>
        <v/>
      </c>
      <c r="F164" s="25">
        <f>IFERROR(INDEX(Reference!$G:$G,MATCH("Mutual Fund|"&amp;C164&amp;"|"&amp;B164,Reference!$A:$A,0)),"")</f>
        <v/>
      </c>
      <c r="G164" s="25">
        <f>IFERROR(INDEX(Reference!$I:$I,MATCH("Mutual Fund|"&amp;C164&amp;"|"&amp;B164,Reference!$A:$A,0)),"")</f>
        <v/>
      </c>
      <c r="H164" s="78" t="n"/>
      <c r="I164" s="45" t="n"/>
      <c r="J164" s="45" t="n"/>
      <c r="K164" s="79">
        <f>IFERROR(IF(H164="","",(AsOfDate-H164)/365.25),"")</f>
        <v/>
      </c>
      <c r="L164" s="48" t="n"/>
      <c r="M164" s="48" t="n"/>
      <c r="N164" s="49">
        <f>IFERROR(INDEX(Prices!$E:$E,MATCH("Mutual Fund|"&amp;C164&amp;"|"&amp;B164,Prices!$A:$A,0)),0)</f>
        <v/>
      </c>
      <c r="O164" s="50" t="n"/>
      <c r="P164" s="50">
        <f>L164*N164</f>
        <v/>
      </c>
      <c r="Q164" s="50">
        <f>P164-O164</f>
        <v/>
      </c>
      <c r="R164" s="64">
        <f>IFERROR(Q164/O164,0)</f>
        <v/>
      </c>
      <c r="S164" s="43" t="n"/>
    </row>
    <row r="165" ht="15" customHeight="1" s="54">
      <c r="A165" s="20" t="inlineStr">
        <is>
          <t>TOTAL</t>
        </is>
      </c>
      <c r="B165" s="51" t="n"/>
      <c r="C165" s="51" t="n"/>
      <c r="D165" s="51" t="n"/>
      <c r="E165" s="51" t="n"/>
      <c r="F165" s="51" t="n"/>
      <c r="G165" s="51" t="n"/>
      <c r="H165" s="51" t="n"/>
      <c r="I165" s="51" t="n"/>
      <c r="J165" s="51" t="n"/>
      <c r="K165" s="51" t="n"/>
      <c r="L165" s="51" t="n"/>
      <c r="M165" s="51" t="n"/>
      <c r="N165" s="51" t="n"/>
      <c r="O165" s="66">
        <f>SUM(O5:O164)</f>
        <v/>
      </c>
      <c r="P165" s="66">
        <f>SUM(P5:P164)</f>
        <v/>
      </c>
      <c r="Q165" s="66">
        <f>SUM(Q5:Q164)</f>
        <v/>
      </c>
      <c r="R165" s="67">
        <f>IFERROR(Q165/O165,0)</f>
        <v/>
      </c>
      <c r="S165" s="51" t="n"/>
    </row>
  </sheetData>
  <autoFilter ref="A4:S164"/>
  <mergeCells count="1">
    <mergeCell ref="A2:S2"/>
  </mergeCells>
  <conditionalFormatting sqref="Q5:R164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M37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2" sqref="A2:M2"/>
    </sheetView>
  </sheetViews>
  <sheetFormatPr baseColWidth="10" defaultColWidth="8.6640625" defaultRowHeight="15"/>
  <cols>
    <col width="5" customWidth="1" style="54" min="1" max="1"/>
    <col width="22" customWidth="1" style="54" min="2" max="2"/>
    <col width="16" customWidth="1" style="54" min="3" max="3"/>
    <col width="20" customWidth="1" style="54" min="4" max="4"/>
    <col width="26" customWidth="1" style="54" min="5" max="5"/>
    <col width="16" customWidth="1" style="54" min="6" max="6"/>
    <col width="14" customWidth="1" style="54" min="7" max="7"/>
    <col width="12" customWidth="1" style="54" min="8" max="8"/>
    <col width="16" customWidth="1" style="54" min="9" max="11"/>
    <col width="12" customWidth="1" style="54" min="12" max="13"/>
  </cols>
  <sheetData>
    <row r="2" ht="30" customHeight="1" s="54">
      <c r="A2" s="9" t="inlineStr">
        <is>
          <t>MUTUAL FUND — ROLLUP BY FUND</t>
        </is>
      </c>
    </row>
    <row r="4" ht="36" customHeight="1" s="54">
      <c r="A4" s="15" t="inlineStr">
        <is>
          <t>#</t>
        </is>
      </c>
      <c r="B4" s="15" t="inlineStr">
        <is>
          <t>Fund Name</t>
        </is>
      </c>
      <c r="C4" s="15" t="inlineStr">
        <is>
          <t>AMC</t>
        </is>
      </c>
      <c r="D4" s="15" t="inlineStr">
        <is>
          <t>Asset Class</t>
        </is>
      </c>
      <c r="E4" s="15" t="inlineStr">
        <is>
          <t>Theme</t>
        </is>
      </c>
      <c r="F4" s="15" t="inlineStr">
        <is>
          <t>Geography</t>
        </is>
      </c>
      <c r="G4" s="15" t="inlineStr">
        <is>
          <t>Tax Status</t>
        </is>
      </c>
      <c r="H4" s="15" t="inlineStr">
        <is>
          <t>Lots</t>
        </is>
      </c>
      <c r="I4" s="15" t="inlineStr">
        <is>
          <t>Units</t>
        </is>
      </c>
      <c r="J4" s="15" t="inlineStr">
        <is>
          <t>Initial Inv (฿)</t>
        </is>
      </c>
      <c r="K4" s="15" t="inlineStr">
        <is>
          <t>Current Value (฿)</t>
        </is>
      </c>
      <c r="L4" s="15" t="inlineStr">
        <is>
          <t>Unrealized P&amp;L (฿)</t>
        </is>
      </c>
      <c r="M4" s="15" t="inlineStr">
        <is>
          <t>P&amp;L %</t>
        </is>
      </c>
    </row>
    <row r="5" ht="15" customHeight="1" s="54">
      <c r="A5" s="43" t="n">
        <v>1</v>
      </c>
      <c r="B5" s="43" t="n"/>
      <c r="C5" s="43" t="n"/>
      <c r="D5" s="25">
        <f>IFERROR(INDEX(Reference!$E:$E,MATCH("Mutual Fund|"&amp;B5&amp;"|"&amp;C5,Reference!$A:$A,0)),"")</f>
        <v/>
      </c>
      <c r="E5" s="25">
        <f>IFERROR(INDEX(Reference!$H:$H,MATCH("Mutual Fund|"&amp;B5&amp;"|"&amp;C5,Reference!$A:$A,0)),"")</f>
        <v/>
      </c>
      <c r="F5" s="25">
        <f>IFERROR(INDEX(Reference!$G:$G,MATCH("Mutual Fund|"&amp;B5&amp;"|"&amp;C5,Reference!$A:$A,0)),"")</f>
        <v/>
      </c>
      <c r="G5" s="25">
        <f>IFERROR(INDEX(Reference!$I:$I,MATCH("Mutual Fund|"&amp;B5&amp;"|"&amp;C5,Reference!$A:$A,0)),"")</f>
        <v/>
      </c>
      <c r="H5" s="52">
        <f>COUNTIFS('MF - Lots'!$C:$C,B5)</f>
        <v/>
      </c>
      <c r="I5" s="49">
        <f>SUMIFS('MF - Lots'!$L:$L,'MF - Lots'!$C:$C,B5)</f>
        <v/>
      </c>
      <c r="J5" s="63">
        <f>SUMIFS('MF - Lots'!$O:$O,'MF - Lots'!$C:$C,B5)</f>
        <v/>
      </c>
      <c r="K5" s="63">
        <f>SUMIFS('MF - Lots'!$P:$P,'MF - Lots'!$C:$C,B5)</f>
        <v/>
      </c>
      <c r="L5" s="65">
        <f>K5-J5</f>
        <v/>
      </c>
      <c r="M5" s="64">
        <f>IFERROR(L5/J5,0)</f>
        <v/>
      </c>
    </row>
    <row r="6" ht="15" customHeight="1" s="54">
      <c r="A6" s="43" t="n">
        <v>2</v>
      </c>
      <c r="B6" s="43" t="n"/>
      <c r="C6" s="43" t="n"/>
      <c r="D6" s="25">
        <f>IFERROR(INDEX(Reference!$E:$E,MATCH("Mutual Fund|"&amp;B6&amp;"|"&amp;C6,Reference!$A:$A,0)),"")</f>
        <v/>
      </c>
      <c r="E6" s="25">
        <f>IFERROR(INDEX(Reference!$H:$H,MATCH("Mutual Fund|"&amp;B6&amp;"|"&amp;C6,Reference!$A:$A,0)),"")</f>
        <v/>
      </c>
      <c r="F6" s="25">
        <f>IFERROR(INDEX(Reference!$G:$G,MATCH("Mutual Fund|"&amp;B6&amp;"|"&amp;C6,Reference!$A:$A,0)),"")</f>
        <v/>
      </c>
      <c r="G6" s="25">
        <f>IFERROR(INDEX(Reference!$I:$I,MATCH("Mutual Fund|"&amp;B6&amp;"|"&amp;C6,Reference!$A:$A,0)),"")</f>
        <v/>
      </c>
      <c r="H6" s="52">
        <f>COUNTIFS('MF - Lots'!$C:$C,B6)</f>
        <v/>
      </c>
      <c r="I6" s="49">
        <f>SUMIFS('MF - Lots'!$L:$L,'MF - Lots'!$C:$C,B6)</f>
        <v/>
      </c>
      <c r="J6" s="63">
        <f>SUMIFS('MF - Lots'!$O:$O,'MF - Lots'!$C:$C,B6)</f>
        <v/>
      </c>
      <c r="K6" s="63">
        <f>SUMIFS('MF - Lots'!$P:$P,'MF - Lots'!$C:$C,B6)</f>
        <v/>
      </c>
      <c r="L6" s="65">
        <f>K6-J6</f>
        <v/>
      </c>
      <c r="M6" s="64">
        <f>IFERROR(L6/J6,0)</f>
        <v/>
      </c>
    </row>
    <row r="7" ht="15" customHeight="1" s="54">
      <c r="A7" s="43" t="n">
        <v>3</v>
      </c>
      <c r="B7" s="43" t="n"/>
      <c r="C7" s="43" t="n"/>
      <c r="D7" s="25">
        <f>IFERROR(INDEX(Reference!$E:$E,MATCH("Mutual Fund|"&amp;B7&amp;"|"&amp;C7,Reference!$A:$A,0)),"")</f>
        <v/>
      </c>
      <c r="E7" s="25">
        <f>IFERROR(INDEX(Reference!$H:$H,MATCH("Mutual Fund|"&amp;B7&amp;"|"&amp;C7,Reference!$A:$A,0)),"")</f>
        <v/>
      </c>
      <c r="F7" s="25">
        <f>IFERROR(INDEX(Reference!$G:$G,MATCH("Mutual Fund|"&amp;B7&amp;"|"&amp;C7,Reference!$A:$A,0)),"")</f>
        <v/>
      </c>
      <c r="G7" s="25">
        <f>IFERROR(INDEX(Reference!$I:$I,MATCH("Mutual Fund|"&amp;B7&amp;"|"&amp;C7,Reference!$A:$A,0)),"")</f>
        <v/>
      </c>
      <c r="H7" s="52">
        <f>COUNTIFS('MF - Lots'!$C:$C,B7)</f>
        <v/>
      </c>
      <c r="I7" s="49">
        <f>SUMIFS('MF - Lots'!$L:$L,'MF - Lots'!$C:$C,B7)</f>
        <v/>
      </c>
      <c r="J7" s="63">
        <f>SUMIFS('MF - Lots'!$O:$O,'MF - Lots'!$C:$C,B7)</f>
        <v/>
      </c>
      <c r="K7" s="63">
        <f>SUMIFS('MF - Lots'!$P:$P,'MF - Lots'!$C:$C,B7)</f>
        <v/>
      </c>
      <c r="L7" s="65">
        <f>K7-J7</f>
        <v/>
      </c>
      <c r="M7" s="64">
        <f>IFERROR(L7/J7,0)</f>
        <v/>
      </c>
    </row>
    <row r="8" ht="15" customHeight="1" s="54">
      <c r="A8" s="43" t="n">
        <v>4</v>
      </c>
      <c r="B8" s="43" t="n"/>
      <c r="C8" s="43" t="n"/>
      <c r="D8" s="25">
        <f>IFERROR(INDEX(Reference!$E:$E,MATCH("Mutual Fund|"&amp;B8&amp;"|"&amp;C8,Reference!$A:$A,0)),"")</f>
        <v/>
      </c>
      <c r="E8" s="25">
        <f>IFERROR(INDEX(Reference!$H:$H,MATCH("Mutual Fund|"&amp;B8&amp;"|"&amp;C8,Reference!$A:$A,0)),"")</f>
        <v/>
      </c>
      <c r="F8" s="25">
        <f>IFERROR(INDEX(Reference!$G:$G,MATCH("Mutual Fund|"&amp;B8&amp;"|"&amp;C8,Reference!$A:$A,0)),"")</f>
        <v/>
      </c>
      <c r="G8" s="25">
        <f>IFERROR(INDEX(Reference!$I:$I,MATCH("Mutual Fund|"&amp;B8&amp;"|"&amp;C8,Reference!$A:$A,0)),"")</f>
        <v/>
      </c>
      <c r="H8" s="52">
        <f>COUNTIFS('MF - Lots'!$C:$C,B8)</f>
        <v/>
      </c>
      <c r="I8" s="49">
        <f>SUMIFS('MF - Lots'!$L:$L,'MF - Lots'!$C:$C,B8)</f>
        <v/>
      </c>
      <c r="J8" s="63">
        <f>SUMIFS('MF - Lots'!$O:$O,'MF - Lots'!$C:$C,B8)</f>
        <v/>
      </c>
      <c r="K8" s="63">
        <f>SUMIFS('MF - Lots'!$P:$P,'MF - Lots'!$C:$C,B8)</f>
        <v/>
      </c>
      <c r="L8" s="65">
        <f>K8-J8</f>
        <v/>
      </c>
      <c r="M8" s="64">
        <f>IFERROR(L8/J8,0)</f>
        <v/>
      </c>
    </row>
    <row r="9" ht="15" customHeight="1" s="54">
      <c r="A9" s="43" t="n">
        <v>5</v>
      </c>
      <c r="B9" s="43" t="n"/>
      <c r="C9" s="43" t="n"/>
      <c r="D9" s="25">
        <f>IFERROR(INDEX(Reference!$E:$E,MATCH("Mutual Fund|"&amp;B9&amp;"|"&amp;C9,Reference!$A:$A,0)),"")</f>
        <v/>
      </c>
      <c r="E9" s="25">
        <f>IFERROR(INDEX(Reference!$H:$H,MATCH("Mutual Fund|"&amp;B9&amp;"|"&amp;C9,Reference!$A:$A,0)),"")</f>
        <v/>
      </c>
      <c r="F9" s="25">
        <f>IFERROR(INDEX(Reference!$G:$G,MATCH("Mutual Fund|"&amp;B9&amp;"|"&amp;C9,Reference!$A:$A,0)),"")</f>
        <v/>
      </c>
      <c r="G9" s="25">
        <f>IFERROR(INDEX(Reference!$I:$I,MATCH("Mutual Fund|"&amp;B9&amp;"|"&amp;C9,Reference!$A:$A,0)),"")</f>
        <v/>
      </c>
      <c r="H9" s="52">
        <f>COUNTIFS('MF - Lots'!$C:$C,B9)</f>
        <v/>
      </c>
      <c r="I9" s="49">
        <f>SUMIFS('MF - Lots'!$L:$L,'MF - Lots'!$C:$C,B9)</f>
        <v/>
      </c>
      <c r="J9" s="63">
        <f>SUMIFS('MF - Lots'!$O:$O,'MF - Lots'!$C:$C,B9)</f>
        <v/>
      </c>
      <c r="K9" s="63">
        <f>SUMIFS('MF - Lots'!$P:$P,'MF - Lots'!$C:$C,B9)</f>
        <v/>
      </c>
      <c r="L9" s="65">
        <f>K9-J9</f>
        <v/>
      </c>
      <c r="M9" s="64">
        <f>IFERROR(L9/J9,0)</f>
        <v/>
      </c>
    </row>
    <row r="10" ht="15" customHeight="1" s="54">
      <c r="A10" s="43" t="n">
        <v>6</v>
      </c>
      <c r="B10" s="43" t="n"/>
      <c r="C10" s="43" t="n"/>
      <c r="D10" s="25">
        <f>IFERROR(INDEX(Reference!$E:$E,MATCH("Mutual Fund|"&amp;B10&amp;"|"&amp;C10,Reference!$A:$A,0)),"")</f>
        <v/>
      </c>
      <c r="E10" s="25">
        <f>IFERROR(INDEX(Reference!$H:$H,MATCH("Mutual Fund|"&amp;B10&amp;"|"&amp;C10,Reference!$A:$A,0)),"")</f>
        <v/>
      </c>
      <c r="F10" s="25">
        <f>IFERROR(INDEX(Reference!$G:$G,MATCH("Mutual Fund|"&amp;B10&amp;"|"&amp;C10,Reference!$A:$A,0)),"")</f>
        <v/>
      </c>
      <c r="G10" s="25">
        <f>IFERROR(INDEX(Reference!$I:$I,MATCH("Mutual Fund|"&amp;B10&amp;"|"&amp;C10,Reference!$A:$A,0)),"")</f>
        <v/>
      </c>
      <c r="H10" s="52">
        <f>COUNTIFS('MF - Lots'!$C:$C,B10)</f>
        <v/>
      </c>
      <c r="I10" s="49">
        <f>SUMIFS('MF - Lots'!$L:$L,'MF - Lots'!$C:$C,B10)</f>
        <v/>
      </c>
      <c r="J10" s="63">
        <f>SUMIFS('MF - Lots'!$O:$O,'MF - Lots'!$C:$C,B10)</f>
        <v/>
      </c>
      <c r="K10" s="63">
        <f>SUMIFS('MF - Lots'!$P:$P,'MF - Lots'!$C:$C,B10)</f>
        <v/>
      </c>
      <c r="L10" s="65">
        <f>K10-J10</f>
        <v/>
      </c>
      <c r="M10" s="64">
        <f>IFERROR(L10/J10,0)</f>
        <v/>
      </c>
    </row>
    <row r="11" ht="15" customHeight="1" s="54">
      <c r="A11" s="43" t="n">
        <v>7</v>
      </c>
      <c r="B11" s="43" t="n"/>
      <c r="C11" s="43" t="n"/>
      <c r="D11" s="25">
        <f>IFERROR(INDEX(Reference!$E:$E,MATCH("Mutual Fund|"&amp;B11&amp;"|"&amp;C11,Reference!$A:$A,0)),"")</f>
        <v/>
      </c>
      <c r="E11" s="25">
        <f>IFERROR(INDEX(Reference!$H:$H,MATCH("Mutual Fund|"&amp;B11&amp;"|"&amp;C11,Reference!$A:$A,0)),"")</f>
        <v/>
      </c>
      <c r="F11" s="25">
        <f>IFERROR(INDEX(Reference!$G:$G,MATCH("Mutual Fund|"&amp;B11&amp;"|"&amp;C11,Reference!$A:$A,0)),"")</f>
        <v/>
      </c>
      <c r="G11" s="25">
        <f>IFERROR(INDEX(Reference!$I:$I,MATCH("Mutual Fund|"&amp;B11&amp;"|"&amp;C11,Reference!$A:$A,0)),"")</f>
        <v/>
      </c>
      <c r="H11" s="52">
        <f>COUNTIFS('MF - Lots'!$C:$C,B11)</f>
        <v/>
      </c>
      <c r="I11" s="49">
        <f>SUMIFS('MF - Lots'!$L:$L,'MF - Lots'!$C:$C,B11)</f>
        <v/>
      </c>
      <c r="J11" s="63">
        <f>SUMIFS('MF - Lots'!$O:$O,'MF - Lots'!$C:$C,B11)</f>
        <v/>
      </c>
      <c r="K11" s="63">
        <f>SUMIFS('MF - Lots'!$P:$P,'MF - Lots'!$C:$C,B11)</f>
        <v/>
      </c>
      <c r="L11" s="65">
        <f>K11-J11</f>
        <v/>
      </c>
      <c r="M11" s="64">
        <f>IFERROR(L11/J11,0)</f>
        <v/>
      </c>
    </row>
    <row r="12" ht="15" customHeight="1" s="54">
      <c r="A12" s="43" t="n">
        <v>8</v>
      </c>
      <c r="B12" s="43" t="n"/>
      <c r="C12" s="43" t="n"/>
      <c r="D12" s="25">
        <f>IFERROR(INDEX(Reference!$E:$E,MATCH("Mutual Fund|"&amp;B12&amp;"|"&amp;C12,Reference!$A:$A,0)),"")</f>
        <v/>
      </c>
      <c r="E12" s="25">
        <f>IFERROR(INDEX(Reference!$H:$H,MATCH("Mutual Fund|"&amp;B12&amp;"|"&amp;C12,Reference!$A:$A,0)),"")</f>
        <v/>
      </c>
      <c r="F12" s="25">
        <f>IFERROR(INDEX(Reference!$G:$G,MATCH("Mutual Fund|"&amp;B12&amp;"|"&amp;C12,Reference!$A:$A,0)),"")</f>
        <v/>
      </c>
      <c r="G12" s="25">
        <f>IFERROR(INDEX(Reference!$I:$I,MATCH("Mutual Fund|"&amp;B12&amp;"|"&amp;C12,Reference!$A:$A,0)),"")</f>
        <v/>
      </c>
      <c r="H12" s="52">
        <f>COUNTIFS('MF - Lots'!$C:$C,B12)</f>
        <v/>
      </c>
      <c r="I12" s="49">
        <f>SUMIFS('MF - Lots'!$L:$L,'MF - Lots'!$C:$C,B12)</f>
        <v/>
      </c>
      <c r="J12" s="63">
        <f>SUMIFS('MF - Lots'!$O:$O,'MF - Lots'!$C:$C,B12)</f>
        <v/>
      </c>
      <c r="K12" s="63">
        <f>SUMIFS('MF - Lots'!$P:$P,'MF - Lots'!$C:$C,B12)</f>
        <v/>
      </c>
      <c r="L12" s="65">
        <f>K12-J12</f>
        <v/>
      </c>
      <c r="M12" s="64">
        <f>IFERROR(L12/J12,0)</f>
        <v/>
      </c>
    </row>
    <row r="13" ht="15" customHeight="1" s="54">
      <c r="A13" s="43" t="n">
        <v>9</v>
      </c>
      <c r="B13" s="43" t="n"/>
      <c r="C13" s="43" t="n"/>
      <c r="D13" s="25">
        <f>IFERROR(INDEX(Reference!$E:$E,MATCH("Mutual Fund|"&amp;B13&amp;"|"&amp;C13,Reference!$A:$A,0)),"")</f>
        <v/>
      </c>
      <c r="E13" s="25">
        <f>IFERROR(INDEX(Reference!$H:$H,MATCH("Mutual Fund|"&amp;B13&amp;"|"&amp;C13,Reference!$A:$A,0)),"")</f>
        <v/>
      </c>
      <c r="F13" s="25">
        <f>IFERROR(INDEX(Reference!$G:$G,MATCH("Mutual Fund|"&amp;B13&amp;"|"&amp;C13,Reference!$A:$A,0)),"")</f>
        <v/>
      </c>
      <c r="G13" s="25">
        <f>IFERROR(INDEX(Reference!$I:$I,MATCH("Mutual Fund|"&amp;B13&amp;"|"&amp;C13,Reference!$A:$A,0)),"")</f>
        <v/>
      </c>
      <c r="H13" s="52">
        <f>COUNTIFS('MF - Lots'!$C:$C,B13)</f>
        <v/>
      </c>
      <c r="I13" s="49">
        <f>SUMIFS('MF - Lots'!$L:$L,'MF - Lots'!$C:$C,B13)</f>
        <v/>
      </c>
      <c r="J13" s="63">
        <f>SUMIFS('MF - Lots'!$O:$O,'MF - Lots'!$C:$C,B13)</f>
        <v/>
      </c>
      <c r="K13" s="63">
        <f>SUMIFS('MF - Lots'!$P:$P,'MF - Lots'!$C:$C,B13)</f>
        <v/>
      </c>
      <c r="L13" s="65">
        <f>K13-J13</f>
        <v/>
      </c>
      <c r="M13" s="64">
        <f>IFERROR(L13/J13,0)</f>
        <v/>
      </c>
    </row>
    <row r="14" ht="15" customHeight="1" s="54">
      <c r="A14" s="43" t="n">
        <v>10</v>
      </c>
      <c r="B14" s="43" t="n"/>
      <c r="C14" s="43" t="n"/>
      <c r="D14" s="25">
        <f>IFERROR(INDEX(Reference!$E:$E,MATCH("Mutual Fund|"&amp;B14&amp;"|"&amp;C14,Reference!$A:$A,0)),"")</f>
        <v/>
      </c>
      <c r="E14" s="25">
        <f>IFERROR(INDEX(Reference!$H:$H,MATCH("Mutual Fund|"&amp;B14&amp;"|"&amp;C14,Reference!$A:$A,0)),"")</f>
        <v/>
      </c>
      <c r="F14" s="25">
        <f>IFERROR(INDEX(Reference!$G:$G,MATCH("Mutual Fund|"&amp;B14&amp;"|"&amp;C14,Reference!$A:$A,0)),"")</f>
        <v/>
      </c>
      <c r="G14" s="25">
        <f>IFERROR(INDEX(Reference!$I:$I,MATCH("Mutual Fund|"&amp;B14&amp;"|"&amp;C14,Reference!$A:$A,0)),"")</f>
        <v/>
      </c>
      <c r="H14" s="52">
        <f>COUNTIFS('MF - Lots'!$C:$C,B14)</f>
        <v/>
      </c>
      <c r="I14" s="49">
        <f>SUMIFS('MF - Lots'!$L:$L,'MF - Lots'!$C:$C,B14)</f>
        <v/>
      </c>
      <c r="J14" s="63">
        <f>SUMIFS('MF - Lots'!$O:$O,'MF - Lots'!$C:$C,B14)</f>
        <v/>
      </c>
      <c r="K14" s="63">
        <f>SUMIFS('MF - Lots'!$P:$P,'MF - Lots'!$C:$C,B14)</f>
        <v/>
      </c>
      <c r="L14" s="65">
        <f>K14-J14</f>
        <v/>
      </c>
      <c r="M14" s="64">
        <f>IFERROR(L14/J14,0)</f>
        <v/>
      </c>
    </row>
    <row r="15" ht="15" customHeight="1" s="54">
      <c r="A15" s="43" t="n">
        <v>11</v>
      </c>
      <c r="B15" s="43" t="n"/>
      <c r="C15" s="43" t="n"/>
      <c r="D15" s="25">
        <f>IFERROR(INDEX(Reference!$E:$E,MATCH("Mutual Fund|"&amp;B15&amp;"|"&amp;C15,Reference!$A:$A,0)),"")</f>
        <v/>
      </c>
      <c r="E15" s="25">
        <f>IFERROR(INDEX(Reference!$H:$H,MATCH("Mutual Fund|"&amp;B15&amp;"|"&amp;C15,Reference!$A:$A,0)),"")</f>
        <v/>
      </c>
      <c r="F15" s="25">
        <f>IFERROR(INDEX(Reference!$G:$G,MATCH("Mutual Fund|"&amp;B15&amp;"|"&amp;C15,Reference!$A:$A,0)),"")</f>
        <v/>
      </c>
      <c r="G15" s="25">
        <f>IFERROR(INDEX(Reference!$I:$I,MATCH("Mutual Fund|"&amp;B15&amp;"|"&amp;C15,Reference!$A:$A,0)),"")</f>
        <v/>
      </c>
      <c r="H15" s="52">
        <f>COUNTIFS('MF - Lots'!$C:$C,B15)</f>
        <v/>
      </c>
      <c r="I15" s="49">
        <f>SUMIFS('MF - Lots'!$L:$L,'MF - Lots'!$C:$C,B15)</f>
        <v/>
      </c>
      <c r="J15" s="63">
        <f>SUMIFS('MF - Lots'!$O:$O,'MF - Lots'!$C:$C,B15)</f>
        <v/>
      </c>
      <c r="K15" s="63">
        <f>SUMIFS('MF - Lots'!$P:$P,'MF - Lots'!$C:$C,B15)</f>
        <v/>
      </c>
      <c r="L15" s="65">
        <f>K15-J15</f>
        <v/>
      </c>
      <c r="M15" s="64">
        <f>IFERROR(L15/J15,0)</f>
        <v/>
      </c>
    </row>
    <row r="16" ht="15" customHeight="1" s="54">
      <c r="A16" s="43" t="n">
        <v>12</v>
      </c>
      <c r="B16" s="43" t="n"/>
      <c r="C16" s="43" t="n"/>
      <c r="D16" s="25">
        <f>IFERROR(INDEX(Reference!$E:$E,MATCH("Mutual Fund|"&amp;B16&amp;"|"&amp;C16,Reference!$A:$A,0)),"")</f>
        <v/>
      </c>
      <c r="E16" s="25">
        <f>IFERROR(INDEX(Reference!$H:$H,MATCH("Mutual Fund|"&amp;B16&amp;"|"&amp;C16,Reference!$A:$A,0)),"")</f>
        <v/>
      </c>
      <c r="F16" s="25">
        <f>IFERROR(INDEX(Reference!$G:$G,MATCH("Mutual Fund|"&amp;B16&amp;"|"&amp;C16,Reference!$A:$A,0)),"")</f>
        <v/>
      </c>
      <c r="G16" s="25">
        <f>IFERROR(INDEX(Reference!$I:$I,MATCH("Mutual Fund|"&amp;B16&amp;"|"&amp;C16,Reference!$A:$A,0)),"")</f>
        <v/>
      </c>
      <c r="H16" s="52">
        <f>COUNTIFS('MF - Lots'!$C:$C,B16)</f>
        <v/>
      </c>
      <c r="I16" s="49">
        <f>SUMIFS('MF - Lots'!$L:$L,'MF - Lots'!$C:$C,B16)</f>
        <v/>
      </c>
      <c r="J16" s="63">
        <f>SUMIFS('MF - Lots'!$O:$O,'MF - Lots'!$C:$C,B16)</f>
        <v/>
      </c>
      <c r="K16" s="63">
        <f>SUMIFS('MF - Lots'!$P:$P,'MF - Lots'!$C:$C,B16)</f>
        <v/>
      </c>
      <c r="L16" s="65">
        <f>K16-J16</f>
        <v/>
      </c>
      <c r="M16" s="64">
        <f>IFERROR(L16/J16,0)</f>
        <v/>
      </c>
    </row>
    <row r="17" ht="15" customHeight="1" s="54">
      <c r="A17" s="43" t="n">
        <v>13</v>
      </c>
      <c r="B17" s="43" t="n"/>
      <c r="C17" s="43" t="n"/>
      <c r="D17" s="25">
        <f>IFERROR(INDEX(Reference!$E:$E,MATCH("Mutual Fund|"&amp;B17&amp;"|"&amp;C17,Reference!$A:$A,0)),"")</f>
        <v/>
      </c>
      <c r="E17" s="25">
        <f>IFERROR(INDEX(Reference!$H:$H,MATCH("Mutual Fund|"&amp;B17&amp;"|"&amp;C17,Reference!$A:$A,0)),"")</f>
        <v/>
      </c>
      <c r="F17" s="25">
        <f>IFERROR(INDEX(Reference!$G:$G,MATCH("Mutual Fund|"&amp;B17&amp;"|"&amp;C17,Reference!$A:$A,0)),"")</f>
        <v/>
      </c>
      <c r="G17" s="25">
        <f>IFERROR(INDEX(Reference!$I:$I,MATCH("Mutual Fund|"&amp;B17&amp;"|"&amp;C17,Reference!$A:$A,0)),"")</f>
        <v/>
      </c>
      <c r="H17" s="52">
        <f>COUNTIFS('MF - Lots'!$C:$C,B17)</f>
        <v/>
      </c>
      <c r="I17" s="49">
        <f>SUMIFS('MF - Lots'!$L:$L,'MF - Lots'!$C:$C,B17)</f>
        <v/>
      </c>
      <c r="J17" s="63">
        <f>SUMIFS('MF - Lots'!$O:$O,'MF - Lots'!$C:$C,B17)</f>
        <v/>
      </c>
      <c r="K17" s="63">
        <f>SUMIFS('MF - Lots'!$P:$P,'MF - Lots'!$C:$C,B17)</f>
        <v/>
      </c>
      <c r="L17" s="65">
        <f>K17-J17</f>
        <v/>
      </c>
      <c r="M17" s="64">
        <f>IFERROR(L17/J17,0)</f>
        <v/>
      </c>
    </row>
    <row r="18" ht="15" customHeight="1" s="54">
      <c r="A18" s="43" t="n">
        <v>14</v>
      </c>
      <c r="B18" s="43" t="n"/>
      <c r="C18" s="43" t="n"/>
      <c r="D18" s="25">
        <f>IFERROR(INDEX(Reference!$E:$E,MATCH("Mutual Fund|"&amp;B18&amp;"|"&amp;C18,Reference!$A:$A,0)),"")</f>
        <v/>
      </c>
      <c r="E18" s="25">
        <f>IFERROR(INDEX(Reference!$H:$H,MATCH("Mutual Fund|"&amp;B18&amp;"|"&amp;C18,Reference!$A:$A,0)),"")</f>
        <v/>
      </c>
      <c r="F18" s="25">
        <f>IFERROR(INDEX(Reference!$G:$G,MATCH("Mutual Fund|"&amp;B18&amp;"|"&amp;C18,Reference!$A:$A,0)),"")</f>
        <v/>
      </c>
      <c r="G18" s="25">
        <f>IFERROR(INDEX(Reference!$I:$I,MATCH("Mutual Fund|"&amp;B18&amp;"|"&amp;C18,Reference!$A:$A,0)),"")</f>
        <v/>
      </c>
      <c r="H18" s="52">
        <f>COUNTIFS('MF - Lots'!$C:$C,B18)</f>
        <v/>
      </c>
      <c r="I18" s="49">
        <f>SUMIFS('MF - Lots'!$L:$L,'MF - Lots'!$C:$C,B18)</f>
        <v/>
      </c>
      <c r="J18" s="63">
        <f>SUMIFS('MF - Lots'!$O:$O,'MF - Lots'!$C:$C,B18)</f>
        <v/>
      </c>
      <c r="K18" s="63">
        <f>SUMIFS('MF - Lots'!$P:$P,'MF - Lots'!$C:$C,B18)</f>
        <v/>
      </c>
      <c r="L18" s="65">
        <f>K18-J18</f>
        <v/>
      </c>
      <c r="M18" s="64">
        <f>IFERROR(L18/J18,0)</f>
        <v/>
      </c>
    </row>
    <row r="19" ht="15" customHeight="1" s="54">
      <c r="A19" s="43" t="n">
        <v>15</v>
      </c>
      <c r="B19" s="43" t="n"/>
      <c r="C19" s="43" t="n"/>
      <c r="D19" s="25">
        <f>IFERROR(INDEX(Reference!$E:$E,MATCH("Mutual Fund|"&amp;B19&amp;"|"&amp;C19,Reference!$A:$A,0)),"")</f>
        <v/>
      </c>
      <c r="E19" s="25">
        <f>IFERROR(INDEX(Reference!$H:$H,MATCH("Mutual Fund|"&amp;B19&amp;"|"&amp;C19,Reference!$A:$A,0)),"")</f>
        <v/>
      </c>
      <c r="F19" s="25">
        <f>IFERROR(INDEX(Reference!$G:$G,MATCH("Mutual Fund|"&amp;B19&amp;"|"&amp;C19,Reference!$A:$A,0)),"")</f>
        <v/>
      </c>
      <c r="G19" s="25">
        <f>IFERROR(INDEX(Reference!$I:$I,MATCH("Mutual Fund|"&amp;B19&amp;"|"&amp;C19,Reference!$A:$A,0)),"")</f>
        <v/>
      </c>
      <c r="H19" s="52">
        <f>COUNTIFS('MF - Lots'!$C:$C,B19)</f>
        <v/>
      </c>
      <c r="I19" s="49">
        <f>SUMIFS('MF - Lots'!$L:$L,'MF - Lots'!$C:$C,B19)</f>
        <v/>
      </c>
      <c r="J19" s="63">
        <f>SUMIFS('MF - Lots'!$O:$O,'MF - Lots'!$C:$C,B19)</f>
        <v/>
      </c>
      <c r="K19" s="63">
        <f>SUMIFS('MF - Lots'!$P:$P,'MF - Lots'!$C:$C,B19)</f>
        <v/>
      </c>
      <c r="L19" s="65">
        <f>K19-J19</f>
        <v/>
      </c>
      <c r="M19" s="64">
        <f>IFERROR(L19/J19,0)</f>
        <v/>
      </c>
    </row>
    <row r="20" ht="15" customHeight="1" s="54">
      <c r="A20" s="43" t="n">
        <v>16</v>
      </c>
      <c r="B20" s="43" t="n"/>
      <c r="C20" s="43" t="n"/>
      <c r="D20" s="25">
        <f>IFERROR(INDEX(Reference!$E:$E,MATCH("Mutual Fund|"&amp;B20&amp;"|"&amp;C20,Reference!$A:$A,0)),"")</f>
        <v/>
      </c>
      <c r="E20" s="25">
        <f>IFERROR(INDEX(Reference!$H:$H,MATCH("Mutual Fund|"&amp;B20&amp;"|"&amp;C20,Reference!$A:$A,0)),"")</f>
        <v/>
      </c>
      <c r="F20" s="25">
        <f>IFERROR(INDEX(Reference!$G:$G,MATCH("Mutual Fund|"&amp;B20&amp;"|"&amp;C20,Reference!$A:$A,0)),"")</f>
        <v/>
      </c>
      <c r="G20" s="25">
        <f>IFERROR(INDEX(Reference!$I:$I,MATCH("Mutual Fund|"&amp;B20&amp;"|"&amp;C20,Reference!$A:$A,0)),"")</f>
        <v/>
      </c>
      <c r="H20" s="52">
        <f>COUNTIFS('MF - Lots'!$C:$C,B20)</f>
        <v/>
      </c>
      <c r="I20" s="49">
        <f>SUMIFS('MF - Lots'!$L:$L,'MF - Lots'!$C:$C,B20)</f>
        <v/>
      </c>
      <c r="J20" s="63">
        <f>SUMIFS('MF - Lots'!$O:$O,'MF - Lots'!$C:$C,B20)</f>
        <v/>
      </c>
      <c r="K20" s="63">
        <f>SUMIFS('MF - Lots'!$P:$P,'MF - Lots'!$C:$C,B20)</f>
        <v/>
      </c>
      <c r="L20" s="65">
        <f>K20-J20</f>
        <v/>
      </c>
      <c r="M20" s="64">
        <f>IFERROR(L20/J20,0)</f>
        <v/>
      </c>
    </row>
    <row r="21" ht="15" customHeight="1" s="54">
      <c r="A21" s="43" t="n">
        <v>17</v>
      </c>
      <c r="B21" s="43" t="n"/>
      <c r="C21" s="43" t="n"/>
      <c r="D21" s="25">
        <f>IFERROR(INDEX(Reference!$E:$E,MATCH("Mutual Fund|"&amp;B21&amp;"|"&amp;C21,Reference!$A:$A,0)),"")</f>
        <v/>
      </c>
      <c r="E21" s="25">
        <f>IFERROR(INDEX(Reference!$H:$H,MATCH("Mutual Fund|"&amp;B21&amp;"|"&amp;C21,Reference!$A:$A,0)),"")</f>
        <v/>
      </c>
      <c r="F21" s="25">
        <f>IFERROR(INDEX(Reference!$G:$G,MATCH("Mutual Fund|"&amp;B21&amp;"|"&amp;C21,Reference!$A:$A,0)),"")</f>
        <v/>
      </c>
      <c r="G21" s="25">
        <f>IFERROR(INDEX(Reference!$I:$I,MATCH("Mutual Fund|"&amp;B21&amp;"|"&amp;C21,Reference!$A:$A,0)),"")</f>
        <v/>
      </c>
      <c r="H21" s="52">
        <f>COUNTIFS('MF - Lots'!$C:$C,B21)</f>
        <v/>
      </c>
      <c r="I21" s="49">
        <f>SUMIFS('MF - Lots'!$L:$L,'MF - Lots'!$C:$C,B21)</f>
        <v/>
      </c>
      <c r="J21" s="63">
        <f>SUMIFS('MF - Lots'!$O:$O,'MF - Lots'!$C:$C,B21)</f>
        <v/>
      </c>
      <c r="K21" s="63">
        <f>SUMIFS('MF - Lots'!$P:$P,'MF - Lots'!$C:$C,B21)</f>
        <v/>
      </c>
      <c r="L21" s="65">
        <f>K21-J21</f>
        <v/>
      </c>
      <c r="M21" s="64">
        <f>IFERROR(L21/J21,0)</f>
        <v/>
      </c>
    </row>
    <row r="22" ht="15" customHeight="1" s="54">
      <c r="A22" s="43" t="n">
        <v>18</v>
      </c>
      <c r="B22" s="43" t="n"/>
      <c r="C22" s="43" t="n"/>
      <c r="D22" s="25">
        <f>IFERROR(INDEX(Reference!$E:$E,MATCH("Mutual Fund|"&amp;B22&amp;"|"&amp;C22,Reference!$A:$A,0)),"")</f>
        <v/>
      </c>
      <c r="E22" s="25">
        <f>IFERROR(INDEX(Reference!$H:$H,MATCH("Mutual Fund|"&amp;B22&amp;"|"&amp;C22,Reference!$A:$A,0)),"")</f>
        <v/>
      </c>
      <c r="F22" s="25">
        <f>IFERROR(INDEX(Reference!$G:$G,MATCH("Mutual Fund|"&amp;B22&amp;"|"&amp;C22,Reference!$A:$A,0)),"")</f>
        <v/>
      </c>
      <c r="G22" s="25">
        <f>IFERROR(INDEX(Reference!$I:$I,MATCH("Mutual Fund|"&amp;B22&amp;"|"&amp;C22,Reference!$A:$A,0)),"")</f>
        <v/>
      </c>
      <c r="H22" s="52">
        <f>COUNTIFS('MF - Lots'!$C:$C,B22)</f>
        <v/>
      </c>
      <c r="I22" s="49">
        <f>SUMIFS('MF - Lots'!$L:$L,'MF - Lots'!$C:$C,B22)</f>
        <v/>
      </c>
      <c r="J22" s="63">
        <f>SUMIFS('MF - Lots'!$O:$O,'MF - Lots'!$C:$C,B22)</f>
        <v/>
      </c>
      <c r="K22" s="63">
        <f>SUMIFS('MF - Lots'!$P:$P,'MF - Lots'!$C:$C,B22)</f>
        <v/>
      </c>
      <c r="L22" s="65">
        <f>K22-J22</f>
        <v/>
      </c>
      <c r="M22" s="64">
        <f>IFERROR(L22/J22,0)</f>
        <v/>
      </c>
    </row>
    <row r="23" ht="15" customHeight="1" s="54">
      <c r="A23" s="43" t="n">
        <v>19</v>
      </c>
      <c r="B23" s="43" t="n"/>
      <c r="C23" s="43" t="n"/>
      <c r="D23" s="25">
        <f>IFERROR(INDEX(Reference!$E:$E,MATCH("Mutual Fund|"&amp;B23&amp;"|"&amp;C23,Reference!$A:$A,0)),"")</f>
        <v/>
      </c>
      <c r="E23" s="25">
        <f>IFERROR(INDEX(Reference!$H:$H,MATCH("Mutual Fund|"&amp;B23&amp;"|"&amp;C23,Reference!$A:$A,0)),"")</f>
        <v/>
      </c>
      <c r="F23" s="25">
        <f>IFERROR(INDEX(Reference!$G:$G,MATCH("Mutual Fund|"&amp;B23&amp;"|"&amp;C23,Reference!$A:$A,0)),"")</f>
        <v/>
      </c>
      <c r="G23" s="25">
        <f>IFERROR(INDEX(Reference!$I:$I,MATCH("Mutual Fund|"&amp;B23&amp;"|"&amp;C23,Reference!$A:$A,0)),"")</f>
        <v/>
      </c>
      <c r="H23" s="52">
        <f>COUNTIFS('MF - Lots'!$C:$C,B23)</f>
        <v/>
      </c>
      <c r="I23" s="49">
        <f>SUMIFS('MF - Lots'!$L:$L,'MF - Lots'!$C:$C,B23)</f>
        <v/>
      </c>
      <c r="J23" s="63">
        <f>SUMIFS('MF - Lots'!$O:$O,'MF - Lots'!$C:$C,B23)</f>
        <v/>
      </c>
      <c r="K23" s="63">
        <f>SUMIFS('MF - Lots'!$P:$P,'MF - Lots'!$C:$C,B23)</f>
        <v/>
      </c>
      <c r="L23" s="65">
        <f>K23-J23</f>
        <v/>
      </c>
      <c r="M23" s="64">
        <f>IFERROR(L23/J23,0)</f>
        <v/>
      </c>
    </row>
    <row r="24" ht="15" customHeight="1" s="54">
      <c r="A24" s="43" t="n">
        <v>20</v>
      </c>
      <c r="B24" s="43" t="n"/>
      <c r="C24" s="43" t="n"/>
      <c r="D24" s="25">
        <f>IFERROR(INDEX(Reference!$E:$E,MATCH("Mutual Fund|"&amp;B24&amp;"|"&amp;C24,Reference!$A:$A,0)),"")</f>
        <v/>
      </c>
      <c r="E24" s="25">
        <f>IFERROR(INDEX(Reference!$H:$H,MATCH("Mutual Fund|"&amp;B24&amp;"|"&amp;C24,Reference!$A:$A,0)),"")</f>
        <v/>
      </c>
      <c r="F24" s="25">
        <f>IFERROR(INDEX(Reference!$G:$G,MATCH("Mutual Fund|"&amp;B24&amp;"|"&amp;C24,Reference!$A:$A,0)),"")</f>
        <v/>
      </c>
      <c r="G24" s="25">
        <f>IFERROR(INDEX(Reference!$I:$I,MATCH("Mutual Fund|"&amp;B24&amp;"|"&amp;C24,Reference!$A:$A,0)),"")</f>
        <v/>
      </c>
      <c r="H24" s="52">
        <f>COUNTIFS('MF - Lots'!$C:$C,B24)</f>
        <v/>
      </c>
      <c r="I24" s="49">
        <f>SUMIFS('MF - Lots'!$L:$L,'MF - Lots'!$C:$C,B24)</f>
        <v/>
      </c>
      <c r="J24" s="63">
        <f>SUMIFS('MF - Lots'!$O:$O,'MF - Lots'!$C:$C,B24)</f>
        <v/>
      </c>
      <c r="K24" s="63">
        <f>SUMIFS('MF - Lots'!$P:$P,'MF - Lots'!$C:$C,B24)</f>
        <v/>
      </c>
      <c r="L24" s="65">
        <f>K24-J24</f>
        <v/>
      </c>
      <c r="M24" s="64">
        <f>IFERROR(L24/J24,0)</f>
        <v/>
      </c>
    </row>
    <row r="25" ht="15" customHeight="1" s="54">
      <c r="A25" s="43" t="n">
        <v>21</v>
      </c>
      <c r="B25" s="43" t="n"/>
      <c r="C25" s="43" t="n"/>
      <c r="D25" s="25">
        <f>IFERROR(INDEX(Reference!$E:$E,MATCH("Mutual Fund|"&amp;B25&amp;"|"&amp;C25,Reference!$A:$A,0)),"")</f>
        <v/>
      </c>
      <c r="E25" s="25">
        <f>IFERROR(INDEX(Reference!$H:$H,MATCH("Mutual Fund|"&amp;B25&amp;"|"&amp;C25,Reference!$A:$A,0)),"")</f>
        <v/>
      </c>
      <c r="F25" s="25">
        <f>IFERROR(INDEX(Reference!$G:$G,MATCH("Mutual Fund|"&amp;B25&amp;"|"&amp;C25,Reference!$A:$A,0)),"")</f>
        <v/>
      </c>
      <c r="G25" s="25">
        <f>IFERROR(INDEX(Reference!$I:$I,MATCH("Mutual Fund|"&amp;B25&amp;"|"&amp;C25,Reference!$A:$A,0)),"")</f>
        <v/>
      </c>
      <c r="H25" s="52">
        <f>COUNTIFS('MF - Lots'!$C:$C,B25)</f>
        <v/>
      </c>
      <c r="I25" s="49">
        <f>SUMIFS('MF - Lots'!$L:$L,'MF - Lots'!$C:$C,B25)</f>
        <v/>
      </c>
      <c r="J25" s="63">
        <f>SUMIFS('MF - Lots'!$O:$O,'MF - Lots'!$C:$C,B25)</f>
        <v/>
      </c>
      <c r="K25" s="63">
        <f>SUMIFS('MF - Lots'!$P:$P,'MF - Lots'!$C:$C,B25)</f>
        <v/>
      </c>
      <c r="L25" s="65">
        <f>K25-J25</f>
        <v/>
      </c>
      <c r="M25" s="64">
        <f>IFERROR(L25/J25,0)</f>
        <v/>
      </c>
    </row>
    <row r="26" ht="15" customHeight="1" s="54">
      <c r="A26" s="43" t="n">
        <v>22</v>
      </c>
      <c r="B26" s="43" t="n"/>
      <c r="C26" s="43" t="n"/>
      <c r="D26" s="25">
        <f>IFERROR(INDEX(Reference!$E:$E,MATCH("Mutual Fund|"&amp;B26&amp;"|"&amp;C26,Reference!$A:$A,0)),"")</f>
        <v/>
      </c>
      <c r="E26" s="25">
        <f>IFERROR(INDEX(Reference!$H:$H,MATCH("Mutual Fund|"&amp;B26&amp;"|"&amp;C26,Reference!$A:$A,0)),"")</f>
        <v/>
      </c>
      <c r="F26" s="25">
        <f>IFERROR(INDEX(Reference!$G:$G,MATCH("Mutual Fund|"&amp;B26&amp;"|"&amp;C26,Reference!$A:$A,0)),"")</f>
        <v/>
      </c>
      <c r="G26" s="25">
        <f>IFERROR(INDEX(Reference!$I:$I,MATCH("Mutual Fund|"&amp;B26&amp;"|"&amp;C26,Reference!$A:$A,0)),"")</f>
        <v/>
      </c>
      <c r="H26" s="52">
        <f>COUNTIFS('MF - Lots'!$C:$C,B26)</f>
        <v/>
      </c>
      <c r="I26" s="49">
        <f>SUMIFS('MF - Lots'!$L:$L,'MF - Lots'!$C:$C,B26)</f>
        <v/>
      </c>
      <c r="J26" s="63">
        <f>SUMIFS('MF - Lots'!$O:$O,'MF - Lots'!$C:$C,B26)</f>
        <v/>
      </c>
      <c r="K26" s="63">
        <f>SUMIFS('MF - Lots'!$P:$P,'MF - Lots'!$C:$C,B26)</f>
        <v/>
      </c>
      <c r="L26" s="65">
        <f>K26-J26</f>
        <v/>
      </c>
      <c r="M26" s="64">
        <f>IFERROR(L26/J26,0)</f>
        <v/>
      </c>
    </row>
    <row r="27" ht="15" customHeight="1" s="54">
      <c r="A27" s="43" t="n">
        <v>23</v>
      </c>
      <c r="B27" s="43" t="n"/>
      <c r="C27" s="43" t="n"/>
      <c r="D27" s="25">
        <f>IFERROR(INDEX(Reference!$E:$E,MATCH("Mutual Fund|"&amp;B27&amp;"|"&amp;C27,Reference!$A:$A,0)),"")</f>
        <v/>
      </c>
      <c r="E27" s="25">
        <f>IFERROR(INDEX(Reference!$H:$H,MATCH("Mutual Fund|"&amp;B27&amp;"|"&amp;C27,Reference!$A:$A,0)),"")</f>
        <v/>
      </c>
      <c r="F27" s="25">
        <f>IFERROR(INDEX(Reference!$G:$G,MATCH("Mutual Fund|"&amp;B27&amp;"|"&amp;C27,Reference!$A:$A,0)),"")</f>
        <v/>
      </c>
      <c r="G27" s="25">
        <f>IFERROR(INDEX(Reference!$I:$I,MATCH("Mutual Fund|"&amp;B27&amp;"|"&amp;C27,Reference!$A:$A,0)),"")</f>
        <v/>
      </c>
      <c r="H27" s="52">
        <f>COUNTIFS('MF - Lots'!$C:$C,B27)</f>
        <v/>
      </c>
      <c r="I27" s="49">
        <f>SUMIFS('MF - Lots'!$L:$L,'MF - Lots'!$C:$C,B27)</f>
        <v/>
      </c>
      <c r="J27" s="63">
        <f>SUMIFS('MF - Lots'!$O:$O,'MF - Lots'!$C:$C,B27)</f>
        <v/>
      </c>
      <c r="K27" s="63">
        <f>SUMIFS('MF - Lots'!$P:$P,'MF - Lots'!$C:$C,B27)</f>
        <v/>
      </c>
      <c r="L27" s="65">
        <f>K27-J27</f>
        <v/>
      </c>
      <c r="M27" s="64">
        <f>IFERROR(L27/J27,0)</f>
        <v/>
      </c>
    </row>
    <row r="28" ht="15" customHeight="1" s="54">
      <c r="A28" s="43" t="n">
        <v>24</v>
      </c>
      <c r="B28" s="43" t="n"/>
      <c r="C28" s="43" t="n"/>
      <c r="D28" s="25">
        <f>IFERROR(INDEX(Reference!$E:$E,MATCH("Mutual Fund|"&amp;B28&amp;"|"&amp;C28,Reference!$A:$A,0)),"")</f>
        <v/>
      </c>
      <c r="E28" s="25">
        <f>IFERROR(INDEX(Reference!$H:$H,MATCH("Mutual Fund|"&amp;B28&amp;"|"&amp;C28,Reference!$A:$A,0)),"")</f>
        <v/>
      </c>
      <c r="F28" s="25">
        <f>IFERROR(INDEX(Reference!$G:$G,MATCH("Mutual Fund|"&amp;B28&amp;"|"&amp;C28,Reference!$A:$A,0)),"")</f>
        <v/>
      </c>
      <c r="G28" s="25">
        <f>IFERROR(INDEX(Reference!$I:$I,MATCH("Mutual Fund|"&amp;B28&amp;"|"&amp;C28,Reference!$A:$A,0)),"")</f>
        <v/>
      </c>
      <c r="H28" s="52">
        <f>COUNTIFS('MF - Lots'!$C:$C,B28)</f>
        <v/>
      </c>
      <c r="I28" s="49">
        <f>SUMIFS('MF - Lots'!$L:$L,'MF - Lots'!$C:$C,B28)</f>
        <v/>
      </c>
      <c r="J28" s="63">
        <f>SUMIFS('MF - Lots'!$O:$O,'MF - Lots'!$C:$C,B28)</f>
        <v/>
      </c>
      <c r="K28" s="63">
        <f>SUMIFS('MF - Lots'!$P:$P,'MF - Lots'!$C:$C,B28)</f>
        <v/>
      </c>
      <c r="L28" s="65">
        <f>K28-J28</f>
        <v/>
      </c>
      <c r="M28" s="64">
        <f>IFERROR(L28/J28,0)</f>
        <v/>
      </c>
    </row>
    <row r="29" ht="15" customHeight="1" s="54">
      <c r="A29" s="43" t="n">
        <v>25</v>
      </c>
      <c r="B29" s="43" t="n"/>
      <c r="C29" s="43" t="n"/>
      <c r="D29" s="25">
        <f>IFERROR(INDEX(Reference!$E:$E,MATCH("Mutual Fund|"&amp;B29&amp;"|"&amp;C29,Reference!$A:$A,0)),"")</f>
        <v/>
      </c>
      <c r="E29" s="25">
        <f>IFERROR(INDEX(Reference!$H:$H,MATCH("Mutual Fund|"&amp;B29&amp;"|"&amp;C29,Reference!$A:$A,0)),"")</f>
        <v/>
      </c>
      <c r="F29" s="25">
        <f>IFERROR(INDEX(Reference!$G:$G,MATCH("Mutual Fund|"&amp;B29&amp;"|"&amp;C29,Reference!$A:$A,0)),"")</f>
        <v/>
      </c>
      <c r="G29" s="25">
        <f>IFERROR(INDEX(Reference!$I:$I,MATCH("Mutual Fund|"&amp;B29&amp;"|"&amp;C29,Reference!$A:$A,0)),"")</f>
        <v/>
      </c>
      <c r="H29" s="52">
        <f>COUNTIFS('MF - Lots'!$C:$C,B29)</f>
        <v/>
      </c>
      <c r="I29" s="49">
        <f>SUMIFS('MF - Lots'!$L:$L,'MF - Lots'!$C:$C,B29)</f>
        <v/>
      </c>
      <c r="J29" s="63">
        <f>SUMIFS('MF - Lots'!$O:$O,'MF - Lots'!$C:$C,B29)</f>
        <v/>
      </c>
      <c r="K29" s="63">
        <f>SUMIFS('MF - Lots'!$P:$P,'MF - Lots'!$C:$C,B29)</f>
        <v/>
      </c>
      <c r="L29" s="65">
        <f>K29-J29</f>
        <v/>
      </c>
      <c r="M29" s="64">
        <f>IFERROR(L29/J29,0)</f>
        <v/>
      </c>
    </row>
    <row r="30" ht="15" customHeight="1" s="54">
      <c r="A30" s="43" t="n">
        <v>26</v>
      </c>
      <c r="B30" s="43" t="n"/>
      <c r="C30" s="43" t="n"/>
      <c r="D30" s="25">
        <f>IFERROR(INDEX(Reference!$E:$E,MATCH("Mutual Fund|"&amp;B30&amp;"|"&amp;C30,Reference!$A:$A,0)),"")</f>
        <v/>
      </c>
      <c r="E30" s="25">
        <f>IFERROR(INDEX(Reference!$H:$H,MATCH("Mutual Fund|"&amp;B30&amp;"|"&amp;C30,Reference!$A:$A,0)),"")</f>
        <v/>
      </c>
      <c r="F30" s="25">
        <f>IFERROR(INDEX(Reference!$G:$G,MATCH("Mutual Fund|"&amp;B30&amp;"|"&amp;C30,Reference!$A:$A,0)),"")</f>
        <v/>
      </c>
      <c r="G30" s="25">
        <f>IFERROR(INDEX(Reference!$I:$I,MATCH("Mutual Fund|"&amp;B30&amp;"|"&amp;C30,Reference!$A:$A,0)),"")</f>
        <v/>
      </c>
      <c r="H30" s="52">
        <f>COUNTIFS('MF - Lots'!$C:$C,B30)</f>
        <v/>
      </c>
      <c r="I30" s="49">
        <f>SUMIFS('MF - Lots'!$L:$L,'MF - Lots'!$C:$C,B30)</f>
        <v/>
      </c>
      <c r="J30" s="63">
        <f>SUMIFS('MF - Lots'!$O:$O,'MF - Lots'!$C:$C,B30)</f>
        <v/>
      </c>
      <c r="K30" s="63">
        <f>SUMIFS('MF - Lots'!$P:$P,'MF - Lots'!$C:$C,B30)</f>
        <v/>
      </c>
      <c r="L30" s="65">
        <f>K30-J30</f>
        <v/>
      </c>
      <c r="M30" s="64">
        <f>IFERROR(L30/J30,0)</f>
        <v/>
      </c>
    </row>
    <row r="31" ht="15" customHeight="1" s="54">
      <c r="A31" s="43" t="n">
        <v>27</v>
      </c>
      <c r="B31" s="43" t="n"/>
      <c r="C31" s="43" t="n"/>
      <c r="D31" s="25">
        <f>IFERROR(INDEX(Reference!$E:$E,MATCH("Mutual Fund|"&amp;B31&amp;"|"&amp;C31,Reference!$A:$A,0)),"")</f>
        <v/>
      </c>
      <c r="E31" s="25">
        <f>IFERROR(INDEX(Reference!$H:$H,MATCH("Mutual Fund|"&amp;B31&amp;"|"&amp;C31,Reference!$A:$A,0)),"")</f>
        <v/>
      </c>
      <c r="F31" s="25">
        <f>IFERROR(INDEX(Reference!$G:$G,MATCH("Mutual Fund|"&amp;B31&amp;"|"&amp;C31,Reference!$A:$A,0)),"")</f>
        <v/>
      </c>
      <c r="G31" s="25">
        <f>IFERROR(INDEX(Reference!$I:$I,MATCH("Mutual Fund|"&amp;B31&amp;"|"&amp;C31,Reference!$A:$A,0)),"")</f>
        <v/>
      </c>
      <c r="H31" s="52">
        <f>COUNTIFS('MF - Lots'!$C:$C,B31)</f>
        <v/>
      </c>
      <c r="I31" s="49">
        <f>SUMIFS('MF - Lots'!$L:$L,'MF - Lots'!$C:$C,B31)</f>
        <v/>
      </c>
      <c r="J31" s="63">
        <f>SUMIFS('MF - Lots'!$O:$O,'MF - Lots'!$C:$C,B31)</f>
        <v/>
      </c>
      <c r="K31" s="63">
        <f>SUMIFS('MF - Lots'!$P:$P,'MF - Lots'!$C:$C,B31)</f>
        <v/>
      </c>
      <c r="L31" s="65">
        <f>K31-J31</f>
        <v/>
      </c>
      <c r="M31" s="64">
        <f>IFERROR(L31/J31,0)</f>
        <v/>
      </c>
    </row>
    <row r="32" ht="15" customHeight="1" s="54">
      <c r="A32" s="43" t="n">
        <v>28</v>
      </c>
      <c r="B32" s="43" t="n"/>
      <c r="C32" s="43" t="n"/>
      <c r="D32" s="25">
        <f>IFERROR(INDEX(Reference!$E:$E,MATCH("Mutual Fund|"&amp;B32&amp;"|"&amp;C32,Reference!$A:$A,0)),"")</f>
        <v/>
      </c>
      <c r="E32" s="25">
        <f>IFERROR(INDEX(Reference!$H:$H,MATCH("Mutual Fund|"&amp;B32&amp;"|"&amp;C32,Reference!$A:$A,0)),"")</f>
        <v/>
      </c>
      <c r="F32" s="25">
        <f>IFERROR(INDEX(Reference!$G:$G,MATCH("Mutual Fund|"&amp;B32&amp;"|"&amp;C32,Reference!$A:$A,0)),"")</f>
        <v/>
      </c>
      <c r="G32" s="25">
        <f>IFERROR(INDEX(Reference!$I:$I,MATCH("Mutual Fund|"&amp;B32&amp;"|"&amp;C32,Reference!$A:$A,0)),"")</f>
        <v/>
      </c>
      <c r="H32" s="52">
        <f>COUNTIFS('MF - Lots'!$C:$C,B32)</f>
        <v/>
      </c>
      <c r="I32" s="49">
        <f>SUMIFS('MF - Lots'!$L:$L,'MF - Lots'!$C:$C,B32)</f>
        <v/>
      </c>
      <c r="J32" s="63">
        <f>SUMIFS('MF - Lots'!$O:$O,'MF - Lots'!$C:$C,B32)</f>
        <v/>
      </c>
      <c r="K32" s="63">
        <f>SUMIFS('MF - Lots'!$P:$P,'MF - Lots'!$C:$C,B32)</f>
        <v/>
      </c>
      <c r="L32" s="65">
        <f>K32-J32</f>
        <v/>
      </c>
      <c r="M32" s="64">
        <f>IFERROR(L32/J32,0)</f>
        <v/>
      </c>
    </row>
    <row r="33" ht="15" customHeight="1" s="54">
      <c r="A33" s="43" t="n">
        <v>29</v>
      </c>
      <c r="B33" s="43" t="n"/>
      <c r="C33" s="43" t="n"/>
      <c r="D33" s="25">
        <f>IFERROR(INDEX(Reference!$E:$E,MATCH("Mutual Fund|"&amp;B33&amp;"|"&amp;C33,Reference!$A:$A,0)),"")</f>
        <v/>
      </c>
      <c r="E33" s="25">
        <f>IFERROR(INDEX(Reference!$H:$H,MATCH("Mutual Fund|"&amp;B33&amp;"|"&amp;C33,Reference!$A:$A,0)),"")</f>
        <v/>
      </c>
      <c r="F33" s="25">
        <f>IFERROR(INDEX(Reference!$G:$G,MATCH("Mutual Fund|"&amp;B33&amp;"|"&amp;C33,Reference!$A:$A,0)),"")</f>
        <v/>
      </c>
      <c r="G33" s="25">
        <f>IFERROR(INDEX(Reference!$I:$I,MATCH("Mutual Fund|"&amp;B33&amp;"|"&amp;C33,Reference!$A:$A,0)),"")</f>
        <v/>
      </c>
      <c r="H33" s="52">
        <f>COUNTIFS('MF - Lots'!$C:$C,B33)</f>
        <v/>
      </c>
      <c r="I33" s="49">
        <f>SUMIFS('MF - Lots'!$L:$L,'MF - Lots'!$C:$C,B33)</f>
        <v/>
      </c>
      <c r="J33" s="63">
        <f>SUMIFS('MF - Lots'!$O:$O,'MF - Lots'!$C:$C,B33)</f>
        <v/>
      </c>
      <c r="K33" s="63">
        <f>SUMIFS('MF - Lots'!$P:$P,'MF - Lots'!$C:$C,B33)</f>
        <v/>
      </c>
      <c r="L33" s="65">
        <f>K33-J33</f>
        <v/>
      </c>
      <c r="M33" s="64">
        <f>IFERROR(L33/J33,0)</f>
        <v/>
      </c>
    </row>
    <row r="34" ht="15" customHeight="1" s="54">
      <c r="A34" s="43" t="n">
        <v>30</v>
      </c>
      <c r="B34" s="43" t="n"/>
      <c r="C34" s="43" t="n"/>
      <c r="D34" s="25">
        <f>IFERROR(INDEX(Reference!$E:$E,MATCH("Mutual Fund|"&amp;B34&amp;"|"&amp;C34,Reference!$A:$A,0)),"")</f>
        <v/>
      </c>
      <c r="E34" s="25">
        <f>IFERROR(INDEX(Reference!$H:$H,MATCH("Mutual Fund|"&amp;B34&amp;"|"&amp;C34,Reference!$A:$A,0)),"")</f>
        <v/>
      </c>
      <c r="F34" s="25">
        <f>IFERROR(INDEX(Reference!$G:$G,MATCH("Mutual Fund|"&amp;B34&amp;"|"&amp;C34,Reference!$A:$A,0)),"")</f>
        <v/>
      </c>
      <c r="G34" s="25">
        <f>IFERROR(INDEX(Reference!$I:$I,MATCH("Mutual Fund|"&amp;B34&amp;"|"&amp;C34,Reference!$A:$A,0)),"")</f>
        <v/>
      </c>
      <c r="H34" s="52">
        <f>COUNTIFS('MF - Lots'!$C:$C,B34)</f>
        <v/>
      </c>
      <c r="I34" s="49">
        <f>SUMIFS('MF - Lots'!$L:$L,'MF - Lots'!$C:$C,B34)</f>
        <v/>
      </c>
      <c r="J34" s="63">
        <f>SUMIFS('MF - Lots'!$O:$O,'MF - Lots'!$C:$C,B34)</f>
        <v/>
      </c>
      <c r="K34" s="63">
        <f>SUMIFS('MF - Lots'!$P:$P,'MF - Lots'!$C:$C,B34)</f>
        <v/>
      </c>
      <c r="L34" s="65">
        <f>K34-J34</f>
        <v/>
      </c>
      <c r="M34" s="64">
        <f>IFERROR(L34/J34,0)</f>
        <v/>
      </c>
    </row>
    <row r="35" ht="15" customHeight="1" s="54">
      <c r="A35" s="43" t="n">
        <v>31</v>
      </c>
      <c r="B35" s="43" t="n"/>
      <c r="C35" s="43" t="n"/>
      <c r="D35" s="25">
        <f>IFERROR(INDEX(Reference!$E:$E,MATCH("Mutual Fund|"&amp;B35&amp;"|"&amp;C35,Reference!$A:$A,0)),"")</f>
        <v/>
      </c>
      <c r="E35" s="25">
        <f>IFERROR(INDEX(Reference!$H:$H,MATCH("Mutual Fund|"&amp;B35&amp;"|"&amp;C35,Reference!$A:$A,0)),"")</f>
        <v/>
      </c>
      <c r="F35" s="25">
        <f>IFERROR(INDEX(Reference!$G:$G,MATCH("Mutual Fund|"&amp;B35&amp;"|"&amp;C35,Reference!$A:$A,0)),"")</f>
        <v/>
      </c>
      <c r="G35" s="25">
        <f>IFERROR(INDEX(Reference!$I:$I,MATCH("Mutual Fund|"&amp;B35&amp;"|"&amp;C35,Reference!$A:$A,0)),"")</f>
        <v/>
      </c>
      <c r="H35" s="52">
        <f>COUNTIFS('MF - Lots'!$C:$C,B35)</f>
        <v/>
      </c>
      <c r="I35" s="49">
        <f>SUMIFS('MF - Lots'!$L:$L,'MF - Lots'!$C:$C,B35)</f>
        <v/>
      </c>
      <c r="J35" s="63">
        <f>SUMIFS('MF - Lots'!$O:$O,'MF - Lots'!$C:$C,B35)</f>
        <v/>
      </c>
      <c r="K35" s="63">
        <f>SUMIFS('MF - Lots'!$P:$P,'MF - Lots'!$C:$C,B35)</f>
        <v/>
      </c>
      <c r="L35" s="65">
        <f>K35-J35</f>
        <v/>
      </c>
      <c r="M35" s="64">
        <f>IFERROR(L35/J35,0)</f>
        <v/>
      </c>
    </row>
    <row r="36" ht="15" customHeight="1" s="54">
      <c r="A36" s="43" t="n">
        <v>32</v>
      </c>
      <c r="B36" s="43" t="n"/>
      <c r="C36" s="43" t="n"/>
      <c r="D36" s="25">
        <f>IFERROR(INDEX(Reference!$E:$E,MATCH("Mutual Fund|"&amp;B36&amp;"|"&amp;C36,Reference!$A:$A,0)),"")</f>
        <v/>
      </c>
      <c r="E36" s="25">
        <f>IFERROR(INDEX(Reference!$H:$H,MATCH("Mutual Fund|"&amp;B36&amp;"|"&amp;C36,Reference!$A:$A,0)),"")</f>
        <v/>
      </c>
      <c r="F36" s="25">
        <f>IFERROR(INDEX(Reference!$G:$G,MATCH("Mutual Fund|"&amp;B36&amp;"|"&amp;C36,Reference!$A:$A,0)),"")</f>
        <v/>
      </c>
      <c r="G36" s="25">
        <f>IFERROR(INDEX(Reference!$I:$I,MATCH("Mutual Fund|"&amp;B36&amp;"|"&amp;C36,Reference!$A:$A,0)),"")</f>
        <v/>
      </c>
      <c r="H36" s="52">
        <f>COUNTIFS('MF - Lots'!$C:$C,B36)</f>
        <v/>
      </c>
      <c r="I36" s="49">
        <f>SUMIFS('MF - Lots'!$L:$L,'MF - Lots'!$C:$C,B36)</f>
        <v/>
      </c>
      <c r="J36" s="63">
        <f>SUMIFS('MF - Lots'!$O:$O,'MF - Lots'!$C:$C,B36)</f>
        <v/>
      </c>
      <c r="K36" s="63">
        <f>SUMIFS('MF - Lots'!$P:$P,'MF - Lots'!$C:$C,B36)</f>
        <v/>
      </c>
      <c r="L36" s="65">
        <f>K36-J36</f>
        <v/>
      </c>
      <c r="M36" s="64">
        <f>IFERROR(L36/J36,0)</f>
        <v/>
      </c>
    </row>
    <row r="37" ht="15" customHeight="1" s="54">
      <c r="A37" s="20" t="inlineStr">
        <is>
          <t>TOTAL</t>
        </is>
      </c>
      <c r="B37" s="51" t="n"/>
      <c r="C37" s="51" t="n"/>
      <c r="D37" s="51" t="n"/>
      <c r="E37" s="51" t="n"/>
      <c r="F37" s="51" t="n"/>
      <c r="G37" s="51" t="n"/>
      <c r="H37" s="53">
        <f>SUM(H5:H36)</f>
        <v/>
      </c>
      <c r="I37" s="51" t="n"/>
      <c r="J37" s="66">
        <f>SUM(J5:J36)</f>
        <v/>
      </c>
      <c r="K37" s="66">
        <f>SUM(K5:K36)</f>
        <v/>
      </c>
      <c r="L37" s="66">
        <f>SUM(L5:L36)</f>
        <v/>
      </c>
      <c r="M37" s="67">
        <f>IFERROR(L37/J37,0)</f>
        <v/>
      </c>
    </row>
  </sheetData>
  <autoFilter ref="A4:M36"/>
  <mergeCells count="1">
    <mergeCell ref="A2:M2"/>
  </mergeCells>
  <conditionalFormatting sqref="L5:M36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P46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28" sqref="A28"/>
      <selection pane="bottomRight" activeCell="D3" sqref="D3"/>
    </sheetView>
  </sheetViews>
  <sheetFormatPr baseColWidth="10" defaultColWidth="8.6640625" defaultRowHeight="15"/>
  <cols>
    <col width="5" customWidth="1" style="54" min="1" max="1"/>
    <col width="22" customWidth="1" style="54" min="2" max="2"/>
    <col width="14" customWidth="1" style="54" min="3" max="3"/>
    <col width="10" customWidth="1" style="54" min="4" max="4"/>
    <col width="20" customWidth="1" style="54" min="5" max="5"/>
    <col width="18" customWidth="1" style="54" min="6" max="6"/>
    <col width="22" customWidth="1" style="54" min="7" max="7"/>
    <col width="14" customWidth="1" style="54" min="8" max="8"/>
    <col width="16" customWidth="1" style="54" min="9" max="10"/>
    <col width="10" customWidth="1" style="54" min="11" max="11"/>
    <col width="16" customWidth="1" style="54" min="12" max="14"/>
    <col width="10" customWidth="1" style="54" min="15" max="15"/>
    <col width="26" customWidth="1" style="54" min="16" max="16"/>
  </cols>
  <sheetData>
    <row r="2" ht="30" customHeight="1" s="54">
      <c r="A2" s="9" t="inlineStr">
        <is>
          <t>EQUITIES — LOT LEVEL  (Thai + US + ETF)</t>
        </is>
      </c>
    </row>
    <row r="4" ht="42" customHeight="1" s="54">
      <c r="A4" s="15" t="inlineStr">
        <is>
          <t>#</t>
        </is>
      </c>
      <c r="B4" s="15" t="inlineStr">
        <is>
          <t>Broker</t>
        </is>
      </c>
      <c r="C4" s="15" t="inlineStr">
        <is>
          <t>Ticker</t>
        </is>
      </c>
      <c r="D4" s="15" t="inlineStr">
        <is>
          <t>Ccy</t>
        </is>
      </c>
      <c r="E4" s="15" t="inlineStr">
        <is>
          <t>Asset Class</t>
        </is>
      </c>
      <c r="F4" s="15" t="inlineStr">
        <is>
          <t>Geography</t>
        </is>
      </c>
      <c r="G4" s="15" t="inlineStr">
        <is>
          <t>Theme</t>
        </is>
      </c>
      <c r="H4" s="15" t="inlineStr">
        <is>
          <t>Shares</t>
        </is>
      </c>
      <c r="I4" s="15" t="inlineStr">
        <is>
          <t>Avg Cost (nat.)</t>
        </is>
      </c>
      <c r="J4" s="15" t="inlineStr">
        <is>
          <t>Mkt Price (nat.)</t>
        </is>
      </c>
      <c r="K4" s="15" t="inlineStr">
        <is>
          <t>FX</t>
        </is>
      </c>
      <c r="L4" s="15" t="inlineStr">
        <is>
          <t>Initial Inv (฿)</t>
        </is>
      </c>
      <c r="M4" s="15" t="inlineStr">
        <is>
          <t>Current Value (฿)</t>
        </is>
      </c>
      <c r="N4" s="15" t="inlineStr">
        <is>
          <t>Unrealized P&amp;L (฿)</t>
        </is>
      </c>
      <c r="O4" s="15" t="inlineStr">
        <is>
          <t>P&amp;L %</t>
        </is>
      </c>
      <c r="P4" s="15" t="inlineStr">
        <is>
          <t>Note</t>
        </is>
      </c>
    </row>
    <row r="5" ht="15" customHeight="1" s="54">
      <c r="A5" s="43" t="n">
        <v>1</v>
      </c>
      <c r="B5" s="43" t="n"/>
      <c r="C5" s="43" t="n"/>
      <c r="D5" s="42" t="n"/>
      <c r="E5" s="25">
        <f>IFERROR(INDEX(Reference!$E:$E,MATCH("Equity|"&amp;C5&amp;"|"&amp;B5,Reference!$A:$A,0)),"")</f>
        <v/>
      </c>
      <c r="F5" s="25">
        <f>IFERROR(INDEX(Reference!$G:$G,MATCH("Equity|"&amp;C5&amp;"|"&amp;B5,Reference!$A:$A,0)),"")</f>
        <v/>
      </c>
      <c r="G5" s="25">
        <f>IFERROR(INDEX(Reference!$H:$H,MATCH("Equity|"&amp;C5&amp;"|"&amp;B5,Reference!$A:$A,0)),"")</f>
        <v/>
      </c>
      <c r="H5" s="48" t="n"/>
      <c r="I5" s="48" t="n"/>
      <c r="J5" s="49">
        <f>IFERROR(INDEX(Prices!$E:$E,MATCH("Equity|"&amp;C5&amp;"|"&amp;B5,Prices!$A:$A,0)),0)</f>
        <v/>
      </c>
      <c r="K5" s="79">
        <f>IF(D5="THB",1,FXRate)</f>
        <v/>
      </c>
      <c r="L5" s="65">
        <f>IFERROR(H5*I5*K5,0)</f>
        <v/>
      </c>
      <c r="M5" s="65">
        <f>IFERROR(H5*J5*K5,0)</f>
        <v/>
      </c>
      <c r="N5" s="65">
        <f>M5-L5</f>
        <v/>
      </c>
      <c r="O5" s="64">
        <f>IFERROR(N5/L5,0)</f>
        <v/>
      </c>
      <c r="P5" s="43" t="n"/>
    </row>
    <row r="6" ht="15" customHeight="1" s="54">
      <c r="A6" s="43" t="n">
        <v>2</v>
      </c>
      <c r="B6" s="43" t="n"/>
      <c r="C6" s="43" t="n"/>
      <c r="D6" s="42" t="n"/>
      <c r="E6" s="25">
        <f>IFERROR(INDEX(Reference!$E:$E,MATCH("Equity|"&amp;C6&amp;"|"&amp;B6,Reference!$A:$A,0)),"")</f>
        <v/>
      </c>
      <c r="F6" s="25">
        <f>IFERROR(INDEX(Reference!$G:$G,MATCH("Equity|"&amp;C6&amp;"|"&amp;B6,Reference!$A:$A,0)),"")</f>
        <v/>
      </c>
      <c r="G6" s="25">
        <f>IFERROR(INDEX(Reference!$H:$H,MATCH("Equity|"&amp;C6&amp;"|"&amp;B6,Reference!$A:$A,0)),"")</f>
        <v/>
      </c>
      <c r="H6" s="48" t="n"/>
      <c r="I6" s="48" t="n"/>
      <c r="J6" s="49">
        <f>IFERROR(INDEX(Prices!$E:$E,MATCH("Equity|"&amp;C6&amp;"|"&amp;B6,Prices!$A:$A,0)),0)</f>
        <v/>
      </c>
      <c r="K6" s="79">
        <f>IF(D6="THB",1,FXRate)</f>
        <v/>
      </c>
      <c r="L6" s="65">
        <f>IFERROR(H6*I6*K6,0)</f>
        <v/>
      </c>
      <c r="M6" s="65">
        <f>IFERROR(H6*J6*K6,0)</f>
        <v/>
      </c>
      <c r="N6" s="65">
        <f>M6-L6</f>
        <v/>
      </c>
      <c r="O6" s="64">
        <f>IFERROR(N6/L6,0)</f>
        <v/>
      </c>
      <c r="P6" s="43" t="n"/>
    </row>
    <row r="7" ht="15" customHeight="1" s="54">
      <c r="A7" s="43" t="n">
        <v>3</v>
      </c>
      <c r="B7" s="43" t="n"/>
      <c r="C7" s="43" t="n"/>
      <c r="D7" s="42" t="n"/>
      <c r="E7" s="25">
        <f>IFERROR(INDEX(Reference!$E:$E,MATCH("Equity|"&amp;C7&amp;"|"&amp;B7,Reference!$A:$A,0)),"")</f>
        <v/>
      </c>
      <c r="F7" s="25">
        <f>IFERROR(INDEX(Reference!$G:$G,MATCH("Equity|"&amp;C7&amp;"|"&amp;B7,Reference!$A:$A,0)),"")</f>
        <v/>
      </c>
      <c r="G7" s="25">
        <f>IFERROR(INDEX(Reference!$H:$H,MATCH("Equity|"&amp;C7&amp;"|"&amp;B7,Reference!$A:$A,0)),"")</f>
        <v/>
      </c>
      <c r="H7" s="48" t="n"/>
      <c r="I7" s="48" t="n"/>
      <c r="J7" s="49">
        <f>IFERROR(INDEX(Prices!$E:$E,MATCH("Equity|"&amp;C7&amp;"|"&amp;B7,Prices!$A:$A,0)),0)</f>
        <v/>
      </c>
      <c r="K7" s="79">
        <f>IF(D7="THB",1,FXRate)</f>
        <v/>
      </c>
      <c r="L7" s="65">
        <f>IFERROR(H7*I7*K7,0)</f>
        <v/>
      </c>
      <c r="M7" s="65">
        <f>IFERROR(H7*J7*K7,0)</f>
        <v/>
      </c>
      <c r="N7" s="65">
        <f>M7-L7</f>
        <v/>
      </c>
      <c r="O7" s="64">
        <f>IFERROR(N7/L7,0)</f>
        <v/>
      </c>
      <c r="P7" s="43" t="n"/>
    </row>
    <row r="8" ht="15" customHeight="1" s="54">
      <c r="A8" s="43" t="n">
        <v>4</v>
      </c>
      <c r="B8" s="43" t="n"/>
      <c r="C8" s="43" t="n"/>
      <c r="D8" s="42" t="n"/>
      <c r="E8" s="25">
        <f>IFERROR(INDEX(Reference!$E:$E,MATCH("Equity|"&amp;C8&amp;"|"&amp;B8,Reference!$A:$A,0)),"")</f>
        <v/>
      </c>
      <c r="F8" s="25">
        <f>IFERROR(INDEX(Reference!$G:$G,MATCH("Equity|"&amp;C8&amp;"|"&amp;B8,Reference!$A:$A,0)),"")</f>
        <v/>
      </c>
      <c r="G8" s="25">
        <f>IFERROR(INDEX(Reference!$H:$H,MATCH("Equity|"&amp;C8&amp;"|"&amp;B8,Reference!$A:$A,0)),"")</f>
        <v/>
      </c>
      <c r="H8" s="48" t="n"/>
      <c r="I8" s="48" t="n"/>
      <c r="J8" s="49">
        <f>IFERROR(INDEX(Prices!$E:$E,MATCH("Equity|"&amp;C8&amp;"|"&amp;B8,Prices!$A:$A,0)),0)</f>
        <v/>
      </c>
      <c r="K8" s="79">
        <f>IF(D8="THB",1,FXRate)</f>
        <v/>
      </c>
      <c r="L8" s="65">
        <f>IFERROR(H8*I8*K8,0)</f>
        <v/>
      </c>
      <c r="M8" s="65">
        <f>IFERROR(H8*J8*K8,0)</f>
        <v/>
      </c>
      <c r="N8" s="65">
        <f>M8-L8</f>
        <v/>
      </c>
      <c r="O8" s="64">
        <f>IFERROR(N8/L8,0)</f>
        <v/>
      </c>
      <c r="P8" s="43" t="n"/>
    </row>
    <row r="9" ht="15" customHeight="1" s="54">
      <c r="A9" s="43" t="n">
        <v>5</v>
      </c>
      <c r="B9" s="43" t="n"/>
      <c r="C9" s="43" t="n"/>
      <c r="D9" s="42" t="n"/>
      <c r="E9" s="25">
        <f>IFERROR(INDEX(Reference!$E:$E,MATCH("Equity|"&amp;C9&amp;"|"&amp;B9,Reference!$A:$A,0)),"")</f>
        <v/>
      </c>
      <c r="F9" s="25">
        <f>IFERROR(INDEX(Reference!$G:$G,MATCH("Equity|"&amp;C9&amp;"|"&amp;B9,Reference!$A:$A,0)),"")</f>
        <v/>
      </c>
      <c r="G9" s="25">
        <f>IFERROR(INDEX(Reference!$H:$H,MATCH("Equity|"&amp;C9&amp;"|"&amp;B9,Reference!$A:$A,0)),"")</f>
        <v/>
      </c>
      <c r="H9" s="48" t="n"/>
      <c r="I9" s="48" t="n"/>
      <c r="J9" s="49">
        <f>IFERROR(INDEX(Prices!$E:$E,MATCH("Equity|"&amp;C9&amp;"|"&amp;B9,Prices!$A:$A,0)),0)</f>
        <v/>
      </c>
      <c r="K9" s="79">
        <f>IF(D9="THB",1,FXRate)</f>
        <v/>
      </c>
      <c r="L9" s="65">
        <f>IFERROR(H9*I9*K9,0)</f>
        <v/>
      </c>
      <c r="M9" s="65">
        <f>IFERROR(H9*J9*K9,0)</f>
        <v/>
      </c>
      <c r="N9" s="65">
        <f>M9-L9</f>
        <v/>
      </c>
      <c r="O9" s="64">
        <f>IFERROR(N9/L9,0)</f>
        <v/>
      </c>
      <c r="P9" s="43" t="n"/>
    </row>
    <row r="10" ht="15" customHeight="1" s="54">
      <c r="A10" s="43" t="n">
        <v>6</v>
      </c>
      <c r="B10" s="43" t="n"/>
      <c r="C10" s="43" t="n"/>
      <c r="D10" s="42" t="n"/>
      <c r="E10" s="25">
        <f>IFERROR(INDEX(Reference!$E:$E,MATCH("Equity|"&amp;C10&amp;"|"&amp;B10,Reference!$A:$A,0)),"")</f>
        <v/>
      </c>
      <c r="F10" s="25">
        <f>IFERROR(INDEX(Reference!$G:$G,MATCH("Equity|"&amp;C10&amp;"|"&amp;B10,Reference!$A:$A,0)),"")</f>
        <v/>
      </c>
      <c r="G10" s="25">
        <f>IFERROR(INDEX(Reference!$H:$H,MATCH("Equity|"&amp;C10&amp;"|"&amp;B10,Reference!$A:$A,0)),"")</f>
        <v/>
      </c>
      <c r="H10" s="48" t="n"/>
      <c r="I10" s="48" t="n"/>
      <c r="J10" s="49">
        <f>IFERROR(INDEX(Prices!$E:$E,MATCH("Equity|"&amp;C10&amp;"|"&amp;B10,Prices!$A:$A,0)),0)</f>
        <v/>
      </c>
      <c r="K10" s="79">
        <f>IF(D10="THB",1,FXRate)</f>
        <v/>
      </c>
      <c r="L10" s="65">
        <f>IFERROR(H10*I10*K10,0)</f>
        <v/>
      </c>
      <c r="M10" s="65">
        <f>IFERROR(H10*J10*K10,0)</f>
        <v/>
      </c>
      <c r="N10" s="65">
        <f>M10-L10</f>
        <v/>
      </c>
      <c r="O10" s="64">
        <f>IFERROR(N10/L10,0)</f>
        <v/>
      </c>
      <c r="P10" s="43" t="n"/>
    </row>
    <row r="11" ht="15" customHeight="1" s="54">
      <c r="A11" s="43" t="n">
        <v>7</v>
      </c>
      <c r="B11" s="43" t="n"/>
      <c r="C11" s="43" t="n"/>
      <c r="D11" s="42" t="n"/>
      <c r="E11" s="25">
        <f>IFERROR(INDEX(Reference!$E:$E,MATCH("Equity|"&amp;C11&amp;"|"&amp;B11,Reference!$A:$A,0)),"")</f>
        <v/>
      </c>
      <c r="F11" s="25">
        <f>IFERROR(INDEX(Reference!$G:$G,MATCH("Equity|"&amp;C11&amp;"|"&amp;B11,Reference!$A:$A,0)),"")</f>
        <v/>
      </c>
      <c r="G11" s="25">
        <f>IFERROR(INDEX(Reference!$H:$H,MATCH("Equity|"&amp;C11&amp;"|"&amp;B11,Reference!$A:$A,0)),"")</f>
        <v/>
      </c>
      <c r="H11" s="48" t="n"/>
      <c r="I11" s="48" t="n"/>
      <c r="J11" s="49">
        <f>IFERROR(INDEX(Prices!$E:$E,MATCH("Equity|"&amp;C11&amp;"|"&amp;B11,Prices!$A:$A,0)),0)</f>
        <v/>
      </c>
      <c r="K11" s="79">
        <f>IF(D11="THB",1,FXRate)</f>
        <v/>
      </c>
      <c r="L11" s="65">
        <f>IFERROR(H11*I11*K11,0)</f>
        <v/>
      </c>
      <c r="M11" s="65">
        <f>IFERROR(H11*J11*K11,0)</f>
        <v/>
      </c>
      <c r="N11" s="65">
        <f>M11-L11</f>
        <v/>
      </c>
      <c r="O11" s="64">
        <f>IFERROR(N11/L11,0)</f>
        <v/>
      </c>
      <c r="P11" s="43" t="n"/>
    </row>
    <row r="12" ht="15" customHeight="1" s="54">
      <c r="A12" s="43" t="n">
        <v>8</v>
      </c>
      <c r="B12" s="43" t="n"/>
      <c r="C12" s="43" t="n"/>
      <c r="D12" s="42" t="n"/>
      <c r="E12" s="25">
        <f>IFERROR(INDEX(Reference!$E:$E,MATCH("Equity|"&amp;C12&amp;"|"&amp;B12,Reference!$A:$A,0)),"")</f>
        <v/>
      </c>
      <c r="F12" s="25">
        <f>IFERROR(INDEX(Reference!$G:$G,MATCH("Equity|"&amp;C12&amp;"|"&amp;B12,Reference!$A:$A,0)),"")</f>
        <v/>
      </c>
      <c r="G12" s="25">
        <f>IFERROR(INDEX(Reference!$H:$H,MATCH("Equity|"&amp;C12&amp;"|"&amp;B12,Reference!$A:$A,0)),"")</f>
        <v/>
      </c>
      <c r="H12" s="48" t="n"/>
      <c r="I12" s="48" t="n"/>
      <c r="J12" s="49">
        <f>IFERROR(INDEX(Prices!$E:$E,MATCH("Equity|"&amp;C12&amp;"|"&amp;B12,Prices!$A:$A,0)),0)</f>
        <v/>
      </c>
      <c r="K12" s="79">
        <f>IF(D12="THB",1,FXRate)</f>
        <v/>
      </c>
      <c r="L12" s="65">
        <f>IFERROR(H12*I12*K12,0)</f>
        <v/>
      </c>
      <c r="M12" s="65">
        <f>IFERROR(H12*J12*K12,0)</f>
        <v/>
      </c>
      <c r="N12" s="65">
        <f>M12-L12</f>
        <v/>
      </c>
      <c r="O12" s="64">
        <f>IFERROR(N12/L12,0)</f>
        <v/>
      </c>
      <c r="P12" s="43" t="n"/>
    </row>
    <row r="13" ht="15" customHeight="1" s="54">
      <c r="A13" s="43" t="n">
        <v>9</v>
      </c>
      <c r="B13" s="43" t="n"/>
      <c r="C13" s="43" t="n"/>
      <c r="D13" s="42" t="n"/>
      <c r="E13" s="25">
        <f>IFERROR(INDEX(Reference!$E:$E,MATCH("Equity|"&amp;C13&amp;"|"&amp;B13,Reference!$A:$A,0)),"")</f>
        <v/>
      </c>
      <c r="F13" s="25">
        <f>IFERROR(INDEX(Reference!$G:$G,MATCH("Equity|"&amp;C13&amp;"|"&amp;B13,Reference!$A:$A,0)),"")</f>
        <v/>
      </c>
      <c r="G13" s="25">
        <f>IFERROR(INDEX(Reference!$H:$H,MATCH("Equity|"&amp;C13&amp;"|"&amp;B13,Reference!$A:$A,0)),"")</f>
        <v/>
      </c>
      <c r="H13" s="48" t="n"/>
      <c r="I13" s="48" t="n"/>
      <c r="J13" s="49">
        <f>IFERROR(INDEX(Prices!$E:$E,MATCH("Equity|"&amp;C13&amp;"|"&amp;B13,Prices!$A:$A,0)),0)</f>
        <v/>
      </c>
      <c r="K13" s="79">
        <f>IF(D13="THB",1,FXRate)</f>
        <v/>
      </c>
      <c r="L13" s="65">
        <f>IFERROR(H13*I13*K13,0)</f>
        <v/>
      </c>
      <c r="M13" s="65">
        <f>IFERROR(H13*J13*K13,0)</f>
        <v/>
      </c>
      <c r="N13" s="65">
        <f>M13-L13</f>
        <v/>
      </c>
      <c r="O13" s="64">
        <f>IFERROR(N13/L13,0)</f>
        <v/>
      </c>
      <c r="P13" s="43" t="n"/>
    </row>
    <row r="14" ht="15" customHeight="1" s="54">
      <c r="A14" s="43" t="n">
        <v>10</v>
      </c>
      <c r="B14" s="43" t="n"/>
      <c r="C14" s="43" t="n"/>
      <c r="D14" s="42" t="n"/>
      <c r="E14" s="25">
        <f>IFERROR(INDEX(Reference!$E:$E,MATCH("Equity|"&amp;C14&amp;"|"&amp;B14,Reference!$A:$A,0)),"")</f>
        <v/>
      </c>
      <c r="F14" s="25">
        <f>IFERROR(INDEX(Reference!$G:$G,MATCH("Equity|"&amp;C14&amp;"|"&amp;B14,Reference!$A:$A,0)),"")</f>
        <v/>
      </c>
      <c r="G14" s="25">
        <f>IFERROR(INDEX(Reference!$H:$H,MATCH("Equity|"&amp;C14&amp;"|"&amp;B14,Reference!$A:$A,0)),"")</f>
        <v/>
      </c>
      <c r="H14" s="48" t="n"/>
      <c r="I14" s="48" t="n"/>
      <c r="J14" s="49">
        <f>IFERROR(INDEX(Prices!$E:$E,MATCH("Equity|"&amp;C14&amp;"|"&amp;B14,Prices!$A:$A,0)),0)</f>
        <v/>
      </c>
      <c r="K14" s="79">
        <f>IF(D14="THB",1,FXRate)</f>
        <v/>
      </c>
      <c r="L14" s="65">
        <f>IFERROR(H14*I14*K14,0)</f>
        <v/>
      </c>
      <c r="M14" s="65">
        <f>IFERROR(H14*J14*K14,0)</f>
        <v/>
      </c>
      <c r="N14" s="65">
        <f>M14-L14</f>
        <v/>
      </c>
      <c r="O14" s="64">
        <f>IFERROR(N14/L14,0)</f>
        <v/>
      </c>
      <c r="P14" s="43" t="n"/>
    </row>
    <row r="15" ht="15" customHeight="1" s="54">
      <c r="A15" s="43" t="n">
        <v>11</v>
      </c>
      <c r="B15" s="43" t="n"/>
      <c r="C15" s="43" t="n"/>
      <c r="D15" s="42" t="n"/>
      <c r="E15" s="25">
        <f>IFERROR(INDEX(Reference!$E:$E,MATCH("Equity|"&amp;C15&amp;"|"&amp;B15,Reference!$A:$A,0)),"")</f>
        <v/>
      </c>
      <c r="F15" s="25">
        <f>IFERROR(INDEX(Reference!$G:$G,MATCH("Equity|"&amp;C15&amp;"|"&amp;B15,Reference!$A:$A,0)),"")</f>
        <v/>
      </c>
      <c r="G15" s="25">
        <f>IFERROR(INDEX(Reference!$H:$H,MATCH("Equity|"&amp;C15&amp;"|"&amp;B15,Reference!$A:$A,0)),"")</f>
        <v/>
      </c>
      <c r="H15" s="48" t="n"/>
      <c r="I15" s="48" t="n"/>
      <c r="J15" s="49">
        <f>IFERROR(INDEX(Prices!$E:$E,MATCH("Equity|"&amp;C15&amp;"|"&amp;B15,Prices!$A:$A,0)),0)</f>
        <v/>
      </c>
      <c r="K15" s="79">
        <f>IF(D15="THB",1,FXRate)</f>
        <v/>
      </c>
      <c r="L15" s="65">
        <f>IFERROR(H15*I15*K15,0)</f>
        <v/>
      </c>
      <c r="M15" s="65">
        <f>IFERROR(H15*J15*K15,0)</f>
        <v/>
      </c>
      <c r="N15" s="65">
        <f>M15-L15</f>
        <v/>
      </c>
      <c r="O15" s="64">
        <f>IFERROR(N15/L15,0)</f>
        <v/>
      </c>
      <c r="P15" s="43" t="n"/>
    </row>
    <row r="16" ht="15" customHeight="1" s="54">
      <c r="A16" s="43" t="n">
        <v>12</v>
      </c>
      <c r="B16" s="43" t="n"/>
      <c r="C16" s="43" t="n"/>
      <c r="D16" s="42" t="n"/>
      <c r="E16" s="25">
        <f>IFERROR(INDEX(Reference!$E:$E,MATCH("Equity|"&amp;C16&amp;"|"&amp;B16,Reference!$A:$A,0)),"")</f>
        <v/>
      </c>
      <c r="F16" s="25">
        <f>IFERROR(INDEX(Reference!$G:$G,MATCH("Equity|"&amp;C16&amp;"|"&amp;B16,Reference!$A:$A,0)),"")</f>
        <v/>
      </c>
      <c r="G16" s="25">
        <f>IFERROR(INDEX(Reference!$H:$H,MATCH("Equity|"&amp;C16&amp;"|"&amp;B16,Reference!$A:$A,0)),"")</f>
        <v/>
      </c>
      <c r="H16" s="48" t="n"/>
      <c r="I16" s="48" t="n"/>
      <c r="J16" s="49">
        <f>IFERROR(INDEX(Prices!$E:$E,MATCH("Equity|"&amp;C16&amp;"|"&amp;B16,Prices!$A:$A,0)),0)</f>
        <v/>
      </c>
      <c r="K16" s="79">
        <f>IF(D16="THB",1,FXRate)</f>
        <v/>
      </c>
      <c r="L16" s="65">
        <f>IFERROR(H16*I16*K16,0)</f>
        <v/>
      </c>
      <c r="M16" s="65">
        <f>IFERROR(H16*J16*K16,0)</f>
        <v/>
      </c>
      <c r="N16" s="65">
        <f>M16-L16</f>
        <v/>
      </c>
      <c r="O16" s="64">
        <f>IFERROR(N16/L16,0)</f>
        <v/>
      </c>
      <c r="P16" s="43" t="n"/>
    </row>
    <row r="17" ht="15" customHeight="1" s="54">
      <c r="A17" s="43" t="n">
        <v>13</v>
      </c>
      <c r="B17" s="43" t="n"/>
      <c r="C17" s="43" t="n"/>
      <c r="D17" s="42" t="n"/>
      <c r="E17" s="25">
        <f>IFERROR(INDEX(Reference!$E:$E,MATCH("Equity|"&amp;C17&amp;"|"&amp;B17,Reference!$A:$A,0)),"")</f>
        <v/>
      </c>
      <c r="F17" s="25">
        <f>IFERROR(INDEX(Reference!$G:$G,MATCH("Equity|"&amp;C17&amp;"|"&amp;B17,Reference!$A:$A,0)),"")</f>
        <v/>
      </c>
      <c r="G17" s="25">
        <f>IFERROR(INDEX(Reference!$H:$H,MATCH("Equity|"&amp;C17&amp;"|"&amp;B17,Reference!$A:$A,0)),"")</f>
        <v/>
      </c>
      <c r="H17" s="48" t="n"/>
      <c r="I17" s="48" t="n"/>
      <c r="J17" s="49">
        <f>IFERROR(INDEX(Prices!$E:$E,MATCH("Equity|"&amp;C17&amp;"|"&amp;B17,Prices!$A:$A,0)),0)</f>
        <v/>
      </c>
      <c r="K17" s="79">
        <f>IF(D17="THB",1,FXRate)</f>
        <v/>
      </c>
      <c r="L17" s="65">
        <f>IFERROR(H17*I17*K17,0)</f>
        <v/>
      </c>
      <c r="M17" s="65">
        <f>IFERROR(H17*J17*K17,0)</f>
        <v/>
      </c>
      <c r="N17" s="65">
        <f>M17-L17</f>
        <v/>
      </c>
      <c r="O17" s="64">
        <f>IFERROR(N17/L17,0)</f>
        <v/>
      </c>
      <c r="P17" s="43" t="n"/>
    </row>
    <row r="18" ht="15" customHeight="1" s="54">
      <c r="A18" s="43" t="n">
        <v>14</v>
      </c>
      <c r="B18" s="43" t="n"/>
      <c r="C18" s="43" t="n"/>
      <c r="D18" s="42" t="n"/>
      <c r="E18" s="25">
        <f>IFERROR(INDEX(Reference!$E:$E,MATCH("Equity|"&amp;C18&amp;"|"&amp;B18,Reference!$A:$A,0)),"")</f>
        <v/>
      </c>
      <c r="F18" s="25">
        <f>IFERROR(INDEX(Reference!$G:$G,MATCH("Equity|"&amp;C18&amp;"|"&amp;B18,Reference!$A:$A,0)),"")</f>
        <v/>
      </c>
      <c r="G18" s="25">
        <f>IFERROR(INDEX(Reference!$H:$H,MATCH("Equity|"&amp;C18&amp;"|"&amp;B18,Reference!$A:$A,0)),"")</f>
        <v/>
      </c>
      <c r="H18" s="48" t="n"/>
      <c r="I18" s="48" t="n"/>
      <c r="J18" s="48" t="n"/>
      <c r="K18" s="79">
        <f>IF(D18="THB",1,FXRate)</f>
        <v/>
      </c>
      <c r="L18" s="65">
        <f>191552.09*K18</f>
        <v/>
      </c>
      <c r="M18" s="65">
        <f>191552.09*K18</f>
        <v/>
      </c>
      <c r="N18" s="65">
        <f>M18-L18</f>
        <v/>
      </c>
      <c r="O18" s="64">
        <f>IFERROR(N18/L18,0)</f>
        <v/>
      </c>
      <c r="P18" s="43" t="n"/>
    </row>
    <row r="19" ht="15" customHeight="1" s="54">
      <c r="A19" s="43" t="n">
        <v>15</v>
      </c>
      <c r="B19" s="43" t="n"/>
      <c r="C19" s="43" t="n"/>
      <c r="D19" s="42" t="n"/>
      <c r="E19" s="25">
        <f>IFERROR(INDEX(Reference!$E:$E,MATCH("Equity|"&amp;C19&amp;"|"&amp;B19,Reference!$A:$A,0)),"")</f>
        <v/>
      </c>
      <c r="F19" s="25">
        <f>IFERROR(INDEX(Reference!$G:$G,MATCH("Equity|"&amp;C19&amp;"|"&amp;B19,Reference!$A:$A,0)),"")</f>
        <v/>
      </c>
      <c r="G19" s="25">
        <f>IFERROR(INDEX(Reference!$H:$H,MATCH("Equity|"&amp;C19&amp;"|"&amp;B19,Reference!$A:$A,0)),"")</f>
        <v/>
      </c>
      <c r="H19" s="48" t="n"/>
      <c r="I19" s="48" t="n"/>
      <c r="J19" s="49">
        <f>IFERROR(INDEX(Prices!$E:$E,MATCH("Equity|"&amp;C19&amp;"|"&amp;B19,Prices!$A:$A,0)),0)</f>
        <v/>
      </c>
      <c r="K19" s="79">
        <f>IF(D19="THB",1,FXRate)</f>
        <v/>
      </c>
      <c r="L19" s="65">
        <f>IFERROR(H19*I19*K19,0)</f>
        <v/>
      </c>
      <c r="M19" s="65">
        <f>IFERROR(H19*J19*K19,0)</f>
        <v/>
      </c>
      <c r="N19" s="65">
        <f>M19-L19</f>
        <v/>
      </c>
      <c r="O19" s="64">
        <f>IFERROR(N19/L19,0)</f>
        <v/>
      </c>
      <c r="P19" s="43" t="n"/>
    </row>
    <row r="20" ht="15" customHeight="1" s="54">
      <c r="A20" s="43" t="n">
        <v>16</v>
      </c>
      <c r="B20" s="43" t="n"/>
      <c r="C20" s="43" t="n"/>
      <c r="D20" s="42" t="n"/>
      <c r="E20" s="25">
        <f>IFERROR(INDEX(Reference!$E:$E,MATCH("Equity|"&amp;C20&amp;"|"&amp;B20,Reference!$A:$A,0)),"")</f>
        <v/>
      </c>
      <c r="F20" s="25">
        <f>IFERROR(INDEX(Reference!$G:$G,MATCH("Equity|"&amp;C20&amp;"|"&amp;B20,Reference!$A:$A,0)),"")</f>
        <v/>
      </c>
      <c r="G20" s="25">
        <f>IFERROR(INDEX(Reference!$H:$H,MATCH("Equity|"&amp;C20&amp;"|"&amp;B20,Reference!$A:$A,0)),"")</f>
        <v/>
      </c>
      <c r="H20" s="48" t="n"/>
      <c r="I20" s="48" t="n"/>
      <c r="J20" s="49">
        <f>IFERROR(INDEX(Prices!$E:$E,MATCH("Equity|"&amp;C20&amp;"|"&amp;B20,Prices!$A:$A,0)),0)</f>
        <v/>
      </c>
      <c r="K20" s="79">
        <f>IF(D20="THB",1,FXRate)</f>
        <v/>
      </c>
      <c r="L20" s="65">
        <f>IFERROR(H20*I20*K20,0)</f>
        <v/>
      </c>
      <c r="M20" s="65">
        <f>IFERROR(H20*J20*K20,0)</f>
        <v/>
      </c>
      <c r="N20" s="65">
        <f>M20-L20</f>
        <v/>
      </c>
      <c r="O20" s="64">
        <f>IFERROR(N20/L20,0)</f>
        <v/>
      </c>
      <c r="P20" s="43" t="n"/>
    </row>
    <row r="21" ht="15" customHeight="1" s="54">
      <c r="A21" s="43" t="n">
        <v>17</v>
      </c>
      <c r="B21" s="43" t="n"/>
      <c r="C21" s="43" t="n"/>
      <c r="D21" s="42" t="n"/>
      <c r="E21" s="25">
        <f>IFERROR(INDEX(Reference!$E:$E,MATCH("Equity|"&amp;C21&amp;"|"&amp;B21,Reference!$A:$A,0)),"")</f>
        <v/>
      </c>
      <c r="F21" s="25">
        <f>IFERROR(INDEX(Reference!$G:$G,MATCH("Equity|"&amp;C21&amp;"|"&amp;B21,Reference!$A:$A,0)),"")</f>
        <v/>
      </c>
      <c r="G21" s="25">
        <f>IFERROR(INDEX(Reference!$H:$H,MATCH("Equity|"&amp;C21&amp;"|"&amp;B21,Reference!$A:$A,0)),"")</f>
        <v/>
      </c>
      <c r="H21" s="48" t="n"/>
      <c r="I21" s="48" t="n"/>
      <c r="J21" s="49">
        <f>IFERROR(INDEX(Prices!$E:$E,MATCH("Equity|"&amp;C21&amp;"|"&amp;B21,Prices!$A:$A,0)),0)</f>
        <v/>
      </c>
      <c r="K21" s="79">
        <f>IF(D21="THB",1,FXRate)</f>
        <v/>
      </c>
      <c r="L21" s="65">
        <f>IFERROR(H21*I21*K21,0)</f>
        <v/>
      </c>
      <c r="M21" s="65">
        <f>IFERROR(H21*J21*K21,0)</f>
        <v/>
      </c>
      <c r="N21" s="65">
        <f>M21-L21</f>
        <v/>
      </c>
      <c r="O21" s="64">
        <f>IFERROR(N21/L21,0)</f>
        <v/>
      </c>
      <c r="P21" s="43" t="n"/>
    </row>
    <row r="22" ht="15" customHeight="1" s="54">
      <c r="A22" s="43" t="n">
        <v>18</v>
      </c>
      <c r="B22" s="43" t="n"/>
      <c r="C22" s="43" t="n"/>
      <c r="D22" s="42" t="n"/>
      <c r="E22" s="25">
        <f>IFERROR(INDEX(Reference!$E:$E,MATCH("Equity|"&amp;C22&amp;"|"&amp;B22,Reference!$A:$A,0)),"")</f>
        <v/>
      </c>
      <c r="F22" s="25">
        <f>IFERROR(INDEX(Reference!$G:$G,MATCH("Equity|"&amp;C22&amp;"|"&amp;B22,Reference!$A:$A,0)),"")</f>
        <v/>
      </c>
      <c r="G22" s="25">
        <f>IFERROR(INDEX(Reference!$H:$H,MATCH("Equity|"&amp;C22&amp;"|"&amp;B22,Reference!$A:$A,0)),"")</f>
        <v/>
      </c>
      <c r="H22" s="48" t="n"/>
      <c r="I22" s="48" t="n"/>
      <c r="J22" s="49">
        <f>IFERROR(INDEX(Prices!$E:$E,MATCH("Equity|"&amp;C22&amp;"|"&amp;B22,Prices!$A:$A,0)),0)</f>
        <v/>
      </c>
      <c r="K22" s="79">
        <f>IF(D22="THB",1,FXRate)</f>
        <v/>
      </c>
      <c r="L22" s="65">
        <f>IFERROR(H22*I22*K22,0)</f>
        <v/>
      </c>
      <c r="M22" s="65">
        <f>IFERROR(H22*J22*K22,0)</f>
        <v/>
      </c>
      <c r="N22" s="65">
        <f>M22-L22</f>
        <v/>
      </c>
      <c r="O22" s="64">
        <f>IFERROR(N22/L22,0)</f>
        <v/>
      </c>
      <c r="P22" s="43" t="n"/>
    </row>
    <row r="23" ht="15" customHeight="1" s="54">
      <c r="A23" s="43" t="n">
        <v>19</v>
      </c>
      <c r="B23" s="43" t="n"/>
      <c r="C23" s="43" t="n"/>
      <c r="D23" s="42" t="n"/>
      <c r="E23" s="25">
        <f>IFERROR(INDEX(Reference!$E:$E,MATCH("Equity|"&amp;C23&amp;"|"&amp;B23,Reference!$A:$A,0)),"")</f>
        <v/>
      </c>
      <c r="F23" s="25">
        <f>IFERROR(INDEX(Reference!$G:$G,MATCH("Equity|"&amp;C23&amp;"|"&amp;B23,Reference!$A:$A,0)),"")</f>
        <v/>
      </c>
      <c r="G23" s="25">
        <f>IFERROR(INDEX(Reference!$H:$H,MATCH("Equity|"&amp;C23&amp;"|"&amp;B23,Reference!$A:$A,0)),"")</f>
        <v/>
      </c>
      <c r="H23" s="48" t="n"/>
      <c r="I23" s="48" t="n"/>
      <c r="J23" s="48" t="n"/>
      <c r="K23" s="79">
        <f>IF(D23="THB",1,FXRate)</f>
        <v/>
      </c>
      <c r="L23" s="65">
        <f>92974.83*K23</f>
        <v/>
      </c>
      <c r="M23" s="65">
        <f>92974.83*K23</f>
        <v/>
      </c>
      <c r="N23" s="65">
        <f>M23-L23</f>
        <v/>
      </c>
      <c r="O23" s="64">
        <f>IFERROR(N23/L23,0)</f>
        <v/>
      </c>
      <c r="P23" s="43" t="n"/>
    </row>
    <row r="24" ht="15" customHeight="1" s="54">
      <c r="A24" s="43" t="n">
        <v>20</v>
      </c>
      <c r="B24" s="43" t="n"/>
      <c r="C24" s="43" t="n"/>
      <c r="D24" s="42" t="n"/>
      <c r="E24" s="25">
        <f>IFERROR(INDEX(Reference!$E:$E,MATCH("Equity|"&amp;C24&amp;"|"&amp;B24,Reference!$A:$A,0)),"")</f>
        <v/>
      </c>
      <c r="F24" s="25">
        <f>IFERROR(INDEX(Reference!$G:$G,MATCH("Equity|"&amp;C24&amp;"|"&amp;B24,Reference!$A:$A,0)),"")</f>
        <v/>
      </c>
      <c r="G24" s="25">
        <f>IFERROR(INDEX(Reference!$H:$H,MATCH("Equity|"&amp;C24&amp;"|"&amp;B24,Reference!$A:$A,0)),"")</f>
        <v/>
      </c>
      <c r="H24" s="48" t="n"/>
      <c r="I24" s="48" t="n"/>
      <c r="J24" s="48" t="n"/>
      <c r="K24" s="79">
        <f>IF(D24="THB",1,FXRate)</f>
        <v/>
      </c>
      <c r="L24" s="65">
        <f>22415.74*K24</f>
        <v/>
      </c>
      <c r="M24" s="65">
        <f>22415.74*K24</f>
        <v/>
      </c>
      <c r="N24" s="65">
        <f>M24-L24</f>
        <v/>
      </c>
      <c r="O24" s="64">
        <f>IFERROR(N24/L24,0)</f>
        <v/>
      </c>
      <c r="P24" s="43" t="n"/>
    </row>
    <row r="25" ht="15" customHeight="1" s="54">
      <c r="A25" s="43" t="n">
        <v>21</v>
      </c>
      <c r="B25" s="43" t="n"/>
      <c r="C25" s="43" t="n"/>
      <c r="D25" s="42" t="n"/>
      <c r="E25" s="25">
        <f>IFERROR(INDEX(Reference!$E:$E,MATCH("Equity|"&amp;C25&amp;"|"&amp;B25,Reference!$A:$A,0)),"")</f>
        <v/>
      </c>
      <c r="F25" s="25">
        <f>IFERROR(INDEX(Reference!$G:$G,MATCH("Equity|"&amp;C25&amp;"|"&amp;B25,Reference!$A:$A,0)),"")</f>
        <v/>
      </c>
      <c r="G25" s="25">
        <f>IFERROR(INDEX(Reference!$H:$H,MATCH("Equity|"&amp;C25&amp;"|"&amp;B25,Reference!$A:$A,0)),"")</f>
        <v/>
      </c>
      <c r="H25" s="48" t="n"/>
      <c r="I25" s="48" t="n"/>
      <c r="J25" s="49">
        <f>IFERROR(INDEX(Prices!$E:$E,MATCH("Equity|"&amp;C25&amp;"|"&amp;B25,Prices!$A:$A,0)),0)</f>
        <v/>
      </c>
      <c r="K25" s="79">
        <f>IF(D25="THB",1,FXRate)</f>
        <v/>
      </c>
      <c r="L25" s="65">
        <f>IFERROR(H25*I25*K25,0)</f>
        <v/>
      </c>
      <c r="M25" s="65">
        <f>IFERROR(H25*J25*K25,0)</f>
        <v/>
      </c>
      <c r="N25" s="65">
        <f>M25-L25</f>
        <v/>
      </c>
      <c r="O25" s="64">
        <f>IFERROR(N25/L25,0)</f>
        <v/>
      </c>
      <c r="P25" s="43" t="n"/>
    </row>
    <row r="26" ht="15" customHeight="1" s="54">
      <c r="A26" s="43" t="n">
        <v>22</v>
      </c>
      <c r="B26" s="43" t="n"/>
      <c r="C26" s="43" t="n"/>
      <c r="D26" s="42" t="n"/>
      <c r="E26" s="25">
        <f>IFERROR(INDEX(Reference!$E:$E,MATCH("Equity|"&amp;C26&amp;"|"&amp;B26,Reference!$A:$A,0)),"")</f>
        <v/>
      </c>
      <c r="F26" s="25">
        <f>IFERROR(INDEX(Reference!$G:$G,MATCH("Equity|"&amp;C26&amp;"|"&amp;B26,Reference!$A:$A,0)),"")</f>
        <v/>
      </c>
      <c r="G26" s="25">
        <f>IFERROR(INDEX(Reference!$H:$H,MATCH("Equity|"&amp;C26&amp;"|"&amp;B26,Reference!$A:$A,0)),"")</f>
        <v/>
      </c>
      <c r="H26" s="48" t="n"/>
      <c r="I26" s="48" t="n"/>
      <c r="J26" s="49">
        <f>IFERROR(INDEX(Prices!$E:$E,MATCH("Equity|"&amp;C26&amp;"|"&amp;B26,Prices!$A:$A,0)),0)</f>
        <v/>
      </c>
      <c r="K26" s="79">
        <f>IF(D26="THB",1,FXRate)</f>
        <v/>
      </c>
      <c r="L26" s="65">
        <f>IFERROR(H26*I26*K26,0)</f>
        <v/>
      </c>
      <c r="M26" s="65">
        <f>IFERROR(H26*J26*K26,0)</f>
        <v/>
      </c>
      <c r="N26" s="65">
        <f>M26-L26</f>
        <v/>
      </c>
      <c r="O26" s="64">
        <f>IFERROR(N26/L26,0)</f>
        <v/>
      </c>
      <c r="P26" s="43" t="n"/>
    </row>
    <row r="27" ht="15" customHeight="1" s="54">
      <c r="A27" s="43" t="n">
        <v>23</v>
      </c>
      <c r="B27" s="43" t="n"/>
      <c r="C27" s="43" t="n"/>
      <c r="D27" s="42" t="n"/>
      <c r="E27" s="25">
        <f>IFERROR(INDEX(Reference!$E:$E,MATCH("Equity|"&amp;C27&amp;"|"&amp;B27,Reference!$A:$A,0)),"")</f>
        <v/>
      </c>
      <c r="F27" s="25">
        <f>IFERROR(INDEX(Reference!$G:$G,MATCH("Equity|"&amp;C27&amp;"|"&amp;B27,Reference!$A:$A,0)),"")</f>
        <v/>
      </c>
      <c r="G27" s="25">
        <f>IFERROR(INDEX(Reference!$H:$H,MATCH("Equity|"&amp;C27&amp;"|"&amp;B27,Reference!$A:$A,0)),"")</f>
        <v/>
      </c>
      <c r="H27" s="48" t="n"/>
      <c r="I27" s="48" t="n"/>
      <c r="J27" s="49">
        <f>IFERROR(INDEX(Prices!$E:$E,MATCH("Equity|"&amp;C27&amp;"|"&amp;B27,Prices!$A:$A,0)),0)</f>
        <v/>
      </c>
      <c r="K27" s="79">
        <f>IF(D27="THB",1,FXRate)</f>
        <v/>
      </c>
      <c r="L27" s="65">
        <f>IFERROR(H27*I27*K27,0)</f>
        <v/>
      </c>
      <c r="M27" s="65">
        <f>IFERROR(H27*J27*K27,0)</f>
        <v/>
      </c>
      <c r="N27" s="65">
        <f>M27-L27</f>
        <v/>
      </c>
      <c r="O27" s="64">
        <f>IFERROR(N27/L27,0)</f>
        <v/>
      </c>
      <c r="P27" s="43" t="n"/>
    </row>
    <row r="28" ht="15" customHeight="1" s="54">
      <c r="A28" s="43" t="n">
        <v>24</v>
      </c>
      <c r="B28" s="43" t="n"/>
      <c r="C28" s="43" t="n"/>
      <c r="D28" s="42" t="n"/>
      <c r="E28" s="25">
        <f>IFERROR(INDEX(Reference!$E:$E,MATCH("Equity|"&amp;C28&amp;"|"&amp;B28,Reference!$A:$A,0)),"")</f>
        <v/>
      </c>
      <c r="F28" s="25">
        <f>IFERROR(INDEX(Reference!$G:$G,MATCH("Equity|"&amp;C28&amp;"|"&amp;B28,Reference!$A:$A,0)),"")</f>
        <v/>
      </c>
      <c r="G28" s="25">
        <f>IFERROR(INDEX(Reference!$H:$H,MATCH("Equity|"&amp;C28&amp;"|"&amp;B28,Reference!$A:$A,0)),"")</f>
        <v/>
      </c>
      <c r="H28" s="48" t="n"/>
      <c r="I28" s="48" t="n"/>
      <c r="J28" s="49">
        <f>IFERROR(INDEX(Prices!$E:$E,MATCH("Equity|"&amp;C28&amp;"|"&amp;B28,Prices!$A:$A,0)),0)</f>
        <v/>
      </c>
      <c r="K28" s="79">
        <f>IF(D28="THB",1,FXRate)</f>
        <v/>
      </c>
      <c r="L28" s="65">
        <f>IFERROR(H28*I28*K28,0)</f>
        <v/>
      </c>
      <c r="M28" s="65">
        <f>IFERROR(H28*J28*K28,0)</f>
        <v/>
      </c>
      <c r="N28" s="65">
        <f>M28-L28</f>
        <v/>
      </c>
      <c r="O28" s="64">
        <f>IFERROR(N28/L28,0)</f>
        <v/>
      </c>
      <c r="P28" s="43" t="n"/>
    </row>
    <row r="29" ht="15" customHeight="1" s="54">
      <c r="A29" s="43" t="n">
        <v>25</v>
      </c>
      <c r="B29" s="43" t="n"/>
      <c r="C29" s="43" t="n"/>
      <c r="D29" s="42" t="n"/>
      <c r="E29" s="25">
        <f>IFERROR(INDEX(Reference!$E:$E,MATCH("Equity|"&amp;C29&amp;"|"&amp;B29,Reference!$A:$A,0)),"")</f>
        <v/>
      </c>
      <c r="F29" s="25">
        <f>IFERROR(INDEX(Reference!$G:$G,MATCH("Equity|"&amp;C29&amp;"|"&amp;B29,Reference!$A:$A,0)),"")</f>
        <v/>
      </c>
      <c r="G29" s="25">
        <f>IFERROR(INDEX(Reference!$H:$H,MATCH("Equity|"&amp;C29&amp;"|"&amp;B29,Reference!$A:$A,0)),"")</f>
        <v/>
      </c>
      <c r="H29" s="48" t="n"/>
      <c r="I29" s="48" t="n"/>
      <c r="J29" s="49">
        <f>IFERROR(INDEX(Prices!$E:$E,MATCH("Equity|"&amp;C29&amp;"|"&amp;B29,Prices!$A:$A,0)),0)</f>
        <v/>
      </c>
      <c r="K29" s="79">
        <f>IF(D29="THB",1,FXRate)</f>
        <v/>
      </c>
      <c r="L29" s="65">
        <f>IFERROR(H29*I29*K29,0)</f>
        <v/>
      </c>
      <c r="M29" s="65">
        <f>IFERROR(H29*J29*K29,0)</f>
        <v/>
      </c>
      <c r="N29" s="65">
        <f>M29-L29</f>
        <v/>
      </c>
      <c r="O29" s="64">
        <f>IFERROR(N29/L29,0)</f>
        <v/>
      </c>
      <c r="P29" s="43" t="n"/>
    </row>
    <row r="30" ht="15" customHeight="1" s="54">
      <c r="A30" s="43" t="n">
        <v>26</v>
      </c>
      <c r="B30" s="43" t="n"/>
      <c r="C30" s="43" t="n"/>
      <c r="D30" s="42" t="n"/>
      <c r="E30" s="25">
        <f>IFERROR(INDEX(Reference!$E:$E,MATCH("Equity|"&amp;C30&amp;"|"&amp;B30,Reference!$A:$A,0)),"")</f>
        <v/>
      </c>
      <c r="F30" s="25">
        <f>IFERROR(INDEX(Reference!$G:$G,MATCH("Equity|"&amp;C30&amp;"|"&amp;B30,Reference!$A:$A,0)),"")</f>
        <v/>
      </c>
      <c r="G30" s="25">
        <f>IFERROR(INDEX(Reference!$H:$H,MATCH("Equity|"&amp;C30&amp;"|"&amp;B30,Reference!$A:$A,0)),"")</f>
        <v/>
      </c>
      <c r="H30" s="48" t="n"/>
      <c r="I30" s="48" t="n"/>
      <c r="J30" s="49">
        <f>IFERROR(INDEX(Prices!$E:$E,MATCH("Equity|"&amp;C30&amp;"|"&amp;B30,Prices!$A:$A,0)),0)</f>
        <v/>
      </c>
      <c r="K30" s="79">
        <f>IF(D30="THB",1,FXRate)</f>
        <v/>
      </c>
      <c r="L30" s="65">
        <f>IFERROR(H30*I30*K30,0)</f>
        <v/>
      </c>
      <c r="M30" s="65">
        <f>IFERROR(H30*J30*K30,0)</f>
        <v/>
      </c>
      <c r="N30" s="65">
        <f>M30-L30</f>
        <v/>
      </c>
      <c r="O30" s="64">
        <f>IFERROR(N30/L30,0)</f>
        <v/>
      </c>
      <c r="P30" s="43" t="n"/>
    </row>
    <row r="31" ht="15" customHeight="1" s="54">
      <c r="A31" s="43" t="n">
        <v>27</v>
      </c>
      <c r="B31" s="43" t="n"/>
      <c r="C31" s="43" t="n"/>
      <c r="D31" s="42" t="n"/>
      <c r="E31" s="25">
        <f>IFERROR(INDEX(Reference!$E:$E,MATCH("Equity|"&amp;C31&amp;"|"&amp;B31,Reference!$A:$A,0)),"")</f>
        <v/>
      </c>
      <c r="F31" s="25">
        <f>IFERROR(INDEX(Reference!$G:$G,MATCH("Equity|"&amp;C31&amp;"|"&amp;B31,Reference!$A:$A,0)),"")</f>
        <v/>
      </c>
      <c r="G31" s="25">
        <f>IFERROR(INDEX(Reference!$H:$H,MATCH("Equity|"&amp;C31&amp;"|"&amp;B31,Reference!$A:$A,0)),"")</f>
        <v/>
      </c>
      <c r="H31" s="48" t="n"/>
      <c r="I31" s="48" t="n"/>
      <c r="J31" s="49">
        <f>IFERROR(INDEX(Prices!$E:$E,MATCH("Equity|"&amp;C31&amp;"|"&amp;B31,Prices!$A:$A,0)),0)</f>
        <v/>
      </c>
      <c r="K31" s="79">
        <f>IF(D31="THB",1,FXRate)</f>
        <v/>
      </c>
      <c r="L31" s="65">
        <f>IFERROR(H31*I31*K31,0)</f>
        <v/>
      </c>
      <c r="M31" s="65">
        <f>IFERROR(H31*J31*K31,0)</f>
        <v/>
      </c>
      <c r="N31" s="65">
        <f>M31-L31</f>
        <v/>
      </c>
      <c r="O31" s="64">
        <f>IFERROR(N31/L31,0)</f>
        <v/>
      </c>
      <c r="P31" s="43" t="n"/>
    </row>
    <row r="32" ht="15" customHeight="1" s="54">
      <c r="A32" s="43" t="n">
        <v>28</v>
      </c>
      <c r="B32" s="43" t="n"/>
      <c r="C32" s="43" t="n"/>
      <c r="D32" s="42" t="n"/>
      <c r="E32" s="25">
        <f>IFERROR(INDEX(Reference!$E:$E,MATCH("Equity|"&amp;C32&amp;"|"&amp;B32,Reference!$A:$A,0)),"")</f>
        <v/>
      </c>
      <c r="F32" s="25">
        <f>IFERROR(INDEX(Reference!$G:$G,MATCH("Equity|"&amp;C32&amp;"|"&amp;B32,Reference!$A:$A,0)),"")</f>
        <v/>
      </c>
      <c r="G32" s="25">
        <f>IFERROR(INDEX(Reference!$H:$H,MATCH("Equity|"&amp;C32&amp;"|"&amp;B32,Reference!$A:$A,0)),"")</f>
        <v/>
      </c>
      <c r="H32" s="48" t="n"/>
      <c r="I32" s="48" t="n"/>
      <c r="J32" s="49">
        <f>IFERROR(INDEX(Prices!$E:$E,MATCH("Equity|"&amp;C32&amp;"|"&amp;B32,Prices!$A:$A,0)),0)</f>
        <v/>
      </c>
      <c r="K32" s="79">
        <f>IF(D32="THB",1,FXRate)</f>
        <v/>
      </c>
      <c r="L32" s="65">
        <f>IFERROR(H32*I32*K32,0)</f>
        <v/>
      </c>
      <c r="M32" s="65">
        <f>IFERROR(H32*J32*K32,0)</f>
        <v/>
      </c>
      <c r="N32" s="65">
        <f>M32-L32</f>
        <v/>
      </c>
      <c r="O32" s="64">
        <f>IFERROR(N32/L32,0)</f>
        <v/>
      </c>
      <c r="P32" s="43" t="n"/>
    </row>
    <row r="33" ht="15" customHeight="1" s="54">
      <c r="A33" s="43" t="n">
        <v>29</v>
      </c>
      <c r="B33" s="43" t="n"/>
      <c r="C33" s="43" t="n"/>
      <c r="D33" s="42" t="n"/>
      <c r="E33" s="25">
        <f>IFERROR(INDEX(Reference!$E:$E,MATCH("Equity|"&amp;C33&amp;"|"&amp;B33,Reference!$A:$A,0)),"")</f>
        <v/>
      </c>
      <c r="F33" s="25">
        <f>IFERROR(INDEX(Reference!$G:$G,MATCH("Equity|"&amp;C33&amp;"|"&amp;B33,Reference!$A:$A,0)),"")</f>
        <v/>
      </c>
      <c r="G33" s="25">
        <f>IFERROR(INDEX(Reference!$H:$H,MATCH("Equity|"&amp;C33&amp;"|"&amp;B33,Reference!$A:$A,0)),"")</f>
        <v/>
      </c>
      <c r="H33" s="48" t="n"/>
      <c r="I33" s="48" t="n"/>
      <c r="J33" s="49">
        <f>IFERROR(INDEX(Prices!$E:$E,MATCH("Equity|"&amp;C33&amp;"|"&amp;B33,Prices!$A:$A,0)),0)</f>
        <v/>
      </c>
      <c r="K33" s="79">
        <f>IF(D33="THB",1,FXRate)</f>
        <v/>
      </c>
      <c r="L33" s="65">
        <f>IFERROR(H33*I33*K33,0)</f>
        <v/>
      </c>
      <c r="M33" s="65">
        <f>IFERROR(H33*J33*K33,0)</f>
        <v/>
      </c>
      <c r="N33" s="65">
        <f>M33-L33</f>
        <v/>
      </c>
      <c r="O33" s="64">
        <f>IFERROR(N33/L33,0)</f>
        <v/>
      </c>
      <c r="P33" s="43" t="n"/>
    </row>
    <row r="34" ht="15" customHeight="1" s="54">
      <c r="A34" s="43" t="n">
        <v>30</v>
      </c>
      <c r="B34" s="43" t="n"/>
      <c r="C34" s="43" t="n"/>
      <c r="D34" s="42" t="n"/>
      <c r="E34" s="25">
        <f>IFERROR(INDEX(Reference!$E:$E,MATCH("Equity|"&amp;C34&amp;"|"&amp;B34,Reference!$A:$A,0)),"")</f>
        <v/>
      </c>
      <c r="F34" s="25">
        <f>IFERROR(INDEX(Reference!$G:$G,MATCH("Equity|"&amp;C34&amp;"|"&amp;B34,Reference!$A:$A,0)),"")</f>
        <v/>
      </c>
      <c r="G34" s="25">
        <f>IFERROR(INDEX(Reference!$H:$H,MATCH("Equity|"&amp;C34&amp;"|"&amp;B34,Reference!$A:$A,0)),"")</f>
        <v/>
      </c>
      <c r="H34" s="48" t="n"/>
      <c r="I34" s="48" t="n"/>
      <c r="J34" s="49">
        <f>IFERROR(INDEX(Prices!$E:$E,MATCH("Equity|"&amp;C34&amp;"|"&amp;B34,Prices!$A:$A,0)),0)</f>
        <v/>
      </c>
      <c r="K34" s="79">
        <f>IF(D34="THB",1,FXRate)</f>
        <v/>
      </c>
      <c r="L34" s="65">
        <f>IFERROR(H34*I34*K34,0)</f>
        <v/>
      </c>
      <c r="M34" s="65">
        <f>IFERROR(H34*J34*K34,0)</f>
        <v/>
      </c>
      <c r="N34" s="65">
        <f>M34-L34</f>
        <v/>
      </c>
      <c r="O34" s="64">
        <f>IFERROR(N34/L34,0)</f>
        <v/>
      </c>
      <c r="P34" s="43" t="n"/>
    </row>
    <row r="35" ht="15" customHeight="1" s="54">
      <c r="A35" s="43" t="n">
        <v>31</v>
      </c>
      <c r="B35" s="43" t="n"/>
      <c r="C35" s="43" t="n"/>
      <c r="D35" s="42" t="n"/>
      <c r="E35" s="25">
        <f>IFERROR(INDEX(Reference!$E:$E,MATCH("Equity|"&amp;C35&amp;"|"&amp;B35,Reference!$A:$A,0)),"")</f>
        <v/>
      </c>
      <c r="F35" s="25">
        <f>IFERROR(INDEX(Reference!$G:$G,MATCH("Equity|"&amp;C35&amp;"|"&amp;B35,Reference!$A:$A,0)),"")</f>
        <v/>
      </c>
      <c r="G35" s="25">
        <f>IFERROR(INDEX(Reference!$H:$H,MATCH("Equity|"&amp;C35&amp;"|"&amp;B35,Reference!$A:$A,0)),"")</f>
        <v/>
      </c>
      <c r="H35" s="48" t="n"/>
      <c r="I35" s="48" t="n"/>
      <c r="J35" s="49">
        <f>IFERROR(INDEX(Prices!$E:$E,MATCH("Equity|"&amp;C35&amp;"|"&amp;B35,Prices!$A:$A,0)),0)</f>
        <v/>
      </c>
      <c r="K35" s="79">
        <f>IF(D35="THB",1,FXRate)</f>
        <v/>
      </c>
      <c r="L35" s="65">
        <f>IFERROR(H35*I35*K35,0)</f>
        <v/>
      </c>
      <c r="M35" s="65">
        <f>IFERROR(H35*J35*K35,0)</f>
        <v/>
      </c>
      <c r="N35" s="65">
        <f>M35-L35</f>
        <v/>
      </c>
      <c r="O35" s="64">
        <f>IFERROR(N35/L35,0)</f>
        <v/>
      </c>
      <c r="P35" s="43" t="n"/>
    </row>
    <row r="36" ht="15" customHeight="1" s="54">
      <c r="A36" s="43" t="n">
        <v>32</v>
      </c>
      <c r="B36" s="43" t="n"/>
      <c r="C36" s="43" t="n"/>
      <c r="D36" s="42" t="n"/>
      <c r="E36" s="25">
        <f>IFERROR(INDEX(Reference!$E:$E,MATCH("Equity|"&amp;C36&amp;"|"&amp;B36,Reference!$A:$A,0)),"")</f>
        <v/>
      </c>
      <c r="F36" s="25">
        <f>IFERROR(INDEX(Reference!$G:$G,MATCH("Equity|"&amp;C36&amp;"|"&amp;B36,Reference!$A:$A,0)),"")</f>
        <v/>
      </c>
      <c r="G36" s="25">
        <f>IFERROR(INDEX(Reference!$H:$H,MATCH("Equity|"&amp;C36&amp;"|"&amp;B36,Reference!$A:$A,0)),"")</f>
        <v/>
      </c>
      <c r="H36" s="48" t="n"/>
      <c r="I36" s="48" t="n"/>
      <c r="J36" s="49">
        <f>IFERROR(INDEX(Prices!$E:$E,MATCH("Equity|"&amp;C36&amp;"|"&amp;B36,Prices!$A:$A,0)),0)</f>
        <v/>
      </c>
      <c r="K36" s="79">
        <f>IF(D36="THB",1,FXRate)</f>
        <v/>
      </c>
      <c r="L36" s="65">
        <f>IFERROR(H36*I36*K36,0)</f>
        <v/>
      </c>
      <c r="M36" s="65">
        <f>IFERROR(H36*J36*K36,0)</f>
        <v/>
      </c>
      <c r="N36" s="65">
        <f>M36-L36</f>
        <v/>
      </c>
      <c r="O36" s="64">
        <f>IFERROR(N36/L36,0)</f>
        <v/>
      </c>
      <c r="P36" s="43" t="n"/>
    </row>
    <row r="37" ht="15" customHeight="1" s="54">
      <c r="A37" s="43" t="n">
        <v>33</v>
      </c>
      <c r="B37" s="43" t="n"/>
      <c r="C37" s="43" t="n"/>
      <c r="D37" s="42" t="n"/>
      <c r="E37" s="25">
        <f>IFERROR(INDEX(Reference!$E:$E,MATCH("Equity|"&amp;C37&amp;"|"&amp;B37,Reference!$A:$A,0)),"")</f>
        <v/>
      </c>
      <c r="F37" s="25">
        <f>IFERROR(INDEX(Reference!$G:$G,MATCH("Equity|"&amp;C37&amp;"|"&amp;B37,Reference!$A:$A,0)),"")</f>
        <v/>
      </c>
      <c r="G37" s="25">
        <f>IFERROR(INDEX(Reference!$H:$H,MATCH("Equity|"&amp;C37&amp;"|"&amp;B37,Reference!$A:$A,0)),"")</f>
        <v/>
      </c>
      <c r="H37" s="48" t="n"/>
      <c r="I37" s="48" t="n"/>
      <c r="J37" s="49">
        <f>IFERROR(INDEX(Prices!$E:$E,MATCH("Equity|"&amp;C37&amp;"|"&amp;B37,Prices!$A:$A,0)),0)</f>
        <v/>
      </c>
      <c r="K37" s="79">
        <f>IF(D37="THB",1,FXRate)</f>
        <v/>
      </c>
      <c r="L37" s="65">
        <f>IFERROR(H37*I37*K37,0)</f>
        <v/>
      </c>
      <c r="M37" s="65">
        <f>IFERROR(H37*J37*K37,0)</f>
        <v/>
      </c>
      <c r="N37" s="65">
        <f>M37-L37</f>
        <v/>
      </c>
      <c r="O37" s="64">
        <f>IFERROR(N37/L37,0)</f>
        <v/>
      </c>
      <c r="P37" s="43" t="n"/>
    </row>
    <row r="38" ht="15" customHeight="1" s="54">
      <c r="A38" s="43" t="n">
        <v>34</v>
      </c>
      <c r="B38" s="43" t="n"/>
      <c r="C38" s="43" t="n"/>
      <c r="D38" s="42" t="n"/>
      <c r="E38" s="25">
        <f>IFERROR(INDEX(Reference!$E:$E,MATCH("Equity|"&amp;C38&amp;"|"&amp;B38,Reference!$A:$A,0)),"")</f>
        <v/>
      </c>
      <c r="F38" s="25">
        <f>IFERROR(INDEX(Reference!$G:$G,MATCH("Equity|"&amp;C38&amp;"|"&amp;B38,Reference!$A:$A,0)),"")</f>
        <v/>
      </c>
      <c r="G38" s="25">
        <f>IFERROR(INDEX(Reference!$H:$H,MATCH("Equity|"&amp;C38&amp;"|"&amp;B38,Reference!$A:$A,0)),"")</f>
        <v/>
      </c>
      <c r="H38" s="48" t="n"/>
      <c r="I38" s="48" t="n"/>
      <c r="J38" s="49">
        <f>IFERROR(INDEX(Prices!$E:$E,MATCH("Equity|"&amp;C38&amp;"|"&amp;B38,Prices!$A:$A,0)),0)</f>
        <v/>
      </c>
      <c r="K38" s="79">
        <f>IF(D38="THB",1,FXRate)</f>
        <v/>
      </c>
      <c r="L38" s="65">
        <f>IFERROR(H38*I38*K38,0)</f>
        <v/>
      </c>
      <c r="M38" s="65">
        <f>IFERROR(H38*J38*K38,0)</f>
        <v/>
      </c>
      <c r="N38" s="65">
        <f>M38-L38</f>
        <v/>
      </c>
      <c r="O38" s="64">
        <f>IFERROR(N38/L38,0)</f>
        <v/>
      </c>
      <c r="P38" s="43" t="n"/>
    </row>
    <row r="39" ht="15" customHeight="1" s="54">
      <c r="A39" s="43" t="n">
        <v>35</v>
      </c>
      <c r="B39" s="43" t="n"/>
      <c r="C39" s="43" t="n"/>
      <c r="D39" s="42" t="n"/>
      <c r="E39" s="25">
        <f>IFERROR(INDEX(Reference!$E:$E,MATCH("Equity|"&amp;C39&amp;"|"&amp;B39,Reference!$A:$A,0)),"")</f>
        <v/>
      </c>
      <c r="F39" s="25">
        <f>IFERROR(INDEX(Reference!$G:$G,MATCH("Equity|"&amp;C39&amp;"|"&amp;B39,Reference!$A:$A,0)),"")</f>
        <v/>
      </c>
      <c r="G39" s="25">
        <f>IFERROR(INDEX(Reference!$H:$H,MATCH("Equity|"&amp;C39&amp;"|"&amp;B39,Reference!$A:$A,0)),"")</f>
        <v/>
      </c>
      <c r="H39" s="48" t="n"/>
      <c r="I39" s="48" t="n"/>
      <c r="J39" s="49">
        <f>IFERROR(INDEX(Prices!$E:$E,MATCH("Equity|"&amp;C39&amp;"|"&amp;B39,Prices!$A:$A,0)),0)</f>
        <v/>
      </c>
      <c r="K39" s="79">
        <f>IF(D39="THB",1,FXRate)</f>
        <v/>
      </c>
      <c r="L39" s="65">
        <f>IFERROR(H39*I39*K39,0)</f>
        <v/>
      </c>
      <c r="M39" s="65">
        <f>IFERROR(H39*J39*K39,0)</f>
        <v/>
      </c>
      <c r="N39" s="65">
        <f>M39-L39</f>
        <v/>
      </c>
      <c r="O39" s="64">
        <f>IFERROR(N39/L39,0)</f>
        <v/>
      </c>
      <c r="P39" s="43" t="n"/>
    </row>
    <row r="40" ht="15" customHeight="1" s="54">
      <c r="A40" s="43" t="n">
        <v>36</v>
      </c>
      <c r="B40" s="43" t="n"/>
      <c r="C40" s="43" t="n"/>
      <c r="D40" s="42" t="n"/>
      <c r="E40" s="25">
        <f>IFERROR(INDEX(Reference!$E:$E,MATCH("Equity|"&amp;C40&amp;"|"&amp;B40,Reference!$A:$A,0)),"")</f>
        <v/>
      </c>
      <c r="F40" s="25">
        <f>IFERROR(INDEX(Reference!$G:$G,MATCH("Equity|"&amp;C40&amp;"|"&amp;B40,Reference!$A:$A,0)),"")</f>
        <v/>
      </c>
      <c r="G40" s="25">
        <f>IFERROR(INDEX(Reference!$H:$H,MATCH("Equity|"&amp;C40&amp;"|"&amp;B40,Reference!$A:$A,0)),"")</f>
        <v/>
      </c>
      <c r="H40" s="48" t="n"/>
      <c r="I40" s="48" t="n"/>
      <c r="J40" s="49">
        <f>IFERROR(INDEX(Prices!$E:$E,MATCH("Equity|"&amp;C40&amp;"|"&amp;B40,Prices!$A:$A,0)),0)</f>
        <v/>
      </c>
      <c r="K40" s="79">
        <f>IF(D40="THB",1,FXRate)</f>
        <v/>
      </c>
      <c r="L40" s="65">
        <f>IFERROR(H40*I40*K40,0)</f>
        <v/>
      </c>
      <c r="M40" s="65">
        <f>IFERROR(H40*J40*K40,0)</f>
        <v/>
      </c>
      <c r="N40" s="65">
        <f>M40-L40</f>
        <v/>
      </c>
      <c r="O40" s="64">
        <f>IFERROR(N40/L40,0)</f>
        <v/>
      </c>
      <c r="P40" s="43" t="n"/>
    </row>
    <row r="41" ht="15" customHeight="1" s="54">
      <c r="A41" s="43" t="n">
        <v>37</v>
      </c>
      <c r="B41" s="43" t="n"/>
      <c r="C41" s="43" t="n"/>
      <c r="D41" s="42" t="n"/>
      <c r="E41" s="25">
        <f>IFERROR(INDEX(Reference!$E:$E,MATCH("Equity|"&amp;C41&amp;"|"&amp;B41,Reference!$A:$A,0)),"")</f>
        <v/>
      </c>
      <c r="F41" s="25">
        <f>IFERROR(INDEX(Reference!$G:$G,MATCH("Equity|"&amp;C41&amp;"|"&amp;B41,Reference!$A:$A,0)),"")</f>
        <v/>
      </c>
      <c r="G41" s="25">
        <f>IFERROR(INDEX(Reference!$H:$H,MATCH("Equity|"&amp;C41&amp;"|"&amp;B41,Reference!$A:$A,0)),"")</f>
        <v/>
      </c>
      <c r="H41" s="48" t="n"/>
      <c r="I41" s="48" t="n"/>
      <c r="J41" s="49">
        <f>IFERROR(INDEX(Prices!$E:$E,MATCH("Equity|"&amp;C41&amp;"|"&amp;B41,Prices!$A:$A,0)),0)</f>
        <v/>
      </c>
      <c r="K41" s="79">
        <f>IF(D41="THB",1,FXRate)</f>
        <v/>
      </c>
      <c r="L41" s="65">
        <f>IFERROR(H41*I41*K41,0)</f>
        <v/>
      </c>
      <c r="M41" s="65">
        <f>IFERROR(H41*J41*K41,0)</f>
        <v/>
      </c>
      <c r="N41" s="65">
        <f>M41-L41</f>
        <v/>
      </c>
      <c r="O41" s="64">
        <f>IFERROR(N41/L41,0)</f>
        <v/>
      </c>
      <c r="P41" s="43" t="n"/>
    </row>
    <row r="42" ht="15" customHeight="1" s="54">
      <c r="A42" s="43" t="n">
        <v>38</v>
      </c>
      <c r="B42" s="43" t="n"/>
      <c r="C42" s="43" t="n"/>
      <c r="D42" s="42" t="n"/>
      <c r="E42" s="25">
        <f>IFERROR(INDEX(Reference!$E:$E,MATCH("Equity|"&amp;C42&amp;"|"&amp;B42,Reference!$A:$A,0)),"")</f>
        <v/>
      </c>
      <c r="F42" s="25">
        <f>IFERROR(INDEX(Reference!$G:$G,MATCH("Equity|"&amp;C42&amp;"|"&amp;B42,Reference!$A:$A,0)),"")</f>
        <v/>
      </c>
      <c r="G42" s="25">
        <f>IFERROR(INDEX(Reference!$H:$H,MATCH("Equity|"&amp;C42&amp;"|"&amp;B42,Reference!$A:$A,0)),"")</f>
        <v/>
      </c>
      <c r="H42" s="48" t="n"/>
      <c r="I42" s="48" t="n"/>
      <c r="J42" s="49">
        <f>IFERROR(INDEX(Prices!$E:$E,MATCH("Equity|"&amp;C42&amp;"|"&amp;B42,Prices!$A:$A,0)),0)</f>
        <v/>
      </c>
      <c r="K42" s="79">
        <f>IF(D42="THB",1,FXRate)</f>
        <v/>
      </c>
      <c r="L42" s="65">
        <f>IFERROR(H42*I42*K42,0)</f>
        <v/>
      </c>
      <c r="M42" s="65">
        <f>IFERROR(H42*J42*K42,0)</f>
        <v/>
      </c>
      <c r="N42" s="65">
        <f>M42-L42</f>
        <v/>
      </c>
      <c r="O42" s="64">
        <f>IFERROR(N42/L42,0)</f>
        <v/>
      </c>
      <c r="P42" s="43" t="n"/>
    </row>
    <row r="43" ht="15" customHeight="1" s="54">
      <c r="A43" s="43" t="n">
        <v>39</v>
      </c>
      <c r="B43" s="43" t="n"/>
      <c r="C43" s="43" t="n"/>
      <c r="D43" s="42" t="n"/>
      <c r="E43" s="25">
        <f>IFERROR(INDEX(Reference!$E:$E,MATCH("Equity|"&amp;C43&amp;"|"&amp;B43,Reference!$A:$A,0)),"")</f>
        <v/>
      </c>
      <c r="F43" s="25">
        <f>IFERROR(INDEX(Reference!$G:$G,MATCH("Equity|"&amp;C43&amp;"|"&amp;B43,Reference!$A:$A,0)),"")</f>
        <v/>
      </c>
      <c r="G43" s="25">
        <f>IFERROR(INDEX(Reference!$H:$H,MATCH("Equity|"&amp;C43&amp;"|"&amp;B43,Reference!$A:$A,0)),"")</f>
        <v/>
      </c>
      <c r="H43" s="48" t="n"/>
      <c r="I43" s="48" t="n"/>
      <c r="J43" s="49">
        <f>IFERROR(INDEX(Prices!$E:$E,MATCH("Equity|"&amp;C43&amp;"|"&amp;B43,Prices!$A:$A,0)),0)</f>
        <v/>
      </c>
      <c r="K43" s="79">
        <f>IF(D43="THB",1,FXRate)</f>
        <v/>
      </c>
      <c r="L43" s="65">
        <f>IFERROR(H43*I43*K43,0)</f>
        <v/>
      </c>
      <c r="M43" s="65">
        <f>IFERROR(H43*J43*K43,0)</f>
        <v/>
      </c>
      <c r="N43" s="65">
        <f>M43-L43</f>
        <v/>
      </c>
      <c r="O43" s="64">
        <f>IFERROR(N43/L43,0)</f>
        <v/>
      </c>
      <c r="P43" s="43" t="n"/>
    </row>
    <row r="44" ht="15" customHeight="1" s="54">
      <c r="A44" s="43" t="n">
        <v>40</v>
      </c>
      <c r="B44" s="43" t="n"/>
      <c r="C44" s="43" t="n"/>
      <c r="D44" s="42" t="n"/>
      <c r="E44" s="25">
        <f>IFERROR(INDEX(Reference!$E:$E,MATCH("Equity|"&amp;C44&amp;"|"&amp;B44,Reference!$A:$A,0)),"")</f>
        <v/>
      </c>
      <c r="F44" s="25">
        <f>IFERROR(INDEX(Reference!$G:$G,MATCH("Equity|"&amp;C44&amp;"|"&amp;B44,Reference!$A:$A,0)),"")</f>
        <v/>
      </c>
      <c r="G44" s="25">
        <f>IFERROR(INDEX(Reference!$H:$H,MATCH("Equity|"&amp;C44&amp;"|"&amp;B44,Reference!$A:$A,0)),"")</f>
        <v/>
      </c>
      <c r="H44" s="48" t="n"/>
      <c r="I44" s="48" t="n"/>
      <c r="J44" s="48" t="n"/>
      <c r="K44" s="79">
        <f>IF(D44="THB",1,FXRate)</f>
        <v/>
      </c>
      <c r="L44" s="65">
        <f>8281.17*K44</f>
        <v/>
      </c>
      <c r="M44" s="65">
        <f>8281.17*K44</f>
        <v/>
      </c>
      <c r="N44" s="65">
        <f>M44-L44</f>
        <v/>
      </c>
      <c r="O44" s="64">
        <f>IFERROR(N44/L44,0)</f>
        <v/>
      </c>
      <c r="P44" s="43" t="n"/>
    </row>
    <row r="45" ht="15" customHeight="1" s="54">
      <c r="A45" s="43" t="n">
        <v>41</v>
      </c>
      <c r="B45" s="43" t="n"/>
      <c r="C45" s="43" t="n"/>
      <c r="D45" s="42" t="n"/>
      <c r="E45" s="25">
        <f>IFERROR(INDEX(Reference!$E:$E,MATCH("Equity|"&amp;C45&amp;"|"&amp;B45,Reference!$A:$A,0)),"")</f>
        <v/>
      </c>
      <c r="F45" s="25">
        <f>IFERROR(INDEX(Reference!$G:$G,MATCH("Equity|"&amp;C45&amp;"|"&amp;B45,Reference!$A:$A,0)),"")</f>
        <v/>
      </c>
      <c r="G45" s="25">
        <f>IFERROR(INDEX(Reference!$H:$H,MATCH("Equity|"&amp;C45&amp;"|"&amp;B45,Reference!$A:$A,0)),"")</f>
        <v/>
      </c>
      <c r="H45" s="48" t="n"/>
      <c r="I45" s="48" t="n"/>
      <c r="J45" s="48" t="n"/>
      <c r="K45" s="79">
        <f>IF(D45="THB",1,FXRate)</f>
        <v/>
      </c>
      <c r="L45" s="65">
        <f>2584.77*K45</f>
        <v/>
      </c>
      <c r="M45" s="65">
        <f>2584.77*K45</f>
        <v/>
      </c>
      <c r="N45" s="65">
        <f>M45-L45</f>
        <v/>
      </c>
      <c r="O45" s="64">
        <f>IFERROR(N45/L45,0)</f>
        <v/>
      </c>
      <c r="P45" s="43" t="n"/>
    </row>
    <row r="46" ht="15" customHeight="1" s="54">
      <c r="A46" s="20" t="inlineStr">
        <is>
          <t>TOTAL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66">
        <f>SUM(L5:L45)</f>
        <v/>
      </c>
      <c r="M46" s="66">
        <f>SUM(M5:M45)</f>
        <v/>
      </c>
      <c r="N46" s="66">
        <f>SUM(N5:N45)</f>
        <v/>
      </c>
      <c r="O46" s="67">
        <f>IFERROR(N46/L46,0)</f>
        <v/>
      </c>
      <c r="P46" s="51" t="n"/>
    </row>
  </sheetData>
  <autoFilter ref="A4:P45"/>
  <mergeCells count="1">
    <mergeCell ref="A2:P2"/>
  </mergeCells>
  <conditionalFormatting sqref="N5:O45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M44"/>
  <sheetViews>
    <sheetView showGridLines="0" zoomScaleNormal="100" workbookViewId="0">
      <pane xSplit="3" ySplit="4" topLeftCell="D19" activePane="bottomRight" state="frozen"/>
      <selection pane="topRight" activeCell="D1" sqref="D1"/>
      <selection pane="bottomLeft" activeCell="A26" sqref="A26"/>
      <selection pane="bottomRight" activeCell="A2" sqref="A2:M2"/>
    </sheetView>
  </sheetViews>
  <sheetFormatPr baseColWidth="10" defaultColWidth="8.6640625" defaultRowHeight="15"/>
  <cols>
    <col width="5" customWidth="1" style="54" min="1" max="1"/>
    <col width="14" customWidth="1" style="54" min="2" max="2"/>
    <col width="22" customWidth="1" style="54" min="3" max="3"/>
    <col width="10" customWidth="1" style="54" min="4" max="4"/>
    <col width="20" customWidth="1" style="54" min="5" max="5"/>
    <col width="18" customWidth="1" style="54" min="6" max="6"/>
    <col width="22" customWidth="1" style="54" min="7" max="7"/>
    <col width="10" customWidth="1" style="54" min="8" max="8"/>
    <col width="14" customWidth="1" style="54" min="9" max="9"/>
    <col width="16" customWidth="1" style="54" min="10" max="12"/>
    <col width="10" customWidth="1" style="54" min="13" max="13"/>
  </cols>
  <sheetData>
    <row r="2" ht="30" customHeight="1" s="54">
      <c r="A2" s="9" t="inlineStr">
        <is>
          <t>EQUITIES — ROLLUP BY TICKER</t>
        </is>
      </c>
    </row>
    <row r="4" ht="36" customHeight="1" s="54">
      <c r="A4" s="15" t="inlineStr">
        <is>
          <t>#</t>
        </is>
      </c>
      <c r="B4" s="15" t="inlineStr">
        <is>
          <t>Broker</t>
        </is>
      </c>
      <c r="C4" s="15" t="inlineStr">
        <is>
          <t>Ticker</t>
        </is>
      </c>
      <c r="D4" s="15" t="inlineStr">
        <is>
          <t>Ccy</t>
        </is>
      </c>
      <c r="E4" s="15" t="inlineStr">
        <is>
          <t>Asset Class</t>
        </is>
      </c>
      <c r="F4" s="15" t="inlineStr">
        <is>
          <t>Geography</t>
        </is>
      </c>
      <c r="G4" s="15" t="inlineStr">
        <is>
          <t>Theme</t>
        </is>
      </c>
      <c r="H4" s="15" t="inlineStr">
        <is>
          <t>Lots</t>
        </is>
      </c>
      <c r="I4" s="15" t="inlineStr">
        <is>
          <t>Shares</t>
        </is>
      </c>
      <c r="J4" s="15" t="inlineStr">
        <is>
          <t>Initial Inv (฿)</t>
        </is>
      </c>
      <c r="K4" s="15" t="inlineStr">
        <is>
          <t>Current Value (฿)</t>
        </is>
      </c>
      <c r="L4" s="15" t="inlineStr">
        <is>
          <t>Unrealized P&amp;L (฿)</t>
        </is>
      </c>
      <c r="M4" s="15" t="inlineStr">
        <is>
          <t>P&amp;L %</t>
        </is>
      </c>
    </row>
    <row r="5" ht="15" customHeight="1" s="54">
      <c r="A5" s="43" t="n">
        <v>1</v>
      </c>
      <c r="B5" s="43" t="n"/>
      <c r="C5" s="43" t="n"/>
      <c r="D5" s="42" t="n"/>
      <c r="E5" s="25">
        <f>IFERROR(INDEX(Reference!$E:$E,MATCH("Equity|"&amp;C5&amp;"|"&amp;B5,Reference!$A:$A,0)),"")</f>
        <v/>
      </c>
      <c r="F5" s="25">
        <f>IFERROR(INDEX(Reference!$G:$G,MATCH("Equity|"&amp;C5&amp;"|"&amp;B5,Reference!$A:$A,0)),"")</f>
        <v/>
      </c>
      <c r="G5" s="25">
        <f>IFERROR(INDEX(Reference!$H:$H,MATCH("Equity|"&amp;C5&amp;"|"&amp;B5,Reference!$A:$A,0)),"")</f>
        <v/>
      </c>
      <c r="H5" s="52">
        <f>COUNTIFS('Equities - Lots'!$B:$B,B5,'Equities - Lots'!$C:$C,C5)</f>
        <v/>
      </c>
      <c r="I5" s="49">
        <f>SUMIFS('Equities - Lots'!$H:$H,'Equities - Lots'!$B:$B,B5,'Equities - Lots'!$C:$C,C5)</f>
        <v/>
      </c>
      <c r="J5" s="63">
        <f>SUMIFS('Equities - Lots'!$L:$L,'Equities - Lots'!$B:$B,B5,'Equities - Lots'!$C:$C,C5)</f>
        <v/>
      </c>
      <c r="K5" s="63">
        <f>SUMIFS('Equities - Lots'!$M:$M,'Equities - Lots'!$B:$B,B5,'Equities - Lots'!$C:$C,C5)</f>
        <v/>
      </c>
      <c r="L5" s="65">
        <f>K5-J5</f>
        <v/>
      </c>
      <c r="M5" s="64">
        <f>IFERROR(L5/J5,0)</f>
        <v/>
      </c>
    </row>
    <row r="6" ht="15" customHeight="1" s="54">
      <c r="A6" s="43" t="n">
        <v>2</v>
      </c>
      <c r="B6" s="43" t="n"/>
      <c r="C6" s="43" t="n"/>
      <c r="D6" s="42" t="n"/>
      <c r="E6" s="25">
        <f>IFERROR(INDEX(Reference!$E:$E,MATCH("Equity|"&amp;C6&amp;"|"&amp;B6,Reference!$A:$A,0)),"")</f>
        <v/>
      </c>
      <c r="F6" s="25">
        <f>IFERROR(INDEX(Reference!$G:$G,MATCH("Equity|"&amp;C6&amp;"|"&amp;B6,Reference!$A:$A,0)),"")</f>
        <v/>
      </c>
      <c r="G6" s="25">
        <f>IFERROR(INDEX(Reference!$H:$H,MATCH("Equity|"&amp;C6&amp;"|"&amp;B6,Reference!$A:$A,0)),"")</f>
        <v/>
      </c>
      <c r="H6" s="52">
        <f>COUNTIFS('Equities - Lots'!$B:$B,B6,'Equities - Lots'!$C:$C,C6)</f>
        <v/>
      </c>
      <c r="I6" s="49">
        <f>SUMIFS('Equities - Lots'!$H:$H,'Equities - Lots'!$B:$B,B6,'Equities - Lots'!$C:$C,C6)</f>
        <v/>
      </c>
      <c r="J6" s="63">
        <f>SUMIFS('Equities - Lots'!$L:$L,'Equities - Lots'!$B:$B,B6,'Equities - Lots'!$C:$C,C6)</f>
        <v/>
      </c>
      <c r="K6" s="63">
        <f>SUMIFS('Equities - Lots'!$M:$M,'Equities - Lots'!$B:$B,B6,'Equities - Lots'!$C:$C,C6)</f>
        <v/>
      </c>
      <c r="L6" s="65">
        <f>K6-J6</f>
        <v/>
      </c>
      <c r="M6" s="64">
        <f>IFERROR(L6/J6,0)</f>
        <v/>
      </c>
    </row>
    <row r="7" ht="15" customHeight="1" s="54">
      <c r="A7" s="43" t="n">
        <v>3</v>
      </c>
      <c r="B7" s="43" t="n"/>
      <c r="C7" s="43" t="n"/>
      <c r="D7" s="42" t="n"/>
      <c r="E7" s="25">
        <f>IFERROR(INDEX(Reference!$E:$E,MATCH("Equity|"&amp;C7&amp;"|"&amp;B7,Reference!$A:$A,0)),"")</f>
        <v/>
      </c>
      <c r="F7" s="25">
        <f>IFERROR(INDEX(Reference!$G:$G,MATCH("Equity|"&amp;C7&amp;"|"&amp;B7,Reference!$A:$A,0)),"")</f>
        <v/>
      </c>
      <c r="G7" s="25">
        <f>IFERROR(INDEX(Reference!$H:$H,MATCH("Equity|"&amp;C7&amp;"|"&amp;B7,Reference!$A:$A,0)),"")</f>
        <v/>
      </c>
      <c r="H7" s="52">
        <f>COUNTIFS('Equities - Lots'!$B:$B,B7,'Equities - Lots'!$C:$C,C7)</f>
        <v/>
      </c>
      <c r="I7" s="49">
        <f>SUMIFS('Equities - Lots'!$H:$H,'Equities - Lots'!$B:$B,B7,'Equities - Lots'!$C:$C,C7)</f>
        <v/>
      </c>
      <c r="J7" s="63">
        <f>SUMIFS('Equities - Lots'!$L:$L,'Equities - Lots'!$B:$B,B7,'Equities - Lots'!$C:$C,C7)</f>
        <v/>
      </c>
      <c r="K7" s="63">
        <f>SUMIFS('Equities - Lots'!$M:$M,'Equities - Lots'!$B:$B,B7,'Equities - Lots'!$C:$C,C7)</f>
        <v/>
      </c>
      <c r="L7" s="65">
        <f>K7-J7</f>
        <v/>
      </c>
      <c r="M7" s="64">
        <f>IFERROR(L7/J7,0)</f>
        <v/>
      </c>
    </row>
    <row r="8" ht="15" customHeight="1" s="54">
      <c r="A8" s="43" t="n">
        <v>4</v>
      </c>
      <c r="B8" s="43" t="n"/>
      <c r="C8" s="43" t="n"/>
      <c r="D8" s="42" t="n"/>
      <c r="E8" s="25">
        <f>IFERROR(INDEX(Reference!$E:$E,MATCH("Equity|"&amp;C8&amp;"|"&amp;B8,Reference!$A:$A,0)),"")</f>
        <v/>
      </c>
      <c r="F8" s="25">
        <f>IFERROR(INDEX(Reference!$G:$G,MATCH("Equity|"&amp;C8&amp;"|"&amp;B8,Reference!$A:$A,0)),"")</f>
        <v/>
      </c>
      <c r="G8" s="25">
        <f>IFERROR(INDEX(Reference!$H:$H,MATCH("Equity|"&amp;C8&amp;"|"&amp;B8,Reference!$A:$A,0)),"")</f>
        <v/>
      </c>
      <c r="H8" s="52">
        <f>COUNTIFS('Equities - Lots'!$B:$B,B8,'Equities - Lots'!$C:$C,C8)</f>
        <v/>
      </c>
      <c r="I8" s="49">
        <f>SUMIFS('Equities - Lots'!$H:$H,'Equities - Lots'!$B:$B,B8,'Equities - Lots'!$C:$C,C8)</f>
        <v/>
      </c>
      <c r="J8" s="63">
        <f>SUMIFS('Equities - Lots'!$L:$L,'Equities - Lots'!$B:$B,B8,'Equities - Lots'!$C:$C,C8)</f>
        <v/>
      </c>
      <c r="K8" s="63">
        <f>SUMIFS('Equities - Lots'!$M:$M,'Equities - Lots'!$B:$B,B8,'Equities - Lots'!$C:$C,C8)</f>
        <v/>
      </c>
      <c r="L8" s="65">
        <f>K8-J8</f>
        <v/>
      </c>
      <c r="M8" s="64">
        <f>IFERROR(L8/J8,0)</f>
        <v/>
      </c>
    </row>
    <row r="9" ht="15" customHeight="1" s="54">
      <c r="A9" s="43" t="n">
        <v>5</v>
      </c>
      <c r="B9" s="43" t="n"/>
      <c r="C9" s="43" t="n"/>
      <c r="D9" s="42" t="n"/>
      <c r="E9" s="25">
        <f>IFERROR(INDEX(Reference!$E:$E,MATCH("Equity|"&amp;C9&amp;"|"&amp;B9,Reference!$A:$A,0)),"")</f>
        <v/>
      </c>
      <c r="F9" s="25">
        <f>IFERROR(INDEX(Reference!$G:$G,MATCH("Equity|"&amp;C9&amp;"|"&amp;B9,Reference!$A:$A,0)),"")</f>
        <v/>
      </c>
      <c r="G9" s="25">
        <f>IFERROR(INDEX(Reference!$H:$H,MATCH("Equity|"&amp;C9&amp;"|"&amp;B9,Reference!$A:$A,0)),"")</f>
        <v/>
      </c>
      <c r="H9" s="52">
        <f>COUNTIFS('Equities - Lots'!$B:$B,B9,'Equities - Lots'!$C:$C,C9)</f>
        <v/>
      </c>
      <c r="I9" s="49">
        <f>SUMIFS('Equities - Lots'!$H:$H,'Equities - Lots'!$B:$B,B9,'Equities - Lots'!$C:$C,C9)</f>
        <v/>
      </c>
      <c r="J9" s="63">
        <f>SUMIFS('Equities - Lots'!$L:$L,'Equities - Lots'!$B:$B,B9,'Equities - Lots'!$C:$C,C9)</f>
        <v/>
      </c>
      <c r="K9" s="63">
        <f>SUMIFS('Equities - Lots'!$M:$M,'Equities - Lots'!$B:$B,B9,'Equities - Lots'!$C:$C,C9)</f>
        <v/>
      </c>
      <c r="L9" s="65">
        <f>K9-J9</f>
        <v/>
      </c>
      <c r="M9" s="64">
        <f>IFERROR(L9/J9,0)</f>
        <v/>
      </c>
    </row>
    <row r="10" ht="15" customHeight="1" s="54">
      <c r="A10" s="43" t="n">
        <v>6</v>
      </c>
      <c r="B10" s="43" t="n"/>
      <c r="C10" s="43" t="n"/>
      <c r="D10" s="42" t="n"/>
      <c r="E10" s="25">
        <f>IFERROR(INDEX(Reference!$E:$E,MATCH("Equity|"&amp;C10&amp;"|"&amp;B10,Reference!$A:$A,0)),"")</f>
        <v/>
      </c>
      <c r="F10" s="25">
        <f>IFERROR(INDEX(Reference!$G:$G,MATCH("Equity|"&amp;C10&amp;"|"&amp;B10,Reference!$A:$A,0)),"")</f>
        <v/>
      </c>
      <c r="G10" s="25">
        <f>IFERROR(INDEX(Reference!$H:$H,MATCH("Equity|"&amp;C10&amp;"|"&amp;B10,Reference!$A:$A,0)),"")</f>
        <v/>
      </c>
      <c r="H10" s="52">
        <f>COUNTIFS('Equities - Lots'!$B:$B,B10,'Equities - Lots'!$C:$C,C10)</f>
        <v/>
      </c>
      <c r="I10" s="49">
        <f>SUMIFS('Equities - Lots'!$H:$H,'Equities - Lots'!$B:$B,B10,'Equities - Lots'!$C:$C,C10)</f>
        <v/>
      </c>
      <c r="J10" s="63">
        <f>SUMIFS('Equities - Lots'!$L:$L,'Equities - Lots'!$B:$B,B10,'Equities - Lots'!$C:$C,C10)</f>
        <v/>
      </c>
      <c r="K10" s="63">
        <f>SUMIFS('Equities - Lots'!$M:$M,'Equities - Lots'!$B:$B,B10,'Equities - Lots'!$C:$C,C10)</f>
        <v/>
      </c>
      <c r="L10" s="65">
        <f>K10-J10</f>
        <v/>
      </c>
      <c r="M10" s="64">
        <f>IFERROR(L10/J10,0)</f>
        <v/>
      </c>
    </row>
    <row r="11" ht="15" customHeight="1" s="54">
      <c r="A11" s="43" t="n">
        <v>7</v>
      </c>
      <c r="B11" s="43" t="n"/>
      <c r="C11" s="43" t="n"/>
      <c r="D11" s="42" t="n"/>
      <c r="E11" s="25">
        <f>IFERROR(INDEX(Reference!$E:$E,MATCH("Equity|"&amp;C11&amp;"|"&amp;B11,Reference!$A:$A,0)),"")</f>
        <v/>
      </c>
      <c r="F11" s="25">
        <f>IFERROR(INDEX(Reference!$G:$G,MATCH("Equity|"&amp;C11&amp;"|"&amp;B11,Reference!$A:$A,0)),"")</f>
        <v/>
      </c>
      <c r="G11" s="25">
        <f>IFERROR(INDEX(Reference!$H:$H,MATCH("Equity|"&amp;C11&amp;"|"&amp;B11,Reference!$A:$A,0)),"")</f>
        <v/>
      </c>
      <c r="H11" s="52">
        <f>COUNTIFS('Equities - Lots'!$B:$B,B11,'Equities - Lots'!$C:$C,C11)</f>
        <v/>
      </c>
      <c r="I11" s="49">
        <f>SUMIFS('Equities - Lots'!$H:$H,'Equities - Lots'!$B:$B,B11,'Equities - Lots'!$C:$C,C11)</f>
        <v/>
      </c>
      <c r="J11" s="63">
        <f>SUMIFS('Equities - Lots'!$L:$L,'Equities - Lots'!$B:$B,B11,'Equities - Lots'!$C:$C,C11)</f>
        <v/>
      </c>
      <c r="K11" s="63">
        <f>SUMIFS('Equities - Lots'!$M:$M,'Equities - Lots'!$B:$B,B11,'Equities - Lots'!$C:$C,C11)</f>
        <v/>
      </c>
      <c r="L11" s="65">
        <f>K11-J11</f>
        <v/>
      </c>
      <c r="M11" s="64">
        <f>IFERROR(L11/J11,0)</f>
        <v/>
      </c>
    </row>
    <row r="12" ht="15" customHeight="1" s="54">
      <c r="A12" s="43" t="n">
        <v>8</v>
      </c>
      <c r="B12" s="43" t="n"/>
      <c r="C12" s="43" t="n"/>
      <c r="D12" s="42" t="n"/>
      <c r="E12" s="25">
        <f>IFERROR(INDEX(Reference!$E:$E,MATCH("Equity|"&amp;C12&amp;"|"&amp;B12,Reference!$A:$A,0)),"")</f>
        <v/>
      </c>
      <c r="F12" s="25">
        <f>IFERROR(INDEX(Reference!$G:$G,MATCH("Equity|"&amp;C12&amp;"|"&amp;B12,Reference!$A:$A,0)),"")</f>
        <v/>
      </c>
      <c r="G12" s="25">
        <f>IFERROR(INDEX(Reference!$H:$H,MATCH("Equity|"&amp;C12&amp;"|"&amp;B12,Reference!$A:$A,0)),"")</f>
        <v/>
      </c>
      <c r="H12" s="52">
        <f>COUNTIFS('Equities - Lots'!$B:$B,B12,'Equities - Lots'!$C:$C,C12)</f>
        <v/>
      </c>
      <c r="I12" s="49">
        <f>SUMIFS('Equities - Lots'!$H:$H,'Equities - Lots'!$B:$B,B12,'Equities - Lots'!$C:$C,C12)</f>
        <v/>
      </c>
      <c r="J12" s="63">
        <f>SUMIFS('Equities - Lots'!$L:$L,'Equities - Lots'!$B:$B,B12,'Equities - Lots'!$C:$C,C12)</f>
        <v/>
      </c>
      <c r="K12" s="63">
        <f>SUMIFS('Equities - Lots'!$M:$M,'Equities - Lots'!$B:$B,B12,'Equities - Lots'!$C:$C,C12)</f>
        <v/>
      </c>
      <c r="L12" s="65">
        <f>K12-J12</f>
        <v/>
      </c>
      <c r="M12" s="64">
        <f>IFERROR(L12/J12,0)</f>
        <v/>
      </c>
    </row>
    <row r="13" ht="15" customHeight="1" s="54">
      <c r="A13" s="43" t="n">
        <v>9</v>
      </c>
      <c r="B13" s="43" t="n"/>
      <c r="C13" s="43" t="n"/>
      <c r="D13" s="42" t="n"/>
      <c r="E13" s="25">
        <f>IFERROR(INDEX(Reference!$E:$E,MATCH("Equity|"&amp;C13&amp;"|"&amp;B13,Reference!$A:$A,0)),"")</f>
        <v/>
      </c>
      <c r="F13" s="25">
        <f>IFERROR(INDEX(Reference!$G:$G,MATCH("Equity|"&amp;C13&amp;"|"&amp;B13,Reference!$A:$A,0)),"")</f>
        <v/>
      </c>
      <c r="G13" s="25">
        <f>IFERROR(INDEX(Reference!$H:$H,MATCH("Equity|"&amp;C13&amp;"|"&amp;B13,Reference!$A:$A,0)),"")</f>
        <v/>
      </c>
      <c r="H13" s="52">
        <f>COUNTIFS('Equities - Lots'!$B:$B,B13,'Equities - Lots'!$C:$C,C13)</f>
        <v/>
      </c>
      <c r="I13" s="49">
        <f>SUMIFS('Equities - Lots'!$H:$H,'Equities - Lots'!$B:$B,B13,'Equities - Lots'!$C:$C,C13)</f>
        <v/>
      </c>
      <c r="J13" s="63">
        <f>SUMIFS('Equities - Lots'!$L:$L,'Equities - Lots'!$B:$B,B13,'Equities - Lots'!$C:$C,C13)</f>
        <v/>
      </c>
      <c r="K13" s="63">
        <f>SUMIFS('Equities - Lots'!$M:$M,'Equities - Lots'!$B:$B,B13,'Equities - Lots'!$C:$C,C13)</f>
        <v/>
      </c>
      <c r="L13" s="65">
        <f>K13-J13</f>
        <v/>
      </c>
      <c r="M13" s="64">
        <f>IFERROR(L13/J13,0)</f>
        <v/>
      </c>
    </row>
    <row r="14" ht="15" customHeight="1" s="54">
      <c r="A14" s="43" t="n">
        <v>10</v>
      </c>
      <c r="B14" s="43" t="n"/>
      <c r="C14" s="43" t="n"/>
      <c r="D14" s="42" t="n"/>
      <c r="E14" s="25">
        <f>IFERROR(INDEX(Reference!$E:$E,MATCH("Equity|"&amp;C14&amp;"|"&amp;B14,Reference!$A:$A,0)),"")</f>
        <v/>
      </c>
      <c r="F14" s="25">
        <f>IFERROR(INDEX(Reference!$G:$G,MATCH("Equity|"&amp;C14&amp;"|"&amp;B14,Reference!$A:$A,0)),"")</f>
        <v/>
      </c>
      <c r="G14" s="25">
        <f>IFERROR(INDEX(Reference!$H:$H,MATCH("Equity|"&amp;C14&amp;"|"&amp;B14,Reference!$A:$A,0)),"")</f>
        <v/>
      </c>
      <c r="H14" s="52">
        <f>COUNTIFS('Equities - Lots'!$B:$B,B14,'Equities - Lots'!$C:$C,C14)</f>
        <v/>
      </c>
      <c r="I14" s="49">
        <f>SUMIFS('Equities - Lots'!$H:$H,'Equities - Lots'!$B:$B,B14,'Equities - Lots'!$C:$C,C14)</f>
        <v/>
      </c>
      <c r="J14" s="63">
        <f>SUMIFS('Equities - Lots'!$L:$L,'Equities - Lots'!$B:$B,B14,'Equities - Lots'!$C:$C,C14)</f>
        <v/>
      </c>
      <c r="K14" s="63">
        <f>SUMIFS('Equities - Lots'!$M:$M,'Equities - Lots'!$B:$B,B14,'Equities - Lots'!$C:$C,C14)</f>
        <v/>
      </c>
      <c r="L14" s="65">
        <f>K14-J14</f>
        <v/>
      </c>
      <c r="M14" s="64">
        <f>IFERROR(L14/J14,0)</f>
        <v/>
      </c>
    </row>
    <row r="15" ht="15" customHeight="1" s="54">
      <c r="A15" s="43" t="n">
        <v>11</v>
      </c>
      <c r="B15" s="43" t="n"/>
      <c r="C15" s="43" t="n"/>
      <c r="D15" s="42" t="n"/>
      <c r="E15" s="25">
        <f>IFERROR(INDEX(Reference!$E:$E,MATCH("Equity|"&amp;C15&amp;"|"&amp;B15,Reference!$A:$A,0)),"")</f>
        <v/>
      </c>
      <c r="F15" s="25">
        <f>IFERROR(INDEX(Reference!$G:$G,MATCH("Equity|"&amp;C15&amp;"|"&amp;B15,Reference!$A:$A,0)),"")</f>
        <v/>
      </c>
      <c r="G15" s="25">
        <f>IFERROR(INDEX(Reference!$H:$H,MATCH("Equity|"&amp;C15&amp;"|"&amp;B15,Reference!$A:$A,0)),"")</f>
        <v/>
      </c>
      <c r="H15" s="52">
        <f>COUNTIFS('Equities - Lots'!$B:$B,B15,'Equities - Lots'!$C:$C,C15)</f>
        <v/>
      </c>
      <c r="I15" s="49">
        <f>SUMIFS('Equities - Lots'!$H:$H,'Equities - Lots'!$B:$B,B15,'Equities - Lots'!$C:$C,C15)</f>
        <v/>
      </c>
      <c r="J15" s="63">
        <f>SUMIFS('Equities - Lots'!$L:$L,'Equities - Lots'!$B:$B,B15,'Equities - Lots'!$C:$C,C15)</f>
        <v/>
      </c>
      <c r="K15" s="63">
        <f>SUMIFS('Equities - Lots'!$M:$M,'Equities - Lots'!$B:$B,B15,'Equities - Lots'!$C:$C,C15)</f>
        <v/>
      </c>
      <c r="L15" s="65">
        <f>K15-J15</f>
        <v/>
      </c>
      <c r="M15" s="64">
        <f>IFERROR(L15/J15,0)</f>
        <v/>
      </c>
    </row>
    <row r="16" ht="15" customHeight="1" s="54">
      <c r="A16" s="43" t="n">
        <v>12</v>
      </c>
      <c r="B16" s="43" t="n"/>
      <c r="C16" s="43" t="n"/>
      <c r="D16" s="42" t="n"/>
      <c r="E16" s="25">
        <f>IFERROR(INDEX(Reference!$E:$E,MATCH("Equity|"&amp;C16&amp;"|"&amp;B16,Reference!$A:$A,0)),"")</f>
        <v/>
      </c>
      <c r="F16" s="25">
        <f>IFERROR(INDEX(Reference!$G:$G,MATCH("Equity|"&amp;C16&amp;"|"&amp;B16,Reference!$A:$A,0)),"")</f>
        <v/>
      </c>
      <c r="G16" s="25">
        <f>IFERROR(INDEX(Reference!$H:$H,MATCH("Equity|"&amp;C16&amp;"|"&amp;B16,Reference!$A:$A,0)),"")</f>
        <v/>
      </c>
      <c r="H16" s="52">
        <f>COUNTIFS('Equities - Lots'!$B:$B,B16,'Equities - Lots'!$C:$C,C16)</f>
        <v/>
      </c>
      <c r="I16" s="49">
        <f>SUMIFS('Equities - Lots'!$H:$H,'Equities - Lots'!$B:$B,B16,'Equities - Lots'!$C:$C,C16)</f>
        <v/>
      </c>
      <c r="J16" s="63">
        <f>SUMIFS('Equities - Lots'!$L:$L,'Equities - Lots'!$B:$B,B16,'Equities - Lots'!$C:$C,C16)</f>
        <v/>
      </c>
      <c r="K16" s="63">
        <f>SUMIFS('Equities - Lots'!$M:$M,'Equities - Lots'!$B:$B,B16,'Equities - Lots'!$C:$C,C16)</f>
        <v/>
      </c>
      <c r="L16" s="65">
        <f>K16-J16</f>
        <v/>
      </c>
      <c r="M16" s="64">
        <f>IFERROR(L16/J16,0)</f>
        <v/>
      </c>
    </row>
    <row r="17" ht="15" customHeight="1" s="54">
      <c r="A17" s="43" t="n">
        <v>13</v>
      </c>
      <c r="B17" s="43" t="n"/>
      <c r="C17" s="43" t="n"/>
      <c r="D17" s="42" t="n"/>
      <c r="E17" s="25">
        <f>IFERROR(INDEX(Reference!$E:$E,MATCH("Equity|"&amp;C17&amp;"|"&amp;B17,Reference!$A:$A,0)),"")</f>
        <v/>
      </c>
      <c r="F17" s="25">
        <f>IFERROR(INDEX(Reference!$G:$G,MATCH("Equity|"&amp;C17&amp;"|"&amp;B17,Reference!$A:$A,0)),"")</f>
        <v/>
      </c>
      <c r="G17" s="25">
        <f>IFERROR(INDEX(Reference!$H:$H,MATCH("Equity|"&amp;C17&amp;"|"&amp;B17,Reference!$A:$A,0)),"")</f>
        <v/>
      </c>
      <c r="H17" s="52">
        <f>COUNTIFS('Equities - Lots'!$B:$B,B17,'Equities - Lots'!$C:$C,C17)</f>
        <v/>
      </c>
      <c r="I17" s="49">
        <f>SUMIFS('Equities - Lots'!$H:$H,'Equities - Lots'!$B:$B,B17,'Equities - Lots'!$C:$C,C17)</f>
        <v/>
      </c>
      <c r="J17" s="63">
        <f>SUMIFS('Equities - Lots'!$L:$L,'Equities - Lots'!$B:$B,B17,'Equities - Lots'!$C:$C,C17)</f>
        <v/>
      </c>
      <c r="K17" s="63">
        <f>SUMIFS('Equities - Lots'!$M:$M,'Equities - Lots'!$B:$B,B17,'Equities - Lots'!$C:$C,C17)</f>
        <v/>
      </c>
      <c r="L17" s="65">
        <f>K17-J17</f>
        <v/>
      </c>
      <c r="M17" s="64">
        <f>IFERROR(L17/J17,0)</f>
        <v/>
      </c>
    </row>
    <row r="18" ht="15" customHeight="1" s="54">
      <c r="A18" s="43" t="n">
        <v>14</v>
      </c>
      <c r="B18" s="43" t="n"/>
      <c r="C18" s="43" t="n"/>
      <c r="D18" s="42" t="n"/>
      <c r="E18" s="25">
        <f>IFERROR(INDEX(Reference!$E:$E,MATCH("Equity|"&amp;C18&amp;"|"&amp;B18,Reference!$A:$A,0)),"")</f>
        <v/>
      </c>
      <c r="F18" s="25">
        <f>IFERROR(INDEX(Reference!$G:$G,MATCH("Equity|"&amp;C18&amp;"|"&amp;B18,Reference!$A:$A,0)),"")</f>
        <v/>
      </c>
      <c r="G18" s="25">
        <f>IFERROR(INDEX(Reference!$H:$H,MATCH("Equity|"&amp;C18&amp;"|"&amp;B18,Reference!$A:$A,0)),"")</f>
        <v/>
      </c>
      <c r="H18" s="52">
        <f>COUNTIFS('Equities - Lots'!$B:$B,B18,'Equities - Lots'!$C:$C,C18)</f>
        <v/>
      </c>
      <c r="I18" s="49">
        <f>SUMIFS('Equities - Lots'!$H:$H,'Equities - Lots'!$B:$B,B18,'Equities - Lots'!$C:$C,C18)</f>
        <v/>
      </c>
      <c r="J18" s="63">
        <f>SUMIFS('Equities - Lots'!$L:$L,'Equities - Lots'!$B:$B,B18,'Equities - Lots'!$C:$C,C18)</f>
        <v/>
      </c>
      <c r="K18" s="63">
        <f>SUMIFS('Equities - Lots'!$M:$M,'Equities - Lots'!$B:$B,B18,'Equities - Lots'!$C:$C,C18)</f>
        <v/>
      </c>
      <c r="L18" s="65">
        <f>K18-J18</f>
        <v/>
      </c>
      <c r="M18" s="64">
        <f>IFERROR(L18/J18,0)</f>
        <v/>
      </c>
    </row>
    <row r="19" ht="15" customHeight="1" s="54">
      <c r="A19" s="43" t="n">
        <v>15</v>
      </c>
      <c r="B19" s="43" t="n"/>
      <c r="C19" s="43" t="n"/>
      <c r="D19" s="42" t="n"/>
      <c r="E19" s="25">
        <f>IFERROR(INDEX(Reference!$E:$E,MATCH("Equity|"&amp;C19&amp;"|"&amp;B19,Reference!$A:$A,0)),"")</f>
        <v/>
      </c>
      <c r="F19" s="25">
        <f>IFERROR(INDEX(Reference!$G:$G,MATCH("Equity|"&amp;C19&amp;"|"&amp;B19,Reference!$A:$A,0)),"")</f>
        <v/>
      </c>
      <c r="G19" s="25">
        <f>IFERROR(INDEX(Reference!$H:$H,MATCH("Equity|"&amp;C19&amp;"|"&amp;B19,Reference!$A:$A,0)),"")</f>
        <v/>
      </c>
      <c r="H19" s="52">
        <f>COUNTIFS('Equities - Lots'!$B:$B,B19,'Equities - Lots'!$C:$C,C19)</f>
        <v/>
      </c>
      <c r="I19" s="49">
        <f>SUMIFS('Equities - Lots'!$H:$H,'Equities - Lots'!$B:$B,B19,'Equities - Lots'!$C:$C,C19)</f>
        <v/>
      </c>
      <c r="J19" s="63">
        <f>SUMIFS('Equities - Lots'!$L:$L,'Equities - Lots'!$B:$B,B19,'Equities - Lots'!$C:$C,C19)</f>
        <v/>
      </c>
      <c r="K19" s="63">
        <f>SUMIFS('Equities - Lots'!$M:$M,'Equities - Lots'!$B:$B,B19,'Equities - Lots'!$C:$C,C19)</f>
        <v/>
      </c>
      <c r="L19" s="65">
        <f>K19-J19</f>
        <v/>
      </c>
      <c r="M19" s="64">
        <f>IFERROR(L19/J19,0)</f>
        <v/>
      </c>
    </row>
    <row r="20" ht="15" customHeight="1" s="54">
      <c r="A20" s="43" t="n">
        <v>16</v>
      </c>
      <c r="B20" s="43" t="n"/>
      <c r="C20" s="43" t="n"/>
      <c r="D20" s="42" t="n"/>
      <c r="E20" s="25">
        <f>IFERROR(INDEX(Reference!$E:$E,MATCH("Equity|"&amp;C20&amp;"|"&amp;B20,Reference!$A:$A,0)),"")</f>
        <v/>
      </c>
      <c r="F20" s="25">
        <f>IFERROR(INDEX(Reference!$G:$G,MATCH("Equity|"&amp;C20&amp;"|"&amp;B20,Reference!$A:$A,0)),"")</f>
        <v/>
      </c>
      <c r="G20" s="25">
        <f>IFERROR(INDEX(Reference!$H:$H,MATCH("Equity|"&amp;C20&amp;"|"&amp;B20,Reference!$A:$A,0)),"")</f>
        <v/>
      </c>
      <c r="H20" s="52">
        <f>COUNTIFS('Equities - Lots'!$B:$B,B20,'Equities - Lots'!$C:$C,C20)</f>
        <v/>
      </c>
      <c r="I20" s="49">
        <f>SUMIFS('Equities - Lots'!$H:$H,'Equities - Lots'!$B:$B,B20,'Equities - Lots'!$C:$C,C20)</f>
        <v/>
      </c>
      <c r="J20" s="63">
        <f>SUMIFS('Equities - Lots'!$L:$L,'Equities - Lots'!$B:$B,B20,'Equities - Lots'!$C:$C,C20)</f>
        <v/>
      </c>
      <c r="K20" s="63">
        <f>SUMIFS('Equities - Lots'!$M:$M,'Equities - Lots'!$B:$B,B20,'Equities - Lots'!$C:$C,C20)</f>
        <v/>
      </c>
      <c r="L20" s="65">
        <f>K20-J20</f>
        <v/>
      </c>
      <c r="M20" s="64">
        <f>IFERROR(L20/J20,0)</f>
        <v/>
      </c>
    </row>
    <row r="21" ht="15" customHeight="1" s="54">
      <c r="A21" s="43" t="n">
        <v>17</v>
      </c>
      <c r="B21" s="43" t="n"/>
      <c r="C21" s="43" t="n"/>
      <c r="D21" s="42" t="n"/>
      <c r="E21" s="25">
        <f>IFERROR(INDEX(Reference!$E:$E,MATCH("Equity|"&amp;C21&amp;"|"&amp;B21,Reference!$A:$A,0)),"")</f>
        <v/>
      </c>
      <c r="F21" s="25">
        <f>IFERROR(INDEX(Reference!$G:$G,MATCH("Equity|"&amp;C21&amp;"|"&amp;B21,Reference!$A:$A,0)),"")</f>
        <v/>
      </c>
      <c r="G21" s="25">
        <f>IFERROR(INDEX(Reference!$H:$H,MATCH("Equity|"&amp;C21&amp;"|"&amp;B21,Reference!$A:$A,0)),"")</f>
        <v/>
      </c>
      <c r="H21" s="52">
        <f>COUNTIFS('Equities - Lots'!$B:$B,B21,'Equities - Lots'!$C:$C,C21)</f>
        <v/>
      </c>
      <c r="I21" s="49">
        <f>SUMIFS('Equities - Lots'!$H:$H,'Equities - Lots'!$B:$B,B21,'Equities - Lots'!$C:$C,C21)</f>
        <v/>
      </c>
      <c r="J21" s="63">
        <f>SUMIFS('Equities - Lots'!$L:$L,'Equities - Lots'!$B:$B,B21,'Equities - Lots'!$C:$C,C21)</f>
        <v/>
      </c>
      <c r="K21" s="63">
        <f>SUMIFS('Equities - Lots'!$M:$M,'Equities - Lots'!$B:$B,B21,'Equities - Lots'!$C:$C,C21)</f>
        <v/>
      </c>
      <c r="L21" s="65">
        <f>K21-J21</f>
        <v/>
      </c>
      <c r="M21" s="64">
        <f>IFERROR(L21/J21,0)</f>
        <v/>
      </c>
    </row>
    <row r="22" ht="15" customHeight="1" s="54">
      <c r="A22" s="43" t="n">
        <v>18</v>
      </c>
      <c r="B22" s="43" t="n"/>
      <c r="C22" s="43" t="n"/>
      <c r="D22" s="42" t="n"/>
      <c r="E22" s="25">
        <f>IFERROR(INDEX(Reference!$E:$E,MATCH("Equity|"&amp;C22&amp;"|"&amp;B22,Reference!$A:$A,0)),"")</f>
        <v/>
      </c>
      <c r="F22" s="25">
        <f>IFERROR(INDEX(Reference!$G:$G,MATCH("Equity|"&amp;C22&amp;"|"&amp;B22,Reference!$A:$A,0)),"")</f>
        <v/>
      </c>
      <c r="G22" s="25">
        <f>IFERROR(INDEX(Reference!$H:$H,MATCH("Equity|"&amp;C22&amp;"|"&amp;B22,Reference!$A:$A,0)),"")</f>
        <v/>
      </c>
      <c r="H22" s="52">
        <f>COUNTIFS('Equities - Lots'!$B:$B,B22,'Equities - Lots'!$C:$C,C22)</f>
        <v/>
      </c>
      <c r="I22" s="49">
        <f>SUMIFS('Equities - Lots'!$H:$H,'Equities - Lots'!$B:$B,B22,'Equities - Lots'!$C:$C,C22)</f>
        <v/>
      </c>
      <c r="J22" s="63">
        <f>SUMIFS('Equities - Lots'!$L:$L,'Equities - Lots'!$B:$B,B22,'Equities - Lots'!$C:$C,C22)</f>
        <v/>
      </c>
      <c r="K22" s="63">
        <f>SUMIFS('Equities - Lots'!$M:$M,'Equities - Lots'!$B:$B,B22,'Equities - Lots'!$C:$C,C22)</f>
        <v/>
      </c>
      <c r="L22" s="65">
        <f>K22-J22</f>
        <v/>
      </c>
      <c r="M22" s="64">
        <f>IFERROR(L22/J22,0)</f>
        <v/>
      </c>
    </row>
    <row r="23" ht="15" customHeight="1" s="54">
      <c r="A23" s="43" t="n">
        <v>19</v>
      </c>
      <c r="B23" s="43" t="n"/>
      <c r="C23" s="43" t="n"/>
      <c r="D23" s="42" t="n"/>
      <c r="E23" s="25">
        <f>IFERROR(INDEX(Reference!$E:$E,MATCH("Equity|"&amp;C23&amp;"|"&amp;B23,Reference!$A:$A,0)),"")</f>
        <v/>
      </c>
      <c r="F23" s="25">
        <f>IFERROR(INDEX(Reference!$G:$G,MATCH("Equity|"&amp;C23&amp;"|"&amp;B23,Reference!$A:$A,0)),"")</f>
        <v/>
      </c>
      <c r="G23" s="25">
        <f>IFERROR(INDEX(Reference!$H:$H,MATCH("Equity|"&amp;C23&amp;"|"&amp;B23,Reference!$A:$A,0)),"")</f>
        <v/>
      </c>
      <c r="H23" s="52">
        <f>COUNTIFS('Equities - Lots'!$B:$B,B23,'Equities - Lots'!$C:$C,C23)</f>
        <v/>
      </c>
      <c r="I23" s="49">
        <f>SUMIFS('Equities - Lots'!$H:$H,'Equities - Lots'!$B:$B,B23,'Equities - Lots'!$C:$C,C23)</f>
        <v/>
      </c>
      <c r="J23" s="63">
        <f>SUMIFS('Equities - Lots'!$L:$L,'Equities - Lots'!$B:$B,B23,'Equities - Lots'!$C:$C,C23)</f>
        <v/>
      </c>
      <c r="K23" s="63">
        <f>SUMIFS('Equities - Lots'!$M:$M,'Equities - Lots'!$B:$B,B23,'Equities - Lots'!$C:$C,C23)</f>
        <v/>
      </c>
      <c r="L23" s="65">
        <f>K23-J23</f>
        <v/>
      </c>
      <c r="M23" s="64">
        <f>IFERROR(L23/J23,0)</f>
        <v/>
      </c>
    </row>
    <row r="24" ht="15" customHeight="1" s="54">
      <c r="A24" s="43" t="n">
        <v>20</v>
      </c>
      <c r="B24" s="43" t="n"/>
      <c r="C24" s="43" t="n"/>
      <c r="D24" s="42" t="n"/>
      <c r="E24" s="25">
        <f>IFERROR(INDEX(Reference!$E:$E,MATCH("Equity|"&amp;C24&amp;"|"&amp;B24,Reference!$A:$A,0)),"")</f>
        <v/>
      </c>
      <c r="F24" s="25">
        <f>IFERROR(INDEX(Reference!$G:$G,MATCH("Equity|"&amp;C24&amp;"|"&amp;B24,Reference!$A:$A,0)),"")</f>
        <v/>
      </c>
      <c r="G24" s="25">
        <f>IFERROR(INDEX(Reference!$H:$H,MATCH("Equity|"&amp;C24&amp;"|"&amp;B24,Reference!$A:$A,0)),"")</f>
        <v/>
      </c>
      <c r="H24" s="52">
        <f>COUNTIFS('Equities - Lots'!$B:$B,B24,'Equities - Lots'!$C:$C,C24)</f>
        <v/>
      </c>
      <c r="I24" s="49">
        <f>SUMIFS('Equities - Lots'!$H:$H,'Equities - Lots'!$B:$B,B24,'Equities - Lots'!$C:$C,C24)</f>
        <v/>
      </c>
      <c r="J24" s="63">
        <f>SUMIFS('Equities - Lots'!$L:$L,'Equities - Lots'!$B:$B,B24,'Equities - Lots'!$C:$C,C24)</f>
        <v/>
      </c>
      <c r="K24" s="63">
        <f>SUMIFS('Equities - Lots'!$M:$M,'Equities - Lots'!$B:$B,B24,'Equities - Lots'!$C:$C,C24)</f>
        <v/>
      </c>
      <c r="L24" s="65">
        <f>K24-J24</f>
        <v/>
      </c>
      <c r="M24" s="64">
        <f>IFERROR(L24/J24,0)</f>
        <v/>
      </c>
    </row>
    <row r="25" ht="15" customHeight="1" s="54">
      <c r="A25" s="43" t="n">
        <v>21</v>
      </c>
      <c r="B25" s="43" t="n"/>
      <c r="C25" s="43" t="n"/>
      <c r="D25" s="42" t="n"/>
      <c r="E25" s="25">
        <f>IFERROR(INDEX(Reference!$E:$E,MATCH("Equity|"&amp;C25&amp;"|"&amp;B25,Reference!$A:$A,0)),"")</f>
        <v/>
      </c>
      <c r="F25" s="25">
        <f>IFERROR(INDEX(Reference!$G:$G,MATCH("Equity|"&amp;C25&amp;"|"&amp;B25,Reference!$A:$A,0)),"")</f>
        <v/>
      </c>
      <c r="G25" s="25">
        <f>IFERROR(INDEX(Reference!$H:$H,MATCH("Equity|"&amp;C25&amp;"|"&amp;B25,Reference!$A:$A,0)),"")</f>
        <v/>
      </c>
      <c r="H25" s="52">
        <f>COUNTIFS('Equities - Lots'!$B:$B,B25,'Equities - Lots'!$C:$C,C25)</f>
        <v/>
      </c>
      <c r="I25" s="49">
        <f>SUMIFS('Equities - Lots'!$H:$H,'Equities - Lots'!$B:$B,B25,'Equities - Lots'!$C:$C,C25)</f>
        <v/>
      </c>
      <c r="J25" s="63">
        <f>SUMIFS('Equities - Lots'!$L:$L,'Equities - Lots'!$B:$B,B25,'Equities - Lots'!$C:$C,C25)</f>
        <v/>
      </c>
      <c r="K25" s="63">
        <f>SUMIFS('Equities - Lots'!$M:$M,'Equities - Lots'!$B:$B,B25,'Equities - Lots'!$C:$C,C25)</f>
        <v/>
      </c>
      <c r="L25" s="65">
        <f>K25-J25</f>
        <v/>
      </c>
      <c r="M25" s="64">
        <f>IFERROR(L25/J25,0)</f>
        <v/>
      </c>
    </row>
    <row r="26" ht="15" customHeight="1" s="54">
      <c r="A26" s="43" t="n">
        <v>22</v>
      </c>
      <c r="B26" s="43" t="n"/>
      <c r="C26" s="43" t="n"/>
      <c r="D26" s="42" t="n"/>
      <c r="E26" s="25">
        <f>IFERROR(INDEX(Reference!$E:$E,MATCH("Equity|"&amp;C26&amp;"|"&amp;B26,Reference!$A:$A,0)),"")</f>
        <v/>
      </c>
      <c r="F26" s="25">
        <f>IFERROR(INDEX(Reference!$G:$G,MATCH("Equity|"&amp;C26&amp;"|"&amp;B26,Reference!$A:$A,0)),"")</f>
        <v/>
      </c>
      <c r="G26" s="25">
        <f>IFERROR(INDEX(Reference!$H:$H,MATCH("Equity|"&amp;C26&amp;"|"&amp;B26,Reference!$A:$A,0)),"")</f>
        <v/>
      </c>
      <c r="H26" s="52">
        <f>COUNTIFS('Equities - Lots'!$B:$B,B26,'Equities - Lots'!$C:$C,C26)</f>
        <v/>
      </c>
      <c r="I26" s="49">
        <f>SUMIFS('Equities - Lots'!$H:$H,'Equities - Lots'!$B:$B,B26,'Equities - Lots'!$C:$C,C26)</f>
        <v/>
      </c>
      <c r="J26" s="63">
        <f>SUMIFS('Equities - Lots'!$L:$L,'Equities - Lots'!$B:$B,B26,'Equities - Lots'!$C:$C,C26)</f>
        <v/>
      </c>
      <c r="K26" s="63">
        <f>SUMIFS('Equities - Lots'!$M:$M,'Equities - Lots'!$B:$B,B26,'Equities - Lots'!$C:$C,C26)</f>
        <v/>
      </c>
      <c r="L26" s="65">
        <f>K26-J26</f>
        <v/>
      </c>
      <c r="M26" s="64">
        <f>IFERROR(L26/J26,0)</f>
        <v/>
      </c>
    </row>
    <row r="27" ht="15" customHeight="1" s="54">
      <c r="A27" s="43" t="n">
        <v>23</v>
      </c>
      <c r="B27" s="43" t="n"/>
      <c r="C27" s="43" t="n"/>
      <c r="D27" s="42" t="n"/>
      <c r="E27" s="25">
        <f>IFERROR(INDEX(Reference!$E:$E,MATCH("Equity|"&amp;C27&amp;"|"&amp;B27,Reference!$A:$A,0)),"")</f>
        <v/>
      </c>
      <c r="F27" s="25">
        <f>IFERROR(INDEX(Reference!$G:$G,MATCH("Equity|"&amp;C27&amp;"|"&amp;B27,Reference!$A:$A,0)),"")</f>
        <v/>
      </c>
      <c r="G27" s="25">
        <f>IFERROR(INDEX(Reference!$H:$H,MATCH("Equity|"&amp;C27&amp;"|"&amp;B27,Reference!$A:$A,0)),"")</f>
        <v/>
      </c>
      <c r="H27" s="52">
        <f>COUNTIFS('Equities - Lots'!$B:$B,B27,'Equities - Lots'!$C:$C,C27)</f>
        <v/>
      </c>
      <c r="I27" s="49">
        <f>SUMIFS('Equities - Lots'!$H:$H,'Equities - Lots'!$B:$B,B27,'Equities - Lots'!$C:$C,C27)</f>
        <v/>
      </c>
      <c r="J27" s="63">
        <f>SUMIFS('Equities - Lots'!$L:$L,'Equities - Lots'!$B:$B,B27,'Equities - Lots'!$C:$C,C27)</f>
        <v/>
      </c>
      <c r="K27" s="63">
        <f>SUMIFS('Equities - Lots'!$M:$M,'Equities - Lots'!$B:$B,B27,'Equities - Lots'!$C:$C,C27)</f>
        <v/>
      </c>
      <c r="L27" s="65">
        <f>K27-J27</f>
        <v/>
      </c>
      <c r="M27" s="64">
        <f>IFERROR(L27/J27,0)</f>
        <v/>
      </c>
    </row>
    <row r="28" ht="15" customHeight="1" s="54">
      <c r="A28" s="43" t="n">
        <v>24</v>
      </c>
      <c r="B28" s="43" t="n"/>
      <c r="C28" s="43" t="n"/>
      <c r="D28" s="42" t="n"/>
      <c r="E28" s="25">
        <f>IFERROR(INDEX(Reference!$E:$E,MATCH("Equity|"&amp;C28&amp;"|"&amp;B28,Reference!$A:$A,0)),"")</f>
        <v/>
      </c>
      <c r="F28" s="25">
        <f>IFERROR(INDEX(Reference!$G:$G,MATCH("Equity|"&amp;C28&amp;"|"&amp;B28,Reference!$A:$A,0)),"")</f>
        <v/>
      </c>
      <c r="G28" s="25">
        <f>IFERROR(INDEX(Reference!$H:$H,MATCH("Equity|"&amp;C28&amp;"|"&amp;B28,Reference!$A:$A,0)),"")</f>
        <v/>
      </c>
      <c r="H28" s="52">
        <f>COUNTIFS('Equities - Lots'!$B:$B,B28,'Equities - Lots'!$C:$C,C28)</f>
        <v/>
      </c>
      <c r="I28" s="49">
        <f>SUMIFS('Equities - Lots'!$H:$H,'Equities - Lots'!$B:$B,B28,'Equities - Lots'!$C:$C,C28)</f>
        <v/>
      </c>
      <c r="J28" s="63">
        <f>SUMIFS('Equities - Lots'!$L:$L,'Equities - Lots'!$B:$B,B28,'Equities - Lots'!$C:$C,C28)</f>
        <v/>
      </c>
      <c r="K28" s="63">
        <f>SUMIFS('Equities - Lots'!$M:$M,'Equities - Lots'!$B:$B,B28,'Equities - Lots'!$C:$C,C28)</f>
        <v/>
      </c>
      <c r="L28" s="65">
        <f>K28-J28</f>
        <v/>
      </c>
      <c r="M28" s="64">
        <f>IFERROR(L28/J28,0)</f>
        <v/>
      </c>
    </row>
    <row r="29" ht="15" customHeight="1" s="54">
      <c r="A29" s="43" t="n">
        <v>25</v>
      </c>
      <c r="B29" s="43" t="n"/>
      <c r="C29" s="43" t="n"/>
      <c r="D29" s="42" t="n"/>
      <c r="E29" s="25">
        <f>IFERROR(INDEX(Reference!$E:$E,MATCH("Equity|"&amp;C29&amp;"|"&amp;B29,Reference!$A:$A,0)),"")</f>
        <v/>
      </c>
      <c r="F29" s="25">
        <f>IFERROR(INDEX(Reference!$G:$G,MATCH("Equity|"&amp;C29&amp;"|"&amp;B29,Reference!$A:$A,0)),"")</f>
        <v/>
      </c>
      <c r="G29" s="25">
        <f>IFERROR(INDEX(Reference!$H:$H,MATCH("Equity|"&amp;C29&amp;"|"&amp;B29,Reference!$A:$A,0)),"")</f>
        <v/>
      </c>
      <c r="H29" s="52">
        <f>COUNTIFS('Equities - Lots'!$B:$B,B29,'Equities - Lots'!$C:$C,C29)</f>
        <v/>
      </c>
      <c r="I29" s="49">
        <f>SUMIFS('Equities - Lots'!$H:$H,'Equities - Lots'!$B:$B,B29,'Equities - Lots'!$C:$C,C29)</f>
        <v/>
      </c>
      <c r="J29" s="63">
        <f>SUMIFS('Equities - Lots'!$L:$L,'Equities - Lots'!$B:$B,B29,'Equities - Lots'!$C:$C,C29)</f>
        <v/>
      </c>
      <c r="K29" s="63">
        <f>SUMIFS('Equities - Lots'!$M:$M,'Equities - Lots'!$B:$B,B29,'Equities - Lots'!$C:$C,C29)</f>
        <v/>
      </c>
      <c r="L29" s="65">
        <f>K29-J29</f>
        <v/>
      </c>
      <c r="M29" s="64">
        <f>IFERROR(L29/J29,0)</f>
        <v/>
      </c>
    </row>
    <row r="30" ht="15" customHeight="1" s="54">
      <c r="A30" s="43" t="n">
        <v>26</v>
      </c>
      <c r="B30" s="43" t="n"/>
      <c r="C30" s="43" t="n"/>
      <c r="D30" s="42" t="n"/>
      <c r="E30" s="25">
        <f>IFERROR(INDEX(Reference!$E:$E,MATCH("Equity|"&amp;C30&amp;"|"&amp;B30,Reference!$A:$A,0)),"")</f>
        <v/>
      </c>
      <c r="F30" s="25">
        <f>IFERROR(INDEX(Reference!$G:$G,MATCH("Equity|"&amp;C30&amp;"|"&amp;B30,Reference!$A:$A,0)),"")</f>
        <v/>
      </c>
      <c r="G30" s="25">
        <f>IFERROR(INDEX(Reference!$H:$H,MATCH("Equity|"&amp;C30&amp;"|"&amp;B30,Reference!$A:$A,0)),"")</f>
        <v/>
      </c>
      <c r="H30" s="52">
        <f>COUNTIFS('Equities - Lots'!$B:$B,B30,'Equities - Lots'!$C:$C,C30)</f>
        <v/>
      </c>
      <c r="I30" s="49">
        <f>SUMIFS('Equities - Lots'!$H:$H,'Equities - Lots'!$B:$B,B30,'Equities - Lots'!$C:$C,C30)</f>
        <v/>
      </c>
      <c r="J30" s="63">
        <f>SUMIFS('Equities - Lots'!$L:$L,'Equities - Lots'!$B:$B,B30,'Equities - Lots'!$C:$C,C30)</f>
        <v/>
      </c>
      <c r="K30" s="63">
        <f>SUMIFS('Equities - Lots'!$M:$M,'Equities - Lots'!$B:$B,B30,'Equities - Lots'!$C:$C,C30)</f>
        <v/>
      </c>
      <c r="L30" s="65">
        <f>K30-J30</f>
        <v/>
      </c>
      <c r="M30" s="64">
        <f>IFERROR(L30/J30,0)</f>
        <v/>
      </c>
    </row>
    <row r="31" ht="15" customHeight="1" s="54">
      <c r="A31" s="43" t="n">
        <v>27</v>
      </c>
      <c r="B31" s="43" t="n"/>
      <c r="C31" s="43" t="n"/>
      <c r="D31" s="42" t="n"/>
      <c r="E31" s="25">
        <f>IFERROR(INDEX(Reference!$E:$E,MATCH("Equity|"&amp;C31&amp;"|"&amp;B31,Reference!$A:$A,0)),"")</f>
        <v/>
      </c>
      <c r="F31" s="25">
        <f>IFERROR(INDEX(Reference!$G:$G,MATCH("Equity|"&amp;C31&amp;"|"&amp;B31,Reference!$A:$A,0)),"")</f>
        <v/>
      </c>
      <c r="G31" s="25">
        <f>IFERROR(INDEX(Reference!$H:$H,MATCH("Equity|"&amp;C31&amp;"|"&amp;B31,Reference!$A:$A,0)),"")</f>
        <v/>
      </c>
      <c r="H31" s="52">
        <f>COUNTIFS('Equities - Lots'!$B:$B,B31,'Equities - Lots'!$C:$C,C31)</f>
        <v/>
      </c>
      <c r="I31" s="49">
        <f>SUMIFS('Equities - Lots'!$H:$H,'Equities - Lots'!$B:$B,B31,'Equities - Lots'!$C:$C,C31)</f>
        <v/>
      </c>
      <c r="J31" s="63">
        <f>SUMIFS('Equities - Lots'!$L:$L,'Equities - Lots'!$B:$B,B31,'Equities - Lots'!$C:$C,C31)</f>
        <v/>
      </c>
      <c r="K31" s="63">
        <f>SUMIFS('Equities - Lots'!$M:$M,'Equities - Lots'!$B:$B,B31,'Equities - Lots'!$C:$C,C31)</f>
        <v/>
      </c>
      <c r="L31" s="65">
        <f>K31-J31</f>
        <v/>
      </c>
      <c r="M31" s="64">
        <f>IFERROR(L31/J31,0)</f>
        <v/>
      </c>
    </row>
    <row r="32" ht="15" customHeight="1" s="54">
      <c r="A32" s="43" t="n">
        <v>28</v>
      </c>
      <c r="B32" s="43" t="n"/>
      <c r="C32" s="43" t="n"/>
      <c r="D32" s="42" t="n"/>
      <c r="E32" s="25">
        <f>IFERROR(INDEX(Reference!$E:$E,MATCH("Equity|"&amp;C32&amp;"|"&amp;B32,Reference!$A:$A,0)),"")</f>
        <v/>
      </c>
      <c r="F32" s="25">
        <f>IFERROR(INDEX(Reference!$G:$G,MATCH("Equity|"&amp;C32&amp;"|"&amp;B32,Reference!$A:$A,0)),"")</f>
        <v/>
      </c>
      <c r="G32" s="25">
        <f>IFERROR(INDEX(Reference!$H:$H,MATCH("Equity|"&amp;C32&amp;"|"&amp;B32,Reference!$A:$A,0)),"")</f>
        <v/>
      </c>
      <c r="H32" s="52">
        <f>COUNTIFS('Equities - Lots'!$B:$B,B32,'Equities - Lots'!$C:$C,C32)</f>
        <v/>
      </c>
      <c r="I32" s="49">
        <f>SUMIFS('Equities - Lots'!$H:$H,'Equities - Lots'!$B:$B,B32,'Equities - Lots'!$C:$C,C32)</f>
        <v/>
      </c>
      <c r="J32" s="63">
        <f>SUMIFS('Equities - Lots'!$L:$L,'Equities - Lots'!$B:$B,B32,'Equities - Lots'!$C:$C,C32)</f>
        <v/>
      </c>
      <c r="K32" s="63">
        <f>SUMIFS('Equities - Lots'!$M:$M,'Equities - Lots'!$B:$B,B32,'Equities - Lots'!$C:$C,C32)</f>
        <v/>
      </c>
      <c r="L32" s="65">
        <f>K32-J32</f>
        <v/>
      </c>
      <c r="M32" s="64">
        <f>IFERROR(L32/J32,0)</f>
        <v/>
      </c>
    </row>
    <row r="33" ht="15" customHeight="1" s="54">
      <c r="A33" s="43" t="n">
        <v>29</v>
      </c>
      <c r="B33" s="43" t="n"/>
      <c r="C33" s="43" t="n"/>
      <c r="D33" s="42" t="n"/>
      <c r="E33" s="25">
        <f>IFERROR(INDEX(Reference!$E:$E,MATCH("Equity|"&amp;C33&amp;"|"&amp;B33,Reference!$A:$A,0)),"")</f>
        <v/>
      </c>
      <c r="F33" s="25">
        <f>IFERROR(INDEX(Reference!$G:$G,MATCH("Equity|"&amp;C33&amp;"|"&amp;B33,Reference!$A:$A,0)),"")</f>
        <v/>
      </c>
      <c r="G33" s="25">
        <f>IFERROR(INDEX(Reference!$H:$H,MATCH("Equity|"&amp;C33&amp;"|"&amp;B33,Reference!$A:$A,0)),"")</f>
        <v/>
      </c>
      <c r="H33" s="52">
        <f>COUNTIFS('Equities - Lots'!$B:$B,B33,'Equities - Lots'!$C:$C,C33)</f>
        <v/>
      </c>
      <c r="I33" s="49">
        <f>SUMIFS('Equities - Lots'!$H:$H,'Equities - Lots'!$B:$B,B33,'Equities - Lots'!$C:$C,C33)</f>
        <v/>
      </c>
      <c r="J33" s="63">
        <f>SUMIFS('Equities - Lots'!$L:$L,'Equities - Lots'!$B:$B,B33,'Equities - Lots'!$C:$C,C33)</f>
        <v/>
      </c>
      <c r="K33" s="63">
        <f>SUMIFS('Equities - Lots'!$M:$M,'Equities - Lots'!$B:$B,B33,'Equities - Lots'!$C:$C,C33)</f>
        <v/>
      </c>
      <c r="L33" s="65">
        <f>K33-J33</f>
        <v/>
      </c>
      <c r="M33" s="64">
        <f>IFERROR(L33/J33,0)</f>
        <v/>
      </c>
    </row>
    <row r="34" ht="15" customHeight="1" s="54">
      <c r="A34" s="43" t="n">
        <v>30</v>
      </c>
      <c r="B34" s="43" t="n"/>
      <c r="C34" s="43" t="n"/>
      <c r="D34" s="42" t="n"/>
      <c r="E34" s="25">
        <f>IFERROR(INDEX(Reference!$E:$E,MATCH("Equity|"&amp;C34&amp;"|"&amp;B34,Reference!$A:$A,0)),"")</f>
        <v/>
      </c>
      <c r="F34" s="25">
        <f>IFERROR(INDEX(Reference!$G:$G,MATCH("Equity|"&amp;C34&amp;"|"&amp;B34,Reference!$A:$A,0)),"")</f>
        <v/>
      </c>
      <c r="G34" s="25">
        <f>IFERROR(INDEX(Reference!$H:$H,MATCH("Equity|"&amp;C34&amp;"|"&amp;B34,Reference!$A:$A,0)),"")</f>
        <v/>
      </c>
      <c r="H34" s="52">
        <f>COUNTIFS('Equities - Lots'!$B:$B,B34,'Equities - Lots'!$C:$C,C34)</f>
        <v/>
      </c>
      <c r="I34" s="49">
        <f>SUMIFS('Equities - Lots'!$H:$H,'Equities - Lots'!$B:$B,B34,'Equities - Lots'!$C:$C,C34)</f>
        <v/>
      </c>
      <c r="J34" s="63">
        <f>SUMIFS('Equities - Lots'!$L:$L,'Equities - Lots'!$B:$B,B34,'Equities - Lots'!$C:$C,C34)</f>
        <v/>
      </c>
      <c r="K34" s="63">
        <f>SUMIFS('Equities - Lots'!$M:$M,'Equities - Lots'!$B:$B,B34,'Equities - Lots'!$C:$C,C34)</f>
        <v/>
      </c>
      <c r="L34" s="65">
        <f>K34-J34</f>
        <v/>
      </c>
      <c r="M34" s="64">
        <f>IFERROR(L34/J34,0)</f>
        <v/>
      </c>
    </row>
    <row r="35" ht="15" customHeight="1" s="54">
      <c r="A35" s="43" t="n">
        <v>31</v>
      </c>
      <c r="B35" s="43" t="n"/>
      <c r="C35" s="43" t="n"/>
      <c r="D35" s="42" t="n"/>
      <c r="E35" s="25">
        <f>IFERROR(INDEX(Reference!$E:$E,MATCH("Equity|"&amp;C35&amp;"|"&amp;B35,Reference!$A:$A,0)),"")</f>
        <v/>
      </c>
      <c r="F35" s="25">
        <f>IFERROR(INDEX(Reference!$G:$G,MATCH("Equity|"&amp;C35&amp;"|"&amp;B35,Reference!$A:$A,0)),"")</f>
        <v/>
      </c>
      <c r="G35" s="25">
        <f>IFERROR(INDEX(Reference!$H:$H,MATCH("Equity|"&amp;C35&amp;"|"&amp;B35,Reference!$A:$A,0)),"")</f>
        <v/>
      </c>
      <c r="H35" s="52">
        <f>COUNTIFS('Equities - Lots'!$B:$B,B35,'Equities - Lots'!$C:$C,C35)</f>
        <v/>
      </c>
      <c r="I35" s="49">
        <f>SUMIFS('Equities - Lots'!$H:$H,'Equities - Lots'!$B:$B,B35,'Equities - Lots'!$C:$C,C35)</f>
        <v/>
      </c>
      <c r="J35" s="63">
        <f>SUMIFS('Equities - Lots'!$L:$L,'Equities - Lots'!$B:$B,B35,'Equities - Lots'!$C:$C,C35)</f>
        <v/>
      </c>
      <c r="K35" s="63">
        <f>SUMIFS('Equities - Lots'!$M:$M,'Equities - Lots'!$B:$B,B35,'Equities - Lots'!$C:$C,C35)</f>
        <v/>
      </c>
      <c r="L35" s="65">
        <f>K35-J35</f>
        <v/>
      </c>
      <c r="M35" s="64">
        <f>IFERROR(L35/J35,0)</f>
        <v/>
      </c>
    </row>
    <row r="36" ht="15" customHeight="1" s="54">
      <c r="A36" s="43" t="n">
        <v>32</v>
      </c>
      <c r="B36" s="43" t="n"/>
      <c r="C36" s="43" t="n"/>
      <c r="D36" s="42" t="n"/>
      <c r="E36" s="25">
        <f>IFERROR(INDEX(Reference!$E:$E,MATCH("Equity|"&amp;C36&amp;"|"&amp;B36,Reference!$A:$A,0)),"")</f>
        <v/>
      </c>
      <c r="F36" s="25">
        <f>IFERROR(INDEX(Reference!$G:$G,MATCH("Equity|"&amp;C36&amp;"|"&amp;B36,Reference!$A:$A,0)),"")</f>
        <v/>
      </c>
      <c r="G36" s="25">
        <f>IFERROR(INDEX(Reference!$H:$H,MATCH("Equity|"&amp;C36&amp;"|"&amp;B36,Reference!$A:$A,0)),"")</f>
        <v/>
      </c>
      <c r="H36" s="52">
        <f>COUNTIFS('Equities - Lots'!$B:$B,B36,'Equities - Lots'!$C:$C,C36)</f>
        <v/>
      </c>
      <c r="I36" s="49">
        <f>SUMIFS('Equities - Lots'!$H:$H,'Equities - Lots'!$B:$B,B36,'Equities - Lots'!$C:$C,C36)</f>
        <v/>
      </c>
      <c r="J36" s="63">
        <f>SUMIFS('Equities - Lots'!$L:$L,'Equities - Lots'!$B:$B,B36,'Equities - Lots'!$C:$C,C36)</f>
        <v/>
      </c>
      <c r="K36" s="63">
        <f>SUMIFS('Equities - Lots'!$M:$M,'Equities - Lots'!$B:$B,B36,'Equities - Lots'!$C:$C,C36)</f>
        <v/>
      </c>
      <c r="L36" s="65">
        <f>K36-J36</f>
        <v/>
      </c>
      <c r="M36" s="64">
        <f>IFERROR(L36/J36,0)</f>
        <v/>
      </c>
    </row>
    <row r="37" ht="15" customHeight="1" s="54">
      <c r="A37" s="43" t="n">
        <v>33</v>
      </c>
      <c r="B37" s="43" t="n"/>
      <c r="C37" s="43" t="n"/>
      <c r="D37" s="42" t="n"/>
      <c r="E37" s="25">
        <f>IFERROR(INDEX(Reference!$E:$E,MATCH("Equity|"&amp;C37&amp;"|"&amp;B37,Reference!$A:$A,0)),"")</f>
        <v/>
      </c>
      <c r="F37" s="25">
        <f>IFERROR(INDEX(Reference!$G:$G,MATCH("Equity|"&amp;C37&amp;"|"&amp;B37,Reference!$A:$A,0)),"")</f>
        <v/>
      </c>
      <c r="G37" s="25">
        <f>IFERROR(INDEX(Reference!$H:$H,MATCH("Equity|"&amp;C37&amp;"|"&amp;B37,Reference!$A:$A,0)),"")</f>
        <v/>
      </c>
      <c r="H37" s="52">
        <f>COUNTIFS('Equities - Lots'!$B:$B,B37,'Equities - Lots'!$C:$C,C37)</f>
        <v/>
      </c>
      <c r="I37" s="49">
        <f>SUMIFS('Equities - Lots'!$H:$H,'Equities - Lots'!$B:$B,B37,'Equities - Lots'!$C:$C,C37)</f>
        <v/>
      </c>
      <c r="J37" s="63">
        <f>SUMIFS('Equities - Lots'!$L:$L,'Equities - Lots'!$B:$B,B37,'Equities - Lots'!$C:$C,C37)</f>
        <v/>
      </c>
      <c r="K37" s="63">
        <f>SUMIFS('Equities - Lots'!$M:$M,'Equities - Lots'!$B:$B,B37,'Equities - Lots'!$C:$C,C37)</f>
        <v/>
      </c>
      <c r="L37" s="65">
        <f>K37-J37</f>
        <v/>
      </c>
      <c r="M37" s="64">
        <f>IFERROR(L37/J37,0)</f>
        <v/>
      </c>
    </row>
    <row r="38" ht="15" customHeight="1" s="54">
      <c r="A38" s="43" t="n">
        <v>34</v>
      </c>
      <c r="B38" s="43" t="n"/>
      <c r="C38" s="43" t="n"/>
      <c r="D38" s="42" t="n"/>
      <c r="E38" s="25">
        <f>IFERROR(INDEX(Reference!$E:$E,MATCH("Equity|"&amp;C38&amp;"|"&amp;B38,Reference!$A:$A,0)),"")</f>
        <v/>
      </c>
      <c r="F38" s="25">
        <f>IFERROR(INDEX(Reference!$G:$G,MATCH("Equity|"&amp;C38&amp;"|"&amp;B38,Reference!$A:$A,0)),"")</f>
        <v/>
      </c>
      <c r="G38" s="25">
        <f>IFERROR(INDEX(Reference!$H:$H,MATCH("Equity|"&amp;C38&amp;"|"&amp;B38,Reference!$A:$A,0)),"")</f>
        <v/>
      </c>
      <c r="H38" s="52">
        <f>COUNTIFS('Equities - Lots'!$B:$B,B38,'Equities - Lots'!$C:$C,C38)</f>
        <v/>
      </c>
      <c r="I38" s="49">
        <f>SUMIFS('Equities - Lots'!$H:$H,'Equities - Lots'!$B:$B,B38,'Equities - Lots'!$C:$C,C38)</f>
        <v/>
      </c>
      <c r="J38" s="63">
        <f>SUMIFS('Equities - Lots'!$L:$L,'Equities - Lots'!$B:$B,B38,'Equities - Lots'!$C:$C,C38)</f>
        <v/>
      </c>
      <c r="K38" s="63">
        <f>SUMIFS('Equities - Lots'!$M:$M,'Equities - Lots'!$B:$B,B38,'Equities - Lots'!$C:$C,C38)</f>
        <v/>
      </c>
      <c r="L38" s="65">
        <f>K38-J38</f>
        <v/>
      </c>
      <c r="M38" s="64">
        <f>IFERROR(L38/J38,0)</f>
        <v/>
      </c>
    </row>
    <row r="39" ht="15" customHeight="1" s="54">
      <c r="A39" s="43" t="n">
        <v>35</v>
      </c>
      <c r="B39" s="43" t="n"/>
      <c r="C39" s="43" t="n"/>
      <c r="D39" s="42" t="n"/>
      <c r="E39" s="25">
        <f>IFERROR(INDEX(Reference!$E:$E,MATCH("Equity|"&amp;C39&amp;"|"&amp;B39,Reference!$A:$A,0)),"")</f>
        <v/>
      </c>
      <c r="F39" s="25">
        <f>IFERROR(INDEX(Reference!$G:$G,MATCH("Equity|"&amp;C39&amp;"|"&amp;B39,Reference!$A:$A,0)),"")</f>
        <v/>
      </c>
      <c r="G39" s="25">
        <f>IFERROR(INDEX(Reference!$H:$H,MATCH("Equity|"&amp;C39&amp;"|"&amp;B39,Reference!$A:$A,0)),"")</f>
        <v/>
      </c>
      <c r="H39" s="52">
        <f>COUNTIFS('Equities - Lots'!$B:$B,B39,'Equities - Lots'!$C:$C,C39)</f>
        <v/>
      </c>
      <c r="I39" s="49">
        <f>SUMIFS('Equities - Lots'!$H:$H,'Equities - Lots'!$B:$B,B39,'Equities - Lots'!$C:$C,C39)</f>
        <v/>
      </c>
      <c r="J39" s="63">
        <f>SUMIFS('Equities - Lots'!$L:$L,'Equities - Lots'!$B:$B,B39,'Equities - Lots'!$C:$C,C39)</f>
        <v/>
      </c>
      <c r="K39" s="63">
        <f>SUMIFS('Equities - Lots'!$M:$M,'Equities - Lots'!$B:$B,B39,'Equities - Lots'!$C:$C,C39)</f>
        <v/>
      </c>
      <c r="L39" s="65">
        <f>K39-J39</f>
        <v/>
      </c>
      <c r="M39" s="64">
        <f>IFERROR(L39/J39,0)</f>
        <v/>
      </c>
    </row>
    <row r="40" ht="15" customHeight="1" s="54">
      <c r="A40" s="43" t="n">
        <v>36</v>
      </c>
      <c r="B40" s="43" t="n"/>
      <c r="C40" s="43" t="n"/>
      <c r="D40" s="42" t="n"/>
      <c r="E40" s="25">
        <f>IFERROR(INDEX(Reference!$E:$E,MATCH("Equity|"&amp;C40&amp;"|"&amp;B40,Reference!$A:$A,0)),"")</f>
        <v/>
      </c>
      <c r="F40" s="25">
        <f>IFERROR(INDEX(Reference!$G:$G,MATCH("Equity|"&amp;C40&amp;"|"&amp;B40,Reference!$A:$A,0)),"")</f>
        <v/>
      </c>
      <c r="G40" s="25">
        <f>IFERROR(INDEX(Reference!$H:$H,MATCH("Equity|"&amp;C40&amp;"|"&amp;B40,Reference!$A:$A,0)),"")</f>
        <v/>
      </c>
      <c r="H40" s="52">
        <f>COUNTIFS('Equities - Lots'!$B:$B,B40,'Equities - Lots'!$C:$C,C40)</f>
        <v/>
      </c>
      <c r="I40" s="49">
        <f>SUMIFS('Equities - Lots'!$H:$H,'Equities - Lots'!$B:$B,B40,'Equities - Lots'!$C:$C,C40)</f>
        <v/>
      </c>
      <c r="J40" s="63">
        <f>SUMIFS('Equities - Lots'!$L:$L,'Equities - Lots'!$B:$B,B40,'Equities - Lots'!$C:$C,C40)</f>
        <v/>
      </c>
      <c r="K40" s="63">
        <f>SUMIFS('Equities - Lots'!$M:$M,'Equities - Lots'!$B:$B,B40,'Equities - Lots'!$C:$C,C40)</f>
        <v/>
      </c>
      <c r="L40" s="65">
        <f>K40-J40</f>
        <v/>
      </c>
      <c r="M40" s="64">
        <f>IFERROR(L40/J40,0)</f>
        <v/>
      </c>
    </row>
    <row r="41" ht="15" customHeight="1" s="54">
      <c r="A41" s="43" t="n">
        <v>37</v>
      </c>
      <c r="B41" s="43" t="n"/>
      <c r="C41" s="43" t="n"/>
      <c r="D41" s="42" t="n"/>
      <c r="E41" s="25">
        <f>IFERROR(INDEX(Reference!$E:$E,MATCH("Equity|"&amp;C41&amp;"|"&amp;B41,Reference!$A:$A,0)),"")</f>
        <v/>
      </c>
      <c r="F41" s="25">
        <f>IFERROR(INDEX(Reference!$G:$G,MATCH("Equity|"&amp;C41&amp;"|"&amp;B41,Reference!$A:$A,0)),"")</f>
        <v/>
      </c>
      <c r="G41" s="25">
        <f>IFERROR(INDEX(Reference!$H:$H,MATCH("Equity|"&amp;C41&amp;"|"&amp;B41,Reference!$A:$A,0)),"")</f>
        <v/>
      </c>
      <c r="H41" s="52">
        <f>COUNTIFS('Equities - Lots'!$B:$B,B41,'Equities - Lots'!$C:$C,C41)</f>
        <v/>
      </c>
      <c r="I41" s="49">
        <f>SUMIFS('Equities - Lots'!$H:$H,'Equities - Lots'!$B:$B,B41,'Equities - Lots'!$C:$C,C41)</f>
        <v/>
      </c>
      <c r="J41" s="63">
        <f>SUMIFS('Equities - Lots'!$L:$L,'Equities - Lots'!$B:$B,B41,'Equities - Lots'!$C:$C,C41)</f>
        <v/>
      </c>
      <c r="K41" s="63">
        <f>SUMIFS('Equities - Lots'!$M:$M,'Equities - Lots'!$B:$B,B41,'Equities - Lots'!$C:$C,C41)</f>
        <v/>
      </c>
      <c r="L41" s="65">
        <f>K41-J41</f>
        <v/>
      </c>
      <c r="M41" s="64">
        <f>IFERROR(L41/J41,0)</f>
        <v/>
      </c>
    </row>
    <row r="42" ht="15" customHeight="1" s="54">
      <c r="A42" s="43" t="n">
        <v>38</v>
      </c>
      <c r="B42" s="43" t="n"/>
      <c r="C42" s="43" t="n"/>
      <c r="D42" s="42" t="n"/>
      <c r="E42" s="25">
        <f>IFERROR(INDEX(Reference!$E:$E,MATCH("Equity|"&amp;C42&amp;"|"&amp;B42,Reference!$A:$A,0)),"")</f>
        <v/>
      </c>
      <c r="F42" s="25">
        <f>IFERROR(INDEX(Reference!$G:$G,MATCH("Equity|"&amp;C42&amp;"|"&amp;B42,Reference!$A:$A,0)),"")</f>
        <v/>
      </c>
      <c r="G42" s="25">
        <f>IFERROR(INDEX(Reference!$H:$H,MATCH("Equity|"&amp;C42&amp;"|"&amp;B42,Reference!$A:$A,0)),"")</f>
        <v/>
      </c>
      <c r="H42" s="52">
        <f>COUNTIFS('Equities - Lots'!$B:$B,B42,'Equities - Lots'!$C:$C,C42)</f>
        <v/>
      </c>
      <c r="I42" s="49">
        <f>SUMIFS('Equities - Lots'!$H:$H,'Equities - Lots'!$B:$B,B42,'Equities - Lots'!$C:$C,C42)</f>
        <v/>
      </c>
      <c r="J42" s="63">
        <f>SUMIFS('Equities - Lots'!$L:$L,'Equities - Lots'!$B:$B,B42,'Equities - Lots'!$C:$C,C42)</f>
        <v/>
      </c>
      <c r="K42" s="63">
        <f>SUMIFS('Equities - Lots'!$M:$M,'Equities - Lots'!$B:$B,B42,'Equities - Lots'!$C:$C,C42)</f>
        <v/>
      </c>
      <c r="L42" s="65">
        <f>K42-J42</f>
        <v/>
      </c>
      <c r="M42" s="64">
        <f>IFERROR(L42/J42,0)</f>
        <v/>
      </c>
    </row>
    <row r="43" ht="15" customHeight="1" s="54">
      <c r="A43" s="43" t="n">
        <v>39</v>
      </c>
      <c r="B43" s="43" t="n"/>
      <c r="C43" s="43" t="n"/>
      <c r="D43" s="42" t="n"/>
      <c r="E43" s="25">
        <f>IFERROR(INDEX(Reference!$E:$E,MATCH("Equity|"&amp;C43&amp;"|"&amp;B43,Reference!$A:$A,0)),"")</f>
        <v/>
      </c>
      <c r="F43" s="25">
        <f>IFERROR(INDEX(Reference!$G:$G,MATCH("Equity|"&amp;C43&amp;"|"&amp;B43,Reference!$A:$A,0)),"")</f>
        <v/>
      </c>
      <c r="G43" s="25">
        <f>IFERROR(INDEX(Reference!$H:$H,MATCH("Equity|"&amp;C43&amp;"|"&amp;B43,Reference!$A:$A,0)),"")</f>
        <v/>
      </c>
      <c r="H43" s="52">
        <f>COUNTIFS('Equities - Lots'!$B:$B,B43,'Equities - Lots'!$C:$C,C43)</f>
        <v/>
      </c>
      <c r="I43" s="49">
        <f>SUMIFS('Equities - Lots'!$H:$H,'Equities - Lots'!$B:$B,B43,'Equities - Lots'!$C:$C,C43)</f>
        <v/>
      </c>
      <c r="J43" s="63">
        <f>SUMIFS('Equities - Lots'!$L:$L,'Equities - Lots'!$B:$B,B43,'Equities - Lots'!$C:$C,C43)</f>
        <v/>
      </c>
      <c r="K43" s="63">
        <f>SUMIFS('Equities - Lots'!$M:$M,'Equities - Lots'!$B:$B,B43,'Equities - Lots'!$C:$C,C43)</f>
        <v/>
      </c>
      <c r="L43" s="65">
        <f>K43-J43</f>
        <v/>
      </c>
      <c r="M43" s="64">
        <f>IFERROR(L43/J43,0)</f>
        <v/>
      </c>
    </row>
    <row r="44" ht="15" customHeight="1" s="54">
      <c r="A44" s="20" t="inlineStr">
        <is>
          <t>TOTAL</t>
        </is>
      </c>
      <c r="B44" s="51" t="n"/>
      <c r="C44" s="51" t="n"/>
      <c r="D44" s="51" t="n"/>
      <c r="E44" s="51" t="n"/>
      <c r="F44" s="51" t="n"/>
      <c r="G44" s="51" t="n"/>
      <c r="H44" s="53">
        <f>SUM(H5:H43)</f>
        <v/>
      </c>
      <c r="I44" s="51" t="n"/>
      <c r="J44" s="66">
        <f>SUM(J5:J43)</f>
        <v/>
      </c>
      <c r="K44" s="66">
        <f>SUM(K5:K43)</f>
        <v/>
      </c>
      <c r="L44" s="66">
        <f>SUM(L5:L43)</f>
        <v/>
      </c>
      <c r="M44" s="67">
        <f>IFERROR(L44/J44,0)</f>
        <v/>
      </c>
    </row>
  </sheetData>
  <autoFilter ref="A4:M43"/>
  <mergeCells count="1">
    <mergeCell ref="A2:M2"/>
  </mergeCells>
  <conditionalFormatting sqref="L5:M43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O31"/>
  <sheetViews>
    <sheetView showGridLines="0" zoomScaleNormal="100" workbookViewId="0">
      <pane xSplit="3" ySplit="4" topLeftCell="F5" activePane="bottomRight" state="frozen"/>
      <selection pane="topRight" activeCell="D1" sqref="D1"/>
      <selection pane="bottomLeft" activeCell="A5" sqref="A5"/>
      <selection pane="bottomRight" activeCell="A2" sqref="A2:O2"/>
    </sheetView>
  </sheetViews>
  <sheetFormatPr baseColWidth="10" defaultColWidth="8.6640625" defaultRowHeight="15"/>
  <cols>
    <col width="5" customWidth="1" style="54" min="1" max="1"/>
    <col width="12" customWidth="1" style="54" min="2" max="2"/>
    <col width="14" customWidth="1" style="54" min="3" max="3"/>
    <col width="10" customWidth="1" style="54" min="4" max="4"/>
    <col width="20" customWidth="1" style="54" min="5" max="5"/>
    <col width="14" customWidth="1" style="54" min="6" max="7"/>
    <col width="16" customWidth="1" style="54" min="8" max="8"/>
    <col width="10" customWidth="1" style="54" min="9" max="9"/>
    <col width="16" customWidth="1" style="54" min="10" max="12"/>
    <col width="10" customWidth="1" style="54" min="13" max="13"/>
    <col width="14" customWidth="1" style="54" min="14" max="14"/>
    <col width="20" customWidth="1" style="54" min="15" max="16"/>
  </cols>
  <sheetData>
    <row r="2" ht="30" customHeight="1" s="54">
      <c r="A2" s="56" t="inlineStr">
        <is>
          <t>CRYPTO — LOT LEVEL  (OKX / Binance / Bitkub / Bitazza)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</row>
    <row r="4" ht="42" customHeight="1" s="54">
      <c r="A4" s="15" t="inlineStr">
        <is>
          <t>#</t>
        </is>
      </c>
      <c r="B4" s="15" t="inlineStr">
        <is>
          <t>Exchange</t>
        </is>
      </c>
      <c r="C4" s="15" t="inlineStr">
        <is>
          <t>Coin</t>
        </is>
      </c>
      <c r="D4" s="15" t="inlineStr">
        <is>
          <t>Ccy</t>
        </is>
      </c>
      <c r="E4" s="15" t="inlineStr">
        <is>
          <t>Sub-class</t>
        </is>
      </c>
      <c r="F4" s="15" t="inlineStr">
        <is>
          <t>Quantity</t>
        </is>
      </c>
      <c r="G4" s="15" t="inlineStr">
        <is>
          <t>Avg Cost (nat.)</t>
        </is>
      </c>
      <c r="H4" s="15" t="inlineStr">
        <is>
          <t>Mkt Price (nat.)</t>
        </is>
      </c>
      <c r="I4" s="15" t="inlineStr">
        <is>
          <t>FX</t>
        </is>
      </c>
      <c r="J4" s="15" t="inlineStr">
        <is>
          <t>Initial Inv (฿)</t>
        </is>
      </c>
      <c r="K4" s="15" t="inlineStr">
        <is>
          <t>Current Value (฿)</t>
        </is>
      </c>
      <c r="L4" s="15" t="inlineStr">
        <is>
          <t>Unrealized P&amp;L (฿)</t>
        </is>
      </c>
      <c r="M4" s="15" t="inlineStr">
        <is>
          <t>P&amp;L %</t>
        </is>
      </c>
      <c r="N4" s="15" t="inlineStr">
        <is>
          <t>Purch. Date</t>
        </is>
      </c>
      <c r="O4" s="15" t="inlineStr">
        <is>
          <t>Note</t>
        </is>
      </c>
    </row>
    <row r="5" ht="15" customHeight="1" s="54">
      <c r="A5" s="43" t="n">
        <v>1</v>
      </c>
      <c r="B5" s="43" t="n"/>
      <c r="C5" s="43" t="n"/>
      <c r="D5" s="42" t="n"/>
      <c r="E5" s="25">
        <f>IFERROR(INDEX(Reference!$F:$F,MATCH("Crypto|"&amp;C5&amp;"|"&amp;B5,Reference!$A:$A,0)),"")</f>
        <v/>
      </c>
      <c r="F5" s="48" t="n"/>
      <c r="G5" s="41" t="n"/>
      <c r="H5" s="49">
        <f>IFERROR(INDEX(Prices!$E:$E,MATCH("Crypto|"&amp;C5&amp;"|"&amp;B5,Prices!$A:$A,0)),0)</f>
        <v/>
      </c>
      <c r="I5" s="79">
        <f>IF(D5="THB",1,FXRate)</f>
        <v/>
      </c>
      <c r="J5" s="65">
        <f>IFERROR(F5*G5*I5,0)</f>
        <v/>
      </c>
      <c r="K5" s="65">
        <f>IFERROR(F5*H5*I5,0)</f>
        <v/>
      </c>
      <c r="L5" s="65">
        <f>K5-J5</f>
        <v/>
      </c>
      <c r="M5" s="64">
        <f>IFERROR(L5/J5,0)</f>
        <v/>
      </c>
      <c r="N5" s="78" t="n"/>
      <c r="O5" s="43" t="n"/>
    </row>
    <row r="6" ht="15" customHeight="1" s="54">
      <c r="A6" s="43" t="n">
        <v>2</v>
      </c>
      <c r="B6" s="43" t="n"/>
      <c r="C6" s="43" t="n"/>
      <c r="D6" s="42" t="n"/>
      <c r="E6" s="25">
        <f>IFERROR(INDEX(Reference!$F:$F,MATCH("Crypto|"&amp;C6&amp;"|"&amp;B6,Reference!$A:$A,0)),"")</f>
        <v/>
      </c>
      <c r="F6" s="48" t="n"/>
      <c r="G6" s="41" t="n"/>
      <c r="H6" s="49">
        <f>IFERROR(INDEX(Prices!$E:$E,MATCH("Crypto|"&amp;C6&amp;"|"&amp;B6,Prices!$A:$A,0)),0)</f>
        <v/>
      </c>
      <c r="I6" s="79">
        <f>IF(D6="THB",1,FXRate)</f>
        <v/>
      </c>
      <c r="J6" s="65">
        <f>IFERROR(F6*G6*I6,0)</f>
        <v/>
      </c>
      <c r="K6" s="65">
        <f>IFERROR(F6*H6*I6,0)</f>
        <v/>
      </c>
      <c r="L6" s="65">
        <f>K6-J6</f>
        <v/>
      </c>
      <c r="M6" s="64">
        <f>IFERROR(L6/J6,0)</f>
        <v/>
      </c>
      <c r="N6" s="78" t="n"/>
      <c r="O6" s="43" t="n"/>
    </row>
    <row r="7" ht="15" customHeight="1" s="54">
      <c r="A7" s="43" t="n">
        <v>3</v>
      </c>
      <c r="B7" s="43" t="n"/>
      <c r="C7" s="43" t="n"/>
      <c r="D7" s="42" t="n"/>
      <c r="E7" s="25">
        <f>IFERROR(INDEX(Reference!$F:$F,MATCH("Crypto|"&amp;C7&amp;"|"&amp;B7,Reference!$A:$A,0)),"")</f>
        <v/>
      </c>
      <c r="F7" s="48" t="n"/>
      <c r="G7" s="41" t="n"/>
      <c r="H7" s="49">
        <f>IFERROR(INDEX(Prices!$E:$E,MATCH("Crypto|"&amp;C7&amp;"|"&amp;B7,Prices!$A:$A,0)),0)</f>
        <v/>
      </c>
      <c r="I7" s="79">
        <f>IF(D7="THB",1,FXRate)</f>
        <v/>
      </c>
      <c r="J7" s="65">
        <f>IFERROR(F7*G7*I7,0)</f>
        <v/>
      </c>
      <c r="K7" s="65">
        <f>IFERROR(F7*H7*I7,0)</f>
        <v/>
      </c>
      <c r="L7" s="65">
        <f>K7-J7</f>
        <v/>
      </c>
      <c r="M7" s="64">
        <f>IFERROR(L7/J7,0)</f>
        <v/>
      </c>
      <c r="N7" s="78" t="n"/>
      <c r="O7" s="43" t="n"/>
    </row>
    <row r="8" ht="15" customHeight="1" s="54">
      <c r="A8" s="43" t="n">
        <v>4</v>
      </c>
      <c r="B8" s="43" t="n"/>
      <c r="C8" s="43" t="n"/>
      <c r="D8" s="42" t="n"/>
      <c r="E8" s="25">
        <f>IFERROR(INDEX(Reference!$F:$F,MATCH("Crypto|"&amp;C8&amp;"|"&amp;B8,Reference!$A:$A,0)),"")</f>
        <v/>
      </c>
      <c r="F8" s="48" t="n"/>
      <c r="G8" s="41" t="n"/>
      <c r="H8" s="49">
        <f>IFERROR(INDEX(Prices!$E:$E,MATCH("Crypto|"&amp;C8&amp;"|"&amp;B8,Prices!$A:$A,0)),0)</f>
        <v/>
      </c>
      <c r="I8" s="79">
        <f>IF(D8="THB",1,FXRate)</f>
        <v/>
      </c>
      <c r="J8" s="65">
        <f>IFERROR(F8*G8*I8,0)</f>
        <v/>
      </c>
      <c r="K8" s="65">
        <f>IFERROR(F8*H8*I8,0)</f>
        <v/>
      </c>
      <c r="L8" s="65">
        <f>K8-J8</f>
        <v/>
      </c>
      <c r="M8" s="64">
        <f>IFERROR(L8/J8,0)</f>
        <v/>
      </c>
      <c r="N8" s="78" t="n"/>
      <c r="O8" s="43" t="n"/>
    </row>
    <row r="9" ht="15" customHeight="1" s="54">
      <c r="A9" s="43" t="n">
        <v>5</v>
      </c>
      <c r="B9" s="43" t="n"/>
      <c r="C9" s="43" t="n"/>
      <c r="D9" s="42" t="n"/>
      <c r="E9" s="25">
        <f>IFERROR(INDEX(Reference!$F:$F,MATCH("Crypto|"&amp;C9&amp;"|"&amp;B9,Reference!$A:$A,0)),"")</f>
        <v/>
      </c>
      <c r="F9" s="48" t="n"/>
      <c r="G9" s="41" t="n"/>
      <c r="H9" s="49">
        <f>IFERROR(INDEX(Prices!$E:$E,MATCH("Crypto|"&amp;C9&amp;"|"&amp;B9,Prices!$A:$A,0)),0)</f>
        <v/>
      </c>
      <c r="I9" s="79">
        <f>IF(D9="THB",1,FXRate)</f>
        <v/>
      </c>
      <c r="J9" s="65">
        <f>IFERROR(F9*G9*I9,0)</f>
        <v/>
      </c>
      <c r="K9" s="65">
        <f>IFERROR(F9*H9*I9,0)</f>
        <v/>
      </c>
      <c r="L9" s="65">
        <f>K9-J9</f>
        <v/>
      </c>
      <c r="M9" s="64">
        <f>IFERROR(L9/J9,0)</f>
        <v/>
      </c>
      <c r="N9" s="78" t="n"/>
      <c r="O9" s="43" t="n"/>
    </row>
    <row r="10" ht="15" customHeight="1" s="54">
      <c r="A10" s="43" t="n">
        <v>6</v>
      </c>
      <c r="B10" s="43" t="n"/>
      <c r="C10" s="43" t="n"/>
      <c r="D10" s="42" t="n"/>
      <c r="E10" s="25">
        <f>IFERROR(INDEX(Reference!$F:$F,MATCH("Crypto|"&amp;C10&amp;"|"&amp;B10,Reference!$A:$A,0)),"")</f>
        <v/>
      </c>
      <c r="F10" s="48" t="n"/>
      <c r="G10" s="41" t="n"/>
      <c r="H10" s="49">
        <f>IFERROR(INDEX(Prices!$E:$E,MATCH("Crypto|"&amp;C10&amp;"|"&amp;B10,Prices!$A:$A,0)),0)</f>
        <v/>
      </c>
      <c r="I10" s="79">
        <f>IF(D10="THB",1,FXRate)</f>
        <v/>
      </c>
      <c r="J10" s="65">
        <f>IFERROR(F10*G10*I10,0)</f>
        <v/>
      </c>
      <c r="K10" s="65">
        <f>IFERROR(F10*H10*I10,0)</f>
        <v/>
      </c>
      <c r="L10" s="65">
        <f>K10-J10</f>
        <v/>
      </c>
      <c r="M10" s="64">
        <f>IFERROR(L10/J10,0)</f>
        <v/>
      </c>
      <c r="N10" s="78" t="n"/>
      <c r="O10" s="43" t="n"/>
    </row>
    <row r="11" ht="15" customHeight="1" s="54">
      <c r="A11" s="43" t="n">
        <v>7</v>
      </c>
      <c r="B11" s="43" t="n"/>
      <c r="C11" s="43" t="n"/>
      <c r="D11" s="42" t="n"/>
      <c r="E11" s="25">
        <f>IFERROR(INDEX(Reference!$F:$F,MATCH("Crypto|"&amp;C11&amp;"|"&amp;B11,Reference!$A:$A,0)),"")</f>
        <v/>
      </c>
      <c r="F11" s="48" t="n"/>
      <c r="G11" s="41" t="n"/>
      <c r="H11" s="49">
        <f>IFERROR(INDEX(Prices!$E:$E,MATCH("Crypto|"&amp;C11&amp;"|"&amp;B11,Prices!$A:$A,0)),0)</f>
        <v/>
      </c>
      <c r="I11" s="79">
        <f>IF(D11="THB",1,FXRate)</f>
        <v/>
      </c>
      <c r="J11" s="65">
        <f>IFERROR(F11*G11*I11,0)</f>
        <v/>
      </c>
      <c r="K11" s="65">
        <f>IFERROR(F11*H11*I11,0)</f>
        <v/>
      </c>
      <c r="L11" s="65">
        <f>K11-J11</f>
        <v/>
      </c>
      <c r="M11" s="64">
        <f>IFERROR(L11/J11,0)</f>
        <v/>
      </c>
      <c r="N11" s="78" t="n"/>
      <c r="O11" s="43" t="n"/>
    </row>
    <row r="12" ht="15" customHeight="1" s="54">
      <c r="A12" s="43" t="n">
        <v>8</v>
      </c>
      <c r="B12" s="43" t="n"/>
      <c r="C12" s="43" t="n"/>
      <c r="D12" s="42" t="n"/>
      <c r="E12" s="25">
        <f>IFERROR(INDEX(Reference!$F:$F,MATCH("Crypto|"&amp;C12&amp;"|"&amp;B12,Reference!$A:$A,0)),"")</f>
        <v/>
      </c>
      <c r="F12" s="48" t="n"/>
      <c r="G12" s="48" t="n"/>
      <c r="H12" s="49">
        <f>IFERROR(INDEX(Prices!$E:$E,MATCH("Crypto|"&amp;C12&amp;"|"&amp;B12,Prices!$A:$A,0)),0)</f>
        <v/>
      </c>
      <c r="I12" s="79">
        <f>IF(D12="THB",1,FXRate)</f>
        <v/>
      </c>
      <c r="J12" s="65">
        <f>IFERROR(F12*G12*I12,0)</f>
        <v/>
      </c>
      <c r="K12" s="65">
        <f>IFERROR(F12*H12*I12,0)</f>
        <v/>
      </c>
      <c r="L12" s="65">
        <f>K12-J12</f>
        <v/>
      </c>
      <c r="M12" s="64">
        <f>IFERROR(L12/J12,0)</f>
        <v/>
      </c>
      <c r="N12" s="78" t="n"/>
      <c r="O12" s="43" t="n"/>
    </row>
    <row r="13" ht="15" customHeight="1" s="54">
      <c r="A13" s="43" t="n">
        <v>9</v>
      </c>
      <c r="B13" s="43" t="n"/>
      <c r="C13" s="43" t="n"/>
      <c r="D13" s="42" t="n"/>
      <c r="E13" s="25">
        <f>IFERROR(INDEX(Reference!$F:$F,MATCH("Crypto|"&amp;C13&amp;"|"&amp;B13,Reference!$A:$A,0)),"")</f>
        <v/>
      </c>
      <c r="F13" s="48" t="n"/>
      <c r="G13" s="48" t="n"/>
      <c r="H13" s="49">
        <f>IFERROR(INDEX(Prices!$E:$E,MATCH("Crypto|"&amp;C13&amp;"|"&amp;B13,Prices!$A:$A,0)),0)</f>
        <v/>
      </c>
      <c r="I13" s="79">
        <f>IF(D13="THB",1,FXRate)</f>
        <v/>
      </c>
      <c r="J13" s="65">
        <f>IFERROR(F13*G13*I13,0)</f>
        <v/>
      </c>
      <c r="K13" s="65">
        <f>IFERROR(F13*H13*I13,0)</f>
        <v/>
      </c>
      <c r="L13" s="65">
        <f>K13-J13</f>
        <v/>
      </c>
      <c r="M13" s="64">
        <f>IFERROR(L13/J13,0)</f>
        <v/>
      </c>
      <c r="N13" s="78" t="n"/>
      <c r="O13" s="43" t="n"/>
    </row>
    <row r="14" ht="15" customHeight="1" s="54">
      <c r="A14" s="43" t="n">
        <v>10</v>
      </c>
      <c r="B14" s="43" t="n"/>
      <c r="C14" s="43" t="n"/>
      <c r="D14" s="42" t="n"/>
      <c r="E14" s="25">
        <f>IFERROR(INDEX(Reference!$F:$F,MATCH("Crypto|"&amp;C14&amp;"|"&amp;B14,Reference!$A:$A,0)),"")</f>
        <v/>
      </c>
      <c r="F14" s="48" t="n"/>
      <c r="G14" s="48" t="n"/>
      <c r="H14" s="49">
        <f>IFERROR(INDEX(Prices!$E:$E,MATCH("Crypto|"&amp;C14&amp;"|"&amp;B14,Prices!$A:$A,0)),0)</f>
        <v/>
      </c>
      <c r="I14" s="79">
        <f>IF(D14="THB",1,FXRate)</f>
        <v/>
      </c>
      <c r="J14" s="65">
        <f>IFERROR(F14*G14*I14,0)</f>
        <v/>
      </c>
      <c r="K14" s="65">
        <f>IFERROR(F14*H14*I14,0)</f>
        <v/>
      </c>
      <c r="L14" s="65">
        <f>K14-J14</f>
        <v/>
      </c>
      <c r="M14" s="64">
        <f>IFERROR(L14/J14,0)</f>
        <v/>
      </c>
      <c r="N14" s="78" t="n"/>
      <c r="O14" s="43" t="n"/>
    </row>
    <row r="15" ht="15" customHeight="1" s="54">
      <c r="A15" s="43" t="n">
        <v>11</v>
      </c>
      <c r="B15" s="43" t="n"/>
      <c r="C15" s="43" t="n"/>
      <c r="D15" s="42" t="n"/>
      <c r="E15" s="25">
        <f>IFERROR(INDEX(Reference!$F:$F,MATCH("Crypto|"&amp;C15&amp;"|"&amp;B15,Reference!$A:$A,0)),"")</f>
        <v/>
      </c>
      <c r="F15" s="48" t="n"/>
      <c r="G15" s="48" t="n"/>
      <c r="H15" s="49">
        <f>IFERROR(INDEX(Prices!$E:$E,MATCH("Crypto|"&amp;C15&amp;"|"&amp;B15,Prices!$A:$A,0)),0)</f>
        <v/>
      </c>
      <c r="I15" s="79">
        <f>IF(D15="THB",1,FXRate)</f>
        <v/>
      </c>
      <c r="J15" s="65">
        <f>IFERROR(F15*G15*I15,0)</f>
        <v/>
      </c>
      <c r="K15" s="65">
        <f>IFERROR(F15*H15*I15,0)</f>
        <v/>
      </c>
      <c r="L15" s="65">
        <f>K15-J15</f>
        <v/>
      </c>
      <c r="M15" s="64">
        <f>IFERROR(L15/J15,0)</f>
        <v/>
      </c>
      <c r="N15" s="78" t="n"/>
      <c r="O15" s="43" t="n"/>
    </row>
    <row r="16" ht="15" customHeight="1" s="54">
      <c r="A16" s="43" t="n">
        <v>12</v>
      </c>
      <c r="B16" s="43" t="n"/>
      <c r="C16" s="43" t="n"/>
      <c r="D16" s="42" t="n"/>
      <c r="E16" s="25">
        <f>IFERROR(INDEX(Reference!$F:$F,MATCH("Crypto|"&amp;C16&amp;"|"&amp;B16,Reference!$A:$A,0)),"")</f>
        <v/>
      </c>
      <c r="F16" s="48" t="n"/>
      <c r="G16" s="41" t="n"/>
      <c r="H16" s="49">
        <f>IFERROR(INDEX(Prices!$E:$E,MATCH("Crypto|"&amp;C16&amp;"|"&amp;B16,Prices!$A:$A,0)),0)</f>
        <v/>
      </c>
      <c r="I16" s="79">
        <f>IF(D16="THB",1,FXRate)</f>
        <v/>
      </c>
      <c r="J16" s="65">
        <f>IFERROR(F16*G16*I16,0)</f>
        <v/>
      </c>
      <c r="K16" s="65">
        <f>IFERROR(F16*H16*I16,0)</f>
        <v/>
      </c>
      <c r="L16" s="65">
        <f>K16-J16</f>
        <v/>
      </c>
      <c r="M16" s="64">
        <f>IFERROR(L16/J16,0)</f>
        <v/>
      </c>
      <c r="N16" s="78" t="n"/>
      <c r="O16" s="43" t="n"/>
    </row>
    <row r="17" ht="15" customHeight="1" s="54">
      <c r="A17" s="43" t="n">
        <v>13</v>
      </c>
      <c r="B17" s="43" t="n"/>
      <c r="C17" s="43" t="n"/>
      <c r="D17" s="42" t="n"/>
      <c r="E17" s="25">
        <f>IFERROR(INDEX(Reference!$F:$F,MATCH("Crypto|"&amp;C17&amp;"|"&amp;B17,Reference!$A:$A,0)),"")</f>
        <v/>
      </c>
      <c r="F17" s="48" t="n"/>
      <c r="G17" s="41" t="n"/>
      <c r="H17" s="49">
        <f>IFERROR(INDEX(Prices!$E:$E,MATCH("Crypto|"&amp;C17&amp;"|"&amp;B17,Prices!$A:$A,0)),0)</f>
        <v/>
      </c>
      <c r="I17" s="79">
        <f>IF(D17="THB",1,FXRate)</f>
        <v/>
      </c>
      <c r="J17" s="65">
        <f>IFERROR(F17*G17*I17,0)</f>
        <v/>
      </c>
      <c r="K17" s="65">
        <f>IFERROR(F17*H17*I17,0)</f>
        <v/>
      </c>
      <c r="L17" s="65">
        <f>K17-J17</f>
        <v/>
      </c>
      <c r="M17" s="64">
        <f>IFERROR(L17/J17,0)</f>
        <v/>
      </c>
      <c r="N17" s="78" t="n"/>
      <c r="O17" s="43" t="n"/>
    </row>
    <row r="18" ht="15" customHeight="1" s="54">
      <c r="A18" s="43" t="n">
        <v>14</v>
      </c>
      <c r="B18" s="43" t="n"/>
      <c r="C18" s="43" t="n"/>
      <c r="D18" s="42" t="n"/>
      <c r="E18" s="25">
        <f>IFERROR(INDEX(Reference!$F:$F,MATCH("Crypto|"&amp;C18&amp;"|"&amp;B18,Reference!$A:$A,0)),"")</f>
        <v/>
      </c>
      <c r="F18" s="48" t="n"/>
      <c r="G18" s="41" t="n"/>
      <c r="H18" s="49">
        <f>IFERROR(INDEX(Prices!$E:$E,MATCH("Crypto|"&amp;C18&amp;"|"&amp;B18,Prices!$A:$A,0)),0)</f>
        <v/>
      </c>
      <c r="I18" s="79">
        <f>IF(D18="THB",1,FXRate)</f>
        <v/>
      </c>
      <c r="J18" s="65">
        <f>IFERROR(F18*G18*I18,0)</f>
        <v/>
      </c>
      <c r="K18" s="65">
        <f>IFERROR(F18*H18*I18,0)</f>
        <v/>
      </c>
      <c r="L18" s="65">
        <f>K18-J18</f>
        <v/>
      </c>
      <c r="M18" s="64">
        <f>IFERROR(L18/J18,0)</f>
        <v/>
      </c>
      <c r="N18" s="78" t="n"/>
      <c r="O18" s="43" t="n"/>
    </row>
    <row r="19" ht="15" customHeight="1" s="54">
      <c r="A19" s="43" t="n">
        <v>15</v>
      </c>
      <c r="B19" s="43" t="n"/>
      <c r="C19" s="43" t="n"/>
      <c r="D19" s="42" t="n"/>
      <c r="E19" s="25">
        <f>IFERROR(INDEX(Reference!$F:$F,MATCH("Crypto|"&amp;C19&amp;"|"&amp;B19,Reference!$A:$A,0)),"")</f>
        <v/>
      </c>
      <c r="F19" s="48" t="n"/>
      <c r="G19" s="48" t="n"/>
      <c r="H19" s="49">
        <f>IFERROR(INDEX(Prices!$E:$E,MATCH("Crypto|"&amp;C19&amp;"|"&amp;B19,Prices!$A:$A,0)),0)</f>
        <v/>
      </c>
      <c r="I19" s="79">
        <f>IF(D19="THB",1,FXRate)</f>
        <v/>
      </c>
      <c r="J19" s="65">
        <f>IFERROR(F19*G19*I19,0)</f>
        <v/>
      </c>
      <c r="K19" s="65">
        <f>IFERROR(F19*H19*I19,0)</f>
        <v/>
      </c>
      <c r="L19" s="65">
        <f>K19-J19</f>
        <v/>
      </c>
      <c r="M19" s="64">
        <f>IFERROR(L19/J19,0)</f>
        <v/>
      </c>
      <c r="N19" s="78" t="n"/>
      <c r="O19" s="43" t="n"/>
    </row>
    <row r="20" ht="15" customHeight="1" s="54">
      <c r="A20" s="43" t="n">
        <v>16</v>
      </c>
      <c r="B20" s="43" t="n"/>
      <c r="C20" s="43" t="n"/>
      <c r="D20" s="42" t="n"/>
      <c r="E20" s="25">
        <f>IFERROR(INDEX(Reference!$F:$F,MATCH("Crypto|"&amp;C20&amp;"|"&amp;B20,Reference!$A:$A,0)),"")</f>
        <v/>
      </c>
      <c r="F20" s="48" t="n"/>
      <c r="G20" s="41" t="n"/>
      <c r="H20" s="49">
        <f>IFERROR(INDEX(Prices!$E:$E,MATCH("Crypto|"&amp;C20&amp;"|"&amp;B20,Prices!$A:$A,0)),0)</f>
        <v/>
      </c>
      <c r="I20" s="79">
        <f>IF(D20="THB",1,FXRate)</f>
        <v/>
      </c>
      <c r="J20" s="65">
        <f>IFERROR(F20*G20*I20,0)</f>
        <v/>
      </c>
      <c r="K20" s="65">
        <f>IFERROR(F20*H20*I20,0)</f>
        <v/>
      </c>
      <c r="L20" s="65">
        <f>K20-J20</f>
        <v/>
      </c>
      <c r="M20" s="64">
        <f>IFERROR(L20/J20,0)</f>
        <v/>
      </c>
      <c r="N20" s="78" t="n"/>
      <c r="O20" s="43" t="n"/>
    </row>
    <row r="21" ht="15" customHeight="1" s="54">
      <c r="A21" s="43" t="n">
        <v>17</v>
      </c>
      <c r="B21" s="43" t="n"/>
      <c r="C21" s="43" t="n"/>
      <c r="D21" s="42" t="n"/>
      <c r="E21" s="25">
        <f>IFERROR(INDEX(Reference!$F:$F,MATCH("Crypto|"&amp;C21&amp;"|"&amp;B21,Reference!$A:$A,0)),"")</f>
        <v/>
      </c>
      <c r="F21" s="48" t="n"/>
      <c r="G21" s="48" t="n"/>
      <c r="H21" s="49">
        <f>IFERROR(INDEX(Prices!$E:$E,MATCH("Crypto|"&amp;C21&amp;"|"&amp;B21,Prices!$A:$A,0)),0)</f>
        <v/>
      </c>
      <c r="I21" s="79">
        <f>IF(D21="THB",1,FXRate)</f>
        <v/>
      </c>
      <c r="J21" s="65">
        <f>IFERROR(F21*G21*I21,0)</f>
        <v/>
      </c>
      <c r="K21" s="65">
        <f>IFERROR(F21*H21*I21,0)</f>
        <v/>
      </c>
      <c r="L21" s="65">
        <f>K21-J21</f>
        <v/>
      </c>
      <c r="M21" s="64">
        <f>IFERROR(L21/J21,0)</f>
        <v/>
      </c>
      <c r="N21" s="78" t="n"/>
      <c r="O21" s="43" t="n"/>
    </row>
    <row r="22" ht="15" customHeight="1" s="54">
      <c r="A22" s="43" t="n">
        <v>18</v>
      </c>
      <c r="B22" s="43" t="n"/>
      <c r="C22" s="43" t="n"/>
      <c r="D22" s="42" t="n"/>
      <c r="E22" s="25">
        <f>IFERROR(INDEX(Reference!$F:$F,MATCH("Crypto|"&amp;C22&amp;"|"&amp;B22,Reference!$A:$A,0)),"")</f>
        <v/>
      </c>
      <c r="F22" s="48" t="n"/>
      <c r="G22" s="48" t="n"/>
      <c r="H22" s="49">
        <f>IFERROR(INDEX(Prices!$E:$E,MATCH("Crypto|"&amp;C22&amp;"|"&amp;B22,Prices!$A:$A,0)),0)</f>
        <v/>
      </c>
      <c r="I22" s="79">
        <f>IF(D22="THB",1,FXRate)</f>
        <v/>
      </c>
      <c r="J22" s="65">
        <f>IFERROR(F22*G22*I22,0)</f>
        <v/>
      </c>
      <c r="K22" s="65">
        <f>IFERROR(F22*H22*I22,0)</f>
        <v/>
      </c>
      <c r="L22" s="65">
        <f>K22-J22</f>
        <v/>
      </c>
      <c r="M22" s="64">
        <f>IFERROR(L22/J22,0)</f>
        <v/>
      </c>
      <c r="N22" s="78" t="n"/>
      <c r="O22" s="43" t="n"/>
    </row>
    <row r="23" ht="15" customHeight="1" s="54">
      <c r="A23" s="43" t="n">
        <v>19</v>
      </c>
      <c r="B23" s="43" t="n"/>
      <c r="C23" s="43" t="n"/>
      <c r="D23" s="42" t="n"/>
      <c r="E23" s="25">
        <f>IFERROR(INDEX(Reference!$F:$F,MATCH("Crypto|"&amp;C23&amp;"|"&amp;B23,Reference!$A:$A,0)),"")</f>
        <v/>
      </c>
      <c r="F23" s="48" t="n"/>
      <c r="G23" s="48" t="n"/>
      <c r="H23" s="49">
        <f>IFERROR(INDEX(Prices!$E:$E,MATCH("Crypto|"&amp;C23&amp;"|"&amp;B23,Prices!$A:$A,0)),0)</f>
        <v/>
      </c>
      <c r="I23" s="79">
        <f>IF(D23="THB",1,FXRate)</f>
        <v/>
      </c>
      <c r="J23" s="65">
        <f>IFERROR(F23*G23*I23,0)</f>
        <v/>
      </c>
      <c r="K23" s="65">
        <f>IFERROR(F23*H23*I23,0)</f>
        <v/>
      </c>
      <c r="L23" s="65">
        <f>K23-J23</f>
        <v/>
      </c>
      <c r="M23" s="64">
        <f>IFERROR(L23/J23,0)</f>
        <v/>
      </c>
      <c r="N23" s="78" t="n"/>
      <c r="O23" s="43" t="n"/>
    </row>
    <row r="24" ht="15" customHeight="1" s="54">
      <c r="A24" s="43" t="n">
        <v>20</v>
      </c>
      <c r="B24" s="43" t="n"/>
      <c r="C24" s="43" t="n"/>
      <c r="D24" s="42" t="n"/>
      <c r="E24" s="25">
        <f>IFERROR(INDEX(Reference!$F:$F,MATCH("Crypto|"&amp;C24&amp;"|"&amp;B24,Reference!$A:$A,0)),"")</f>
        <v/>
      </c>
      <c r="F24" s="48" t="n"/>
      <c r="G24" s="48" t="n"/>
      <c r="H24" s="49">
        <f>IFERROR(INDEX(Prices!$E:$E,MATCH("Crypto|"&amp;C24&amp;"|"&amp;B24,Prices!$A:$A,0)),0)</f>
        <v/>
      </c>
      <c r="I24" s="79">
        <f>IF(D24="THB",1,FXRate)</f>
        <v/>
      </c>
      <c r="J24" s="65">
        <f>IFERROR(F24*G24*I24,0)</f>
        <v/>
      </c>
      <c r="K24" s="65">
        <f>IFERROR(F24*H24*I24,0)</f>
        <v/>
      </c>
      <c r="L24" s="65">
        <f>K24-J24</f>
        <v/>
      </c>
      <c r="M24" s="64">
        <f>IFERROR(L24/J24,0)</f>
        <v/>
      </c>
      <c r="N24" s="78" t="n"/>
      <c r="O24" s="43" t="n"/>
    </row>
    <row r="25" ht="15" customHeight="1" s="54">
      <c r="A25" s="43" t="n">
        <v>21</v>
      </c>
      <c r="B25" s="43" t="n"/>
      <c r="C25" s="43" t="n"/>
      <c r="D25" s="42" t="n"/>
      <c r="E25" s="25">
        <f>IFERROR(INDEX(Reference!$F:$F,MATCH("Crypto|"&amp;C25&amp;"|"&amp;B25,Reference!$A:$A,0)),"")</f>
        <v/>
      </c>
      <c r="F25" s="48" t="n"/>
      <c r="G25" s="48" t="n"/>
      <c r="H25" s="49">
        <f>IFERROR(INDEX(Prices!$E:$E,MATCH("Crypto|"&amp;C25&amp;"|"&amp;B25,Prices!$A:$A,0)),0)</f>
        <v/>
      </c>
      <c r="I25" s="79">
        <f>IF(D25="THB",1,FXRate)</f>
        <v/>
      </c>
      <c r="J25" s="65">
        <f>IFERROR(F25*G25*I25,0)</f>
        <v/>
      </c>
      <c r="K25" s="65">
        <f>IFERROR(F25*H25*I25,0)</f>
        <v/>
      </c>
      <c r="L25" s="65">
        <f>K25-J25</f>
        <v/>
      </c>
      <c r="M25" s="64">
        <f>IFERROR(L25/J25,0)</f>
        <v/>
      </c>
      <c r="N25" s="78" t="n"/>
      <c r="O25" s="43" t="n"/>
    </row>
    <row r="26" ht="15" customHeight="1" s="54">
      <c r="A26" s="43" t="n">
        <v>22</v>
      </c>
      <c r="B26" s="43" t="n"/>
      <c r="C26" s="43" t="n"/>
      <c r="D26" s="42" t="n"/>
      <c r="E26" s="25">
        <f>IFERROR(INDEX(Reference!$F:$F,MATCH("Crypto|"&amp;C26&amp;"|"&amp;B26,Reference!$A:$A,0)),"")</f>
        <v/>
      </c>
      <c r="F26" s="48" t="n"/>
      <c r="G26" s="48" t="n"/>
      <c r="H26" s="49">
        <f>IFERROR(INDEX(Prices!$E:$E,MATCH("Crypto|"&amp;C26&amp;"|"&amp;B26,Prices!$A:$A,0)),0)</f>
        <v/>
      </c>
      <c r="I26" s="79">
        <f>IF(D26="THB",1,FXRate)</f>
        <v/>
      </c>
      <c r="J26" s="65">
        <f>IFERROR(F26*G26*I26,0)</f>
        <v/>
      </c>
      <c r="K26" s="65">
        <f>IFERROR(F26*H26*I26,0)</f>
        <v/>
      </c>
      <c r="L26" s="65">
        <f>K26-J26</f>
        <v/>
      </c>
      <c r="M26" s="64">
        <f>IFERROR(L26/J26,0)</f>
        <v/>
      </c>
      <c r="N26" s="78" t="n"/>
      <c r="O26" s="43" t="n"/>
    </row>
    <row r="27" ht="15" customHeight="1" s="54">
      <c r="A27" s="43" t="n">
        <v>23</v>
      </c>
      <c r="B27" s="43" t="n"/>
      <c r="C27" s="43" t="n"/>
      <c r="D27" s="42" t="n"/>
      <c r="E27" s="25">
        <f>IFERROR(INDEX(Reference!$F:$F,MATCH("Crypto|"&amp;C27&amp;"|"&amp;B27,Reference!$A:$A,0)),"")</f>
        <v/>
      </c>
      <c r="F27" s="48" t="n"/>
      <c r="G27" s="48" t="n"/>
      <c r="H27" s="49">
        <f>IFERROR(INDEX(Prices!$E:$E,MATCH("Crypto|"&amp;C27&amp;"|"&amp;B27,Prices!$A:$A,0)),0)</f>
        <v/>
      </c>
      <c r="I27" s="79">
        <f>IF(D27="THB",1,FXRate)</f>
        <v/>
      </c>
      <c r="J27" s="65">
        <f>IFERROR(F27*G27*I27,0)</f>
        <v/>
      </c>
      <c r="K27" s="65">
        <f>IFERROR(F27*H27*I27,0)</f>
        <v/>
      </c>
      <c r="L27" s="65">
        <f>K27-J27</f>
        <v/>
      </c>
      <c r="M27" s="64">
        <f>IFERROR(L27/J27,0)</f>
        <v/>
      </c>
      <c r="N27" s="78" t="n"/>
      <c r="O27" s="43" t="n"/>
    </row>
    <row r="28" ht="15" customHeight="1" s="54">
      <c r="A28" s="43" t="n">
        <v>24</v>
      </c>
      <c r="B28" s="43" t="n"/>
      <c r="C28" s="43" t="n"/>
      <c r="D28" s="42" t="n"/>
      <c r="E28" s="25">
        <f>IFERROR(INDEX(Reference!$F:$F,MATCH("Crypto|"&amp;C28&amp;"|"&amp;B28,Reference!$A:$A,0)),"")</f>
        <v/>
      </c>
      <c r="F28" s="48" t="n"/>
      <c r="G28" s="48" t="n"/>
      <c r="H28" s="49">
        <f>IFERROR(INDEX(Prices!$E:$E,MATCH("Crypto|"&amp;C28&amp;"|"&amp;B28,Prices!$A:$A,0)),0)</f>
        <v/>
      </c>
      <c r="I28" s="79">
        <f>IF(D28="THB",1,FXRate)</f>
        <v/>
      </c>
      <c r="J28" s="65">
        <f>IFERROR(F28*G28*I28,0)</f>
        <v/>
      </c>
      <c r="K28" s="65">
        <f>IFERROR(F28*H28*I28,0)</f>
        <v/>
      </c>
      <c r="L28" s="65">
        <f>K28-J28</f>
        <v/>
      </c>
      <c r="M28" s="64">
        <f>IFERROR(L28/J28,0)</f>
        <v/>
      </c>
      <c r="N28" s="78" t="n"/>
      <c r="O28" s="43" t="n"/>
    </row>
    <row r="29" ht="15" customHeight="1" s="54">
      <c r="A29" s="43" t="n">
        <v>25</v>
      </c>
      <c r="B29" s="43" t="n"/>
      <c r="C29" s="43" t="n"/>
      <c r="D29" s="42" t="n"/>
      <c r="E29" s="25">
        <f>IFERROR(INDEX(Reference!$F:$F,MATCH("Crypto|"&amp;C29&amp;"|"&amp;B29,Reference!$A:$A,0)),"")</f>
        <v/>
      </c>
      <c r="F29" s="48" t="n"/>
      <c r="G29" s="48" t="n"/>
      <c r="H29" s="49">
        <f>IFERROR(INDEX(Prices!$E:$E,MATCH("Crypto|"&amp;C29&amp;"|"&amp;B29,Prices!$A:$A,0)),0)</f>
        <v/>
      </c>
      <c r="I29" s="79">
        <f>IF(D29="THB",1,FXRate)</f>
        <v/>
      </c>
      <c r="J29" s="65">
        <f>IFERROR(F29*G29*I29,0)</f>
        <v/>
      </c>
      <c r="K29" s="65">
        <f>IFERROR(F29*H29*I29,0)</f>
        <v/>
      </c>
      <c r="L29" s="65">
        <f>K29-J29</f>
        <v/>
      </c>
      <c r="M29" s="64">
        <f>IFERROR(L29/J29,0)</f>
        <v/>
      </c>
      <c r="N29" s="78" t="n"/>
      <c r="O29" s="43" t="n"/>
    </row>
    <row r="30" ht="15" customHeight="1" s="54">
      <c r="A30" s="43" t="n">
        <v>26</v>
      </c>
      <c r="B30" s="43" t="n"/>
      <c r="C30" s="43" t="n"/>
      <c r="D30" s="42" t="n"/>
      <c r="E30" s="25">
        <f>IFERROR(INDEX(Reference!$F:$F,MATCH("Crypto|"&amp;C30&amp;"|"&amp;B30,Reference!$A:$A,0)),"")</f>
        <v/>
      </c>
      <c r="F30" s="48" t="n"/>
      <c r="G30" s="48" t="n"/>
      <c r="H30" s="49">
        <f>IFERROR(INDEX(Prices!$E:$E,MATCH("Crypto|"&amp;C30&amp;"|"&amp;B30,Prices!$A:$A,0)),0)</f>
        <v/>
      </c>
      <c r="I30" s="79">
        <f>IF(D30="THB",1,FXRate)</f>
        <v/>
      </c>
      <c r="J30" s="65">
        <f>IFERROR(F30*G30*I30,0)</f>
        <v/>
      </c>
      <c r="K30" s="65">
        <f>IFERROR(F30*H30*I30,0)</f>
        <v/>
      </c>
      <c r="L30" s="65">
        <f>K30-J30</f>
        <v/>
      </c>
      <c r="M30" s="64">
        <f>IFERROR(L30/J30,0)</f>
        <v/>
      </c>
      <c r="N30" s="78" t="n"/>
      <c r="O30" s="43" t="n"/>
    </row>
    <row r="31" ht="15" customHeight="1" s="54">
      <c r="A31" s="20" t="inlineStr">
        <is>
          <t>TOTAL</t>
        </is>
      </c>
      <c r="B31" s="51" t="n"/>
      <c r="C31" s="51" t="n"/>
      <c r="D31" s="51" t="n"/>
      <c r="E31" s="51" t="n"/>
      <c r="F31" s="51" t="n"/>
      <c r="G31" s="51" t="n"/>
      <c r="H31" s="51" t="n"/>
      <c r="I31" s="51" t="n"/>
      <c r="J31" s="66">
        <f>SUM(J5:J30)</f>
        <v/>
      </c>
      <c r="K31" s="66">
        <f>SUM(K5:K30)</f>
        <v/>
      </c>
      <c r="L31" s="66">
        <f>SUM(L5:L30)</f>
        <v/>
      </c>
      <c r="M31" s="67">
        <f>IFERROR(L31/J31,0)</f>
        <v/>
      </c>
      <c r="N31" s="51" t="n"/>
      <c r="O31" s="51" t="n"/>
    </row>
  </sheetData>
  <autoFilter ref="A4:O30"/>
  <conditionalFormatting sqref="L5:M30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K29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2" sqref="A2:K2"/>
    </sheetView>
  </sheetViews>
  <sheetFormatPr baseColWidth="10" defaultColWidth="8.6640625" defaultRowHeight="15"/>
  <cols>
    <col width="5" customWidth="1" style="54" min="1" max="1"/>
    <col width="12" customWidth="1" style="54" min="2" max="2"/>
    <col width="14" customWidth="1" style="54" min="3" max="3"/>
    <col width="10" customWidth="1" style="54" min="4" max="4"/>
    <col width="20" customWidth="1" style="54" min="5" max="5"/>
    <col width="10" customWidth="1" style="54" min="6" max="6"/>
    <col width="14" customWidth="1" style="54" min="7" max="7"/>
    <col width="16" customWidth="1" style="54" min="8" max="10"/>
    <col width="10" customWidth="1" style="54" min="11" max="11"/>
  </cols>
  <sheetData>
    <row r="2" ht="30" customHeight="1" s="54">
      <c r="A2" s="9" t="inlineStr">
        <is>
          <t>CRYPTO — ROLLUP BY EXCHANGE + COIN</t>
        </is>
      </c>
    </row>
    <row r="4" ht="36" customHeight="1" s="54">
      <c r="A4" s="15" t="inlineStr">
        <is>
          <t>#</t>
        </is>
      </c>
      <c r="B4" s="15" t="inlineStr">
        <is>
          <t>Exchange</t>
        </is>
      </c>
      <c r="C4" s="15" t="inlineStr">
        <is>
          <t>Coin</t>
        </is>
      </c>
      <c r="D4" s="15" t="inlineStr">
        <is>
          <t>Ccy</t>
        </is>
      </c>
      <c r="E4" s="15" t="inlineStr">
        <is>
          <t>Sub-class</t>
        </is>
      </c>
      <c r="F4" s="15" t="inlineStr">
        <is>
          <t>Lots</t>
        </is>
      </c>
      <c r="G4" s="15" t="inlineStr">
        <is>
          <t>Quantity</t>
        </is>
      </c>
      <c r="H4" s="15" t="inlineStr">
        <is>
          <t>Initial Inv (฿)</t>
        </is>
      </c>
      <c r="I4" s="15" t="inlineStr">
        <is>
          <t>Current Value (฿)</t>
        </is>
      </c>
      <c r="J4" s="15" t="inlineStr">
        <is>
          <t>Unrealized P&amp;L (฿)</t>
        </is>
      </c>
      <c r="K4" s="15" t="inlineStr">
        <is>
          <t>P&amp;L %</t>
        </is>
      </c>
    </row>
    <row r="5" ht="15" customHeight="1" s="54">
      <c r="A5" s="43" t="n">
        <v>1</v>
      </c>
      <c r="B5" s="43" t="n"/>
      <c r="C5" s="43" t="n"/>
      <c r="D5" s="42" t="n"/>
      <c r="E5" s="25">
        <f>IFERROR(INDEX(Reference!$F:$F,MATCH("Crypto|"&amp;C5&amp;"|"&amp;B5,Reference!$A:$A,0)),"")</f>
        <v/>
      </c>
      <c r="F5" s="52">
        <f>COUNTIFS('Crypto - Lots'!$B:$B,B5,'Crypto - Lots'!$C:$C,C5)</f>
        <v/>
      </c>
      <c r="G5" s="49">
        <f>SUMIFS('Crypto - Lots'!$F:$F,'Crypto - Lots'!$B:$B,B5,'Crypto - Lots'!$C:$C,C5)</f>
        <v/>
      </c>
      <c r="H5" s="63">
        <f>SUMIFS('Crypto - Lots'!$J:$J,'Crypto - Lots'!$B:$B,B5,'Crypto - Lots'!$C:$C,C5)</f>
        <v/>
      </c>
      <c r="I5" s="63">
        <f>SUMIFS('Crypto - Lots'!$K:$K,'Crypto - Lots'!$B:$B,B5,'Crypto - Lots'!$C:$C,C5)</f>
        <v/>
      </c>
      <c r="J5" s="65">
        <f>I5-H5</f>
        <v/>
      </c>
      <c r="K5" s="64">
        <f>IFERROR(J5/H5,0)</f>
        <v/>
      </c>
    </row>
    <row r="6" ht="15" customHeight="1" s="54">
      <c r="A6" s="43" t="n">
        <v>2</v>
      </c>
      <c r="B6" s="43" t="n"/>
      <c r="C6" s="43" t="n"/>
      <c r="D6" s="42" t="n"/>
      <c r="E6" s="25">
        <f>IFERROR(INDEX(Reference!$F:$F,MATCH("Crypto|"&amp;C6&amp;"|"&amp;B6,Reference!$A:$A,0)),"")</f>
        <v/>
      </c>
      <c r="F6" s="52">
        <f>COUNTIFS('Crypto - Lots'!$B:$B,B6,'Crypto - Lots'!$C:$C,C6)</f>
        <v/>
      </c>
      <c r="G6" s="49">
        <f>SUMIFS('Crypto - Lots'!$F:$F,'Crypto - Lots'!$B:$B,B6,'Crypto - Lots'!$C:$C,C6)</f>
        <v/>
      </c>
      <c r="H6" s="63">
        <f>SUMIFS('Crypto - Lots'!$J:$J,'Crypto - Lots'!$B:$B,B6,'Crypto - Lots'!$C:$C,C6)</f>
        <v/>
      </c>
      <c r="I6" s="63">
        <f>SUMIFS('Crypto - Lots'!$K:$K,'Crypto - Lots'!$B:$B,B6,'Crypto - Lots'!$C:$C,C6)</f>
        <v/>
      </c>
      <c r="J6" s="65">
        <f>I6-H6</f>
        <v/>
      </c>
      <c r="K6" s="64">
        <f>IFERROR(J6/H6,0)</f>
        <v/>
      </c>
    </row>
    <row r="7" ht="15" customHeight="1" s="54">
      <c r="A7" s="43" t="n">
        <v>3</v>
      </c>
      <c r="B7" s="43" t="n"/>
      <c r="C7" s="43" t="n"/>
      <c r="D7" s="42" t="n"/>
      <c r="E7" s="25">
        <f>IFERROR(INDEX(Reference!$F:$F,MATCH("Crypto|"&amp;C7&amp;"|"&amp;B7,Reference!$A:$A,0)),"")</f>
        <v/>
      </c>
      <c r="F7" s="52">
        <f>COUNTIFS('Crypto - Lots'!$B:$B,B7,'Crypto - Lots'!$C:$C,C7)</f>
        <v/>
      </c>
      <c r="G7" s="49">
        <f>SUMIFS('Crypto - Lots'!$F:$F,'Crypto - Lots'!$B:$B,B7,'Crypto - Lots'!$C:$C,C7)</f>
        <v/>
      </c>
      <c r="H7" s="63">
        <f>SUMIFS('Crypto - Lots'!$J:$J,'Crypto - Lots'!$B:$B,B7,'Crypto - Lots'!$C:$C,C7)</f>
        <v/>
      </c>
      <c r="I7" s="63">
        <f>SUMIFS('Crypto - Lots'!$K:$K,'Crypto - Lots'!$B:$B,B7,'Crypto - Lots'!$C:$C,C7)</f>
        <v/>
      </c>
      <c r="J7" s="65">
        <f>I7-H7</f>
        <v/>
      </c>
      <c r="K7" s="64">
        <f>IFERROR(J7/H7,0)</f>
        <v/>
      </c>
    </row>
    <row r="8" ht="15" customHeight="1" s="54">
      <c r="A8" s="43" t="n">
        <v>4</v>
      </c>
      <c r="B8" s="43" t="n"/>
      <c r="C8" s="43" t="n"/>
      <c r="D8" s="42" t="n"/>
      <c r="E8" s="25">
        <f>IFERROR(INDEX(Reference!$F:$F,MATCH("Crypto|"&amp;C8&amp;"|"&amp;B8,Reference!$A:$A,0)),"")</f>
        <v/>
      </c>
      <c r="F8" s="52">
        <f>COUNTIFS('Crypto - Lots'!$B:$B,B8,'Crypto - Lots'!$C:$C,C8)</f>
        <v/>
      </c>
      <c r="G8" s="49">
        <f>SUMIFS('Crypto - Lots'!$F:$F,'Crypto - Lots'!$B:$B,B8,'Crypto - Lots'!$C:$C,C8)</f>
        <v/>
      </c>
      <c r="H8" s="63">
        <f>SUMIFS('Crypto - Lots'!$J:$J,'Crypto - Lots'!$B:$B,B8,'Crypto - Lots'!$C:$C,C8)</f>
        <v/>
      </c>
      <c r="I8" s="63">
        <f>SUMIFS('Crypto - Lots'!$K:$K,'Crypto - Lots'!$B:$B,B8,'Crypto - Lots'!$C:$C,C8)</f>
        <v/>
      </c>
      <c r="J8" s="65">
        <f>I8-H8</f>
        <v/>
      </c>
      <c r="K8" s="64">
        <f>IFERROR(J8/H8,0)</f>
        <v/>
      </c>
    </row>
    <row r="9" ht="15" customHeight="1" s="54">
      <c r="A9" s="43" t="n">
        <v>5</v>
      </c>
      <c r="B9" s="43" t="n"/>
      <c r="C9" s="43" t="n"/>
      <c r="D9" s="42" t="n"/>
      <c r="E9" s="25">
        <f>IFERROR(INDEX(Reference!$F:$F,MATCH("Crypto|"&amp;C9&amp;"|"&amp;B9,Reference!$A:$A,0)),"")</f>
        <v/>
      </c>
      <c r="F9" s="52">
        <f>COUNTIFS('Crypto - Lots'!$B:$B,B9,'Crypto - Lots'!$C:$C,C9)</f>
        <v/>
      </c>
      <c r="G9" s="49">
        <f>SUMIFS('Crypto - Lots'!$F:$F,'Crypto - Lots'!$B:$B,B9,'Crypto - Lots'!$C:$C,C9)</f>
        <v/>
      </c>
      <c r="H9" s="63">
        <f>SUMIFS('Crypto - Lots'!$J:$J,'Crypto - Lots'!$B:$B,B9,'Crypto - Lots'!$C:$C,C9)</f>
        <v/>
      </c>
      <c r="I9" s="63">
        <f>SUMIFS('Crypto - Lots'!$K:$K,'Crypto - Lots'!$B:$B,B9,'Crypto - Lots'!$C:$C,C9)</f>
        <v/>
      </c>
      <c r="J9" s="65">
        <f>I9-H9</f>
        <v/>
      </c>
      <c r="K9" s="64">
        <f>IFERROR(J9/H9,0)</f>
        <v/>
      </c>
    </row>
    <row r="10" ht="15" customHeight="1" s="54">
      <c r="A10" s="43" t="n">
        <v>6</v>
      </c>
      <c r="B10" s="43" t="n"/>
      <c r="C10" s="43" t="n"/>
      <c r="D10" s="42" t="n"/>
      <c r="E10" s="25">
        <f>IFERROR(INDEX(Reference!$F:$F,MATCH("Crypto|"&amp;C10&amp;"|"&amp;B10,Reference!$A:$A,0)),"")</f>
        <v/>
      </c>
      <c r="F10" s="52">
        <f>COUNTIFS('Crypto - Lots'!$B:$B,B10,'Crypto - Lots'!$C:$C,C10)</f>
        <v/>
      </c>
      <c r="G10" s="49">
        <f>SUMIFS('Crypto - Lots'!$F:$F,'Crypto - Lots'!$B:$B,B10,'Crypto - Lots'!$C:$C,C10)</f>
        <v/>
      </c>
      <c r="H10" s="63">
        <f>SUMIFS('Crypto - Lots'!$J:$J,'Crypto - Lots'!$B:$B,B10,'Crypto - Lots'!$C:$C,C10)</f>
        <v/>
      </c>
      <c r="I10" s="63">
        <f>SUMIFS('Crypto - Lots'!$K:$K,'Crypto - Lots'!$B:$B,B10,'Crypto - Lots'!$C:$C,C10)</f>
        <v/>
      </c>
      <c r="J10" s="65">
        <f>I10-H10</f>
        <v/>
      </c>
      <c r="K10" s="64">
        <f>IFERROR(J10/H10,0)</f>
        <v/>
      </c>
    </row>
    <row r="11" ht="15" customHeight="1" s="54">
      <c r="A11" s="43" t="n">
        <v>7</v>
      </c>
      <c r="B11" s="43" t="n"/>
      <c r="C11" s="43" t="n"/>
      <c r="D11" s="42" t="n"/>
      <c r="E11" s="25">
        <f>IFERROR(INDEX(Reference!$F:$F,MATCH("Crypto|"&amp;C11&amp;"|"&amp;B11,Reference!$A:$A,0)),"")</f>
        <v/>
      </c>
      <c r="F11" s="52">
        <f>COUNTIFS('Crypto - Lots'!$B:$B,B11,'Crypto - Lots'!$C:$C,C11)</f>
        <v/>
      </c>
      <c r="G11" s="49">
        <f>SUMIFS('Crypto - Lots'!$F:$F,'Crypto - Lots'!$B:$B,B11,'Crypto - Lots'!$C:$C,C11)</f>
        <v/>
      </c>
      <c r="H11" s="63">
        <f>SUMIFS('Crypto - Lots'!$J:$J,'Crypto - Lots'!$B:$B,B11,'Crypto - Lots'!$C:$C,C11)</f>
        <v/>
      </c>
      <c r="I11" s="63">
        <f>SUMIFS('Crypto - Lots'!$K:$K,'Crypto - Lots'!$B:$B,B11,'Crypto - Lots'!$C:$C,C11)</f>
        <v/>
      </c>
      <c r="J11" s="65">
        <f>I11-H11</f>
        <v/>
      </c>
      <c r="K11" s="64">
        <f>IFERROR(J11/H11,0)</f>
        <v/>
      </c>
    </row>
    <row r="12" ht="15" customHeight="1" s="54">
      <c r="A12" s="43" t="n">
        <v>8</v>
      </c>
      <c r="B12" s="43" t="n"/>
      <c r="C12" s="43" t="n"/>
      <c r="D12" s="42" t="n"/>
      <c r="E12" s="25">
        <f>IFERROR(INDEX(Reference!$F:$F,MATCH("Crypto|"&amp;C12&amp;"|"&amp;B12,Reference!$A:$A,0)),"")</f>
        <v/>
      </c>
      <c r="F12" s="52">
        <f>COUNTIFS('Crypto - Lots'!$B:$B,B12,'Crypto - Lots'!$C:$C,C12)</f>
        <v/>
      </c>
      <c r="G12" s="49">
        <f>SUMIFS('Crypto - Lots'!$F:$F,'Crypto - Lots'!$B:$B,B12,'Crypto - Lots'!$C:$C,C12)</f>
        <v/>
      </c>
      <c r="H12" s="63">
        <f>SUMIFS('Crypto - Lots'!$J:$J,'Crypto - Lots'!$B:$B,B12,'Crypto - Lots'!$C:$C,C12)</f>
        <v/>
      </c>
      <c r="I12" s="63">
        <f>SUMIFS('Crypto - Lots'!$K:$K,'Crypto - Lots'!$B:$B,B12,'Crypto - Lots'!$C:$C,C12)</f>
        <v/>
      </c>
      <c r="J12" s="65">
        <f>I12-H12</f>
        <v/>
      </c>
      <c r="K12" s="64">
        <f>IFERROR(J12/H12,0)</f>
        <v/>
      </c>
    </row>
    <row r="13" ht="15" customHeight="1" s="54">
      <c r="A13" s="43" t="n">
        <v>9</v>
      </c>
      <c r="B13" s="43" t="n"/>
      <c r="C13" s="43" t="n"/>
      <c r="D13" s="42" t="n"/>
      <c r="E13" s="25">
        <f>IFERROR(INDEX(Reference!$F:$F,MATCH("Crypto|"&amp;C13&amp;"|"&amp;B13,Reference!$A:$A,0)),"")</f>
        <v/>
      </c>
      <c r="F13" s="52">
        <f>COUNTIFS('Crypto - Lots'!$B:$B,B13,'Crypto - Lots'!$C:$C,C13)</f>
        <v/>
      </c>
      <c r="G13" s="49">
        <f>SUMIFS('Crypto - Lots'!$F:$F,'Crypto - Lots'!$B:$B,B13,'Crypto - Lots'!$C:$C,C13)</f>
        <v/>
      </c>
      <c r="H13" s="63">
        <f>SUMIFS('Crypto - Lots'!$J:$J,'Crypto - Lots'!$B:$B,B13,'Crypto - Lots'!$C:$C,C13)</f>
        <v/>
      </c>
      <c r="I13" s="63">
        <f>SUMIFS('Crypto - Lots'!$K:$K,'Crypto - Lots'!$B:$B,B13,'Crypto - Lots'!$C:$C,C13)</f>
        <v/>
      </c>
      <c r="J13" s="65">
        <f>I13-H13</f>
        <v/>
      </c>
      <c r="K13" s="64">
        <f>IFERROR(J13/H13,0)</f>
        <v/>
      </c>
    </row>
    <row r="14" ht="15" customHeight="1" s="54">
      <c r="A14" s="43" t="n">
        <v>10</v>
      </c>
      <c r="B14" s="43" t="n"/>
      <c r="C14" s="43" t="n"/>
      <c r="D14" s="42" t="n"/>
      <c r="E14" s="25">
        <f>IFERROR(INDEX(Reference!$F:$F,MATCH("Crypto|"&amp;C14&amp;"|"&amp;B14,Reference!$A:$A,0)),"")</f>
        <v/>
      </c>
      <c r="F14" s="52">
        <f>COUNTIFS('Crypto - Lots'!$B:$B,B14,'Crypto - Lots'!$C:$C,C14)</f>
        <v/>
      </c>
      <c r="G14" s="49">
        <f>SUMIFS('Crypto - Lots'!$F:$F,'Crypto - Lots'!$B:$B,B14,'Crypto - Lots'!$C:$C,C14)</f>
        <v/>
      </c>
      <c r="H14" s="63">
        <f>SUMIFS('Crypto - Lots'!$J:$J,'Crypto - Lots'!$B:$B,B14,'Crypto - Lots'!$C:$C,C14)</f>
        <v/>
      </c>
      <c r="I14" s="63">
        <f>SUMIFS('Crypto - Lots'!$K:$K,'Crypto - Lots'!$B:$B,B14,'Crypto - Lots'!$C:$C,C14)</f>
        <v/>
      </c>
      <c r="J14" s="65">
        <f>I14-H14</f>
        <v/>
      </c>
      <c r="K14" s="64">
        <f>IFERROR(J14/H14,0)</f>
        <v/>
      </c>
    </row>
    <row r="15" ht="15" customHeight="1" s="54">
      <c r="A15" s="43" t="n">
        <v>11</v>
      </c>
      <c r="B15" s="43" t="n"/>
      <c r="C15" s="43" t="n"/>
      <c r="D15" s="42" t="n"/>
      <c r="E15" s="25">
        <f>IFERROR(INDEX(Reference!$F:$F,MATCH("Crypto|"&amp;C15&amp;"|"&amp;B15,Reference!$A:$A,0)),"")</f>
        <v/>
      </c>
      <c r="F15" s="52">
        <f>COUNTIFS('Crypto - Lots'!$B:$B,B15,'Crypto - Lots'!$C:$C,C15)</f>
        <v/>
      </c>
      <c r="G15" s="49">
        <f>SUMIFS('Crypto - Lots'!$F:$F,'Crypto - Lots'!$B:$B,B15,'Crypto - Lots'!$C:$C,C15)</f>
        <v/>
      </c>
      <c r="H15" s="63">
        <f>SUMIFS('Crypto - Lots'!$J:$J,'Crypto - Lots'!$B:$B,B15,'Crypto - Lots'!$C:$C,C15)</f>
        <v/>
      </c>
      <c r="I15" s="63">
        <f>SUMIFS('Crypto - Lots'!$K:$K,'Crypto - Lots'!$B:$B,B15,'Crypto - Lots'!$C:$C,C15)</f>
        <v/>
      </c>
      <c r="J15" s="65">
        <f>I15-H15</f>
        <v/>
      </c>
      <c r="K15" s="64">
        <f>IFERROR(J15/H15,0)</f>
        <v/>
      </c>
    </row>
    <row r="16" ht="15" customHeight="1" s="54">
      <c r="A16" s="43" t="n">
        <v>12</v>
      </c>
      <c r="B16" s="43" t="n"/>
      <c r="C16" s="43" t="n"/>
      <c r="D16" s="42" t="n"/>
      <c r="E16" s="25">
        <f>IFERROR(INDEX(Reference!$F:$F,MATCH("Crypto|"&amp;C16&amp;"|"&amp;B16,Reference!$A:$A,0)),"")</f>
        <v/>
      </c>
      <c r="F16" s="52">
        <f>COUNTIFS('Crypto - Lots'!$B:$B,B16,'Crypto - Lots'!$C:$C,C16)</f>
        <v/>
      </c>
      <c r="G16" s="49">
        <f>SUMIFS('Crypto - Lots'!$F:$F,'Crypto - Lots'!$B:$B,B16,'Crypto - Lots'!$C:$C,C16)</f>
        <v/>
      </c>
      <c r="H16" s="63">
        <f>SUMIFS('Crypto - Lots'!$J:$J,'Crypto - Lots'!$B:$B,B16,'Crypto - Lots'!$C:$C,C16)</f>
        <v/>
      </c>
      <c r="I16" s="63">
        <f>SUMIFS('Crypto - Lots'!$K:$K,'Crypto - Lots'!$B:$B,B16,'Crypto - Lots'!$C:$C,C16)</f>
        <v/>
      </c>
      <c r="J16" s="65">
        <f>I16-H16</f>
        <v/>
      </c>
      <c r="K16" s="64">
        <f>IFERROR(J16/H16,0)</f>
        <v/>
      </c>
    </row>
    <row r="17" ht="15" customHeight="1" s="54">
      <c r="A17" s="43" t="n">
        <v>13</v>
      </c>
      <c r="B17" s="43" t="n"/>
      <c r="C17" s="43" t="n"/>
      <c r="D17" s="42" t="n"/>
      <c r="E17" s="25">
        <f>IFERROR(INDEX(Reference!$F:$F,MATCH("Crypto|"&amp;C17&amp;"|"&amp;B17,Reference!$A:$A,0)),"")</f>
        <v/>
      </c>
      <c r="F17" s="52">
        <f>COUNTIFS('Crypto - Lots'!$B:$B,B17,'Crypto - Lots'!$C:$C,C17)</f>
        <v/>
      </c>
      <c r="G17" s="49">
        <f>SUMIFS('Crypto - Lots'!$F:$F,'Crypto - Lots'!$B:$B,B17,'Crypto - Lots'!$C:$C,C17)</f>
        <v/>
      </c>
      <c r="H17" s="63">
        <f>SUMIFS('Crypto - Lots'!$J:$J,'Crypto - Lots'!$B:$B,B17,'Crypto - Lots'!$C:$C,C17)</f>
        <v/>
      </c>
      <c r="I17" s="63">
        <f>SUMIFS('Crypto - Lots'!$K:$K,'Crypto - Lots'!$B:$B,B17,'Crypto - Lots'!$C:$C,C17)</f>
        <v/>
      </c>
      <c r="J17" s="65">
        <f>I17-H17</f>
        <v/>
      </c>
      <c r="K17" s="64">
        <f>IFERROR(J17/H17,0)</f>
        <v/>
      </c>
    </row>
    <row r="18" ht="15" customHeight="1" s="54">
      <c r="A18" s="43" t="n">
        <v>14</v>
      </c>
      <c r="B18" s="43" t="n"/>
      <c r="C18" s="43" t="n"/>
      <c r="D18" s="42" t="n"/>
      <c r="E18" s="25">
        <f>IFERROR(INDEX(Reference!$F:$F,MATCH("Crypto|"&amp;C18&amp;"|"&amp;B18,Reference!$A:$A,0)),"")</f>
        <v/>
      </c>
      <c r="F18" s="52">
        <f>COUNTIFS('Crypto - Lots'!$B:$B,B18,'Crypto - Lots'!$C:$C,C18)</f>
        <v/>
      </c>
      <c r="G18" s="49">
        <f>SUMIFS('Crypto - Lots'!$F:$F,'Crypto - Lots'!$B:$B,B18,'Crypto - Lots'!$C:$C,C18)</f>
        <v/>
      </c>
      <c r="H18" s="63">
        <f>SUMIFS('Crypto - Lots'!$J:$J,'Crypto - Lots'!$B:$B,B18,'Crypto - Lots'!$C:$C,C18)</f>
        <v/>
      </c>
      <c r="I18" s="63">
        <f>SUMIFS('Crypto - Lots'!$K:$K,'Crypto - Lots'!$B:$B,B18,'Crypto - Lots'!$C:$C,C18)</f>
        <v/>
      </c>
      <c r="J18" s="65">
        <f>I18-H18</f>
        <v/>
      </c>
      <c r="K18" s="64">
        <f>IFERROR(J18/H18,0)</f>
        <v/>
      </c>
    </row>
    <row r="19" ht="15" customHeight="1" s="54">
      <c r="A19" s="43" t="n">
        <v>15</v>
      </c>
      <c r="B19" s="43" t="n"/>
      <c r="C19" s="43" t="n"/>
      <c r="D19" s="42" t="n"/>
      <c r="E19" s="25">
        <f>IFERROR(INDEX(Reference!$F:$F,MATCH("Crypto|"&amp;C19&amp;"|"&amp;B19,Reference!$A:$A,0)),"")</f>
        <v/>
      </c>
      <c r="F19" s="52">
        <f>COUNTIFS('Crypto - Lots'!$B:$B,B19,'Crypto - Lots'!$C:$C,C19)</f>
        <v/>
      </c>
      <c r="G19" s="49">
        <f>SUMIFS('Crypto - Lots'!$F:$F,'Crypto - Lots'!$B:$B,B19,'Crypto - Lots'!$C:$C,C19)</f>
        <v/>
      </c>
      <c r="H19" s="63">
        <f>SUMIFS('Crypto - Lots'!$J:$J,'Crypto - Lots'!$B:$B,B19,'Crypto - Lots'!$C:$C,C19)</f>
        <v/>
      </c>
      <c r="I19" s="63">
        <f>SUMIFS('Crypto - Lots'!$K:$K,'Crypto - Lots'!$B:$B,B19,'Crypto - Lots'!$C:$C,C19)</f>
        <v/>
      </c>
      <c r="J19" s="65">
        <f>I19-H19</f>
        <v/>
      </c>
      <c r="K19" s="64">
        <f>IFERROR(J19/H19,0)</f>
        <v/>
      </c>
    </row>
    <row r="20" ht="15" customHeight="1" s="54">
      <c r="A20" s="43" t="n">
        <v>16</v>
      </c>
      <c r="B20" s="43" t="n"/>
      <c r="C20" s="43" t="n"/>
      <c r="D20" s="42" t="n"/>
      <c r="E20" s="25">
        <f>IFERROR(INDEX(Reference!$F:$F,MATCH("Crypto|"&amp;C20&amp;"|"&amp;B20,Reference!$A:$A,0)),"")</f>
        <v/>
      </c>
      <c r="F20" s="52">
        <f>COUNTIFS('Crypto - Lots'!$B:$B,B20,'Crypto - Lots'!$C:$C,C20)</f>
        <v/>
      </c>
      <c r="G20" s="49">
        <f>SUMIFS('Crypto - Lots'!$F:$F,'Crypto - Lots'!$B:$B,B20,'Crypto - Lots'!$C:$C,C20)</f>
        <v/>
      </c>
      <c r="H20" s="63">
        <f>SUMIFS('Crypto - Lots'!$J:$J,'Crypto - Lots'!$B:$B,B20,'Crypto - Lots'!$C:$C,C20)</f>
        <v/>
      </c>
      <c r="I20" s="63">
        <f>SUMIFS('Crypto - Lots'!$K:$K,'Crypto - Lots'!$B:$B,B20,'Crypto - Lots'!$C:$C,C20)</f>
        <v/>
      </c>
      <c r="J20" s="65">
        <f>I20-H20</f>
        <v/>
      </c>
      <c r="K20" s="64">
        <f>IFERROR(J20/H20,0)</f>
        <v/>
      </c>
    </row>
    <row r="21" ht="15" customHeight="1" s="54">
      <c r="A21" s="43" t="n">
        <v>17</v>
      </c>
      <c r="B21" s="43" t="n"/>
      <c r="C21" s="43" t="n"/>
      <c r="D21" s="42" t="n"/>
      <c r="E21" s="25">
        <f>IFERROR(INDEX(Reference!$F:$F,MATCH("Crypto|"&amp;C21&amp;"|"&amp;B21,Reference!$A:$A,0)),"")</f>
        <v/>
      </c>
      <c r="F21" s="52">
        <f>COUNTIFS('Crypto - Lots'!$B:$B,B21,'Crypto - Lots'!$C:$C,C21)</f>
        <v/>
      </c>
      <c r="G21" s="49">
        <f>SUMIFS('Crypto - Lots'!$F:$F,'Crypto - Lots'!$B:$B,B21,'Crypto - Lots'!$C:$C,C21)</f>
        <v/>
      </c>
      <c r="H21" s="63">
        <f>SUMIFS('Crypto - Lots'!$J:$J,'Crypto - Lots'!$B:$B,B21,'Crypto - Lots'!$C:$C,C21)</f>
        <v/>
      </c>
      <c r="I21" s="63">
        <f>SUMIFS('Crypto - Lots'!$K:$K,'Crypto - Lots'!$B:$B,B21,'Crypto - Lots'!$C:$C,C21)</f>
        <v/>
      </c>
      <c r="J21" s="65">
        <f>I21-H21</f>
        <v/>
      </c>
      <c r="K21" s="64">
        <f>IFERROR(J21/H21,0)</f>
        <v/>
      </c>
    </row>
    <row r="22" ht="15" customHeight="1" s="54">
      <c r="A22" s="43" t="n">
        <v>18</v>
      </c>
      <c r="B22" s="43" t="n"/>
      <c r="C22" s="43" t="n"/>
      <c r="D22" s="42" t="n"/>
      <c r="E22" s="25">
        <f>IFERROR(INDEX(Reference!$F:$F,MATCH("Crypto|"&amp;C22&amp;"|"&amp;B22,Reference!$A:$A,0)),"")</f>
        <v/>
      </c>
      <c r="F22" s="52">
        <f>COUNTIFS('Crypto - Lots'!$B:$B,B22,'Crypto - Lots'!$C:$C,C22)</f>
        <v/>
      </c>
      <c r="G22" s="49">
        <f>SUMIFS('Crypto - Lots'!$F:$F,'Crypto - Lots'!$B:$B,B22,'Crypto - Lots'!$C:$C,C22)</f>
        <v/>
      </c>
      <c r="H22" s="63">
        <f>SUMIFS('Crypto - Lots'!$J:$J,'Crypto - Lots'!$B:$B,B22,'Crypto - Lots'!$C:$C,C22)</f>
        <v/>
      </c>
      <c r="I22" s="63">
        <f>SUMIFS('Crypto - Lots'!$K:$K,'Crypto - Lots'!$B:$B,B22,'Crypto - Lots'!$C:$C,C22)</f>
        <v/>
      </c>
      <c r="J22" s="65">
        <f>I22-H22</f>
        <v/>
      </c>
      <c r="K22" s="64">
        <f>IFERROR(J22/H22,0)</f>
        <v/>
      </c>
    </row>
    <row r="23" ht="15" customHeight="1" s="54">
      <c r="A23" s="43" t="n">
        <v>19</v>
      </c>
      <c r="B23" s="43" t="n"/>
      <c r="C23" s="43" t="n"/>
      <c r="D23" s="42" t="n"/>
      <c r="E23" s="25">
        <f>IFERROR(INDEX(Reference!$F:$F,MATCH("Crypto|"&amp;C23&amp;"|"&amp;B23,Reference!$A:$A,0)),"")</f>
        <v/>
      </c>
      <c r="F23" s="52">
        <f>COUNTIFS('Crypto - Lots'!$B:$B,B23,'Crypto - Lots'!$C:$C,C23)</f>
        <v/>
      </c>
      <c r="G23" s="49">
        <f>SUMIFS('Crypto - Lots'!$F:$F,'Crypto - Lots'!$B:$B,B23,'Crypto - Lots'!$C:$C,C23)</f>
        <v/>
      </c>
      <c r="H23" s="63">
        <f>SUMIFS('Crypto - Lots'!$J:$J,'Crypto - Lots'!$B:$B,B23,'Crypto - Lots'!$C:$C,C23)</f>
        <v/>
      </c>
      <c r="I23" s="63">
        <f>SUMIFS('Crypto - Lots'!$K:$K,'Crypto - Lots'!$B:$B,B23,'Crypto - Lots'!$C:$C,C23)</f>
        <v/>
      </c>
      <c r="J23" s="65">
        <f>I23-H23</f>
        <v/>
      </c>
      <c r="K23" s="64">
        <f>IFERROR(J23/H23,0)</f>
        <v/>
      </c>
    </row>
    <row r="24" ht="15" customHeight="1" s="54">
      <c r="A24" s="43" t="n">
        <v>20</v>
      </c>
      <c r="B24" s="43" t="n"/>
      <c r="C24" s="43" t="n"/>
      <c r="D24" s="42" t="n"/>
      <c r="E24" s="25">
        <f>IFERROR(INDEX(Reference!$F:$F,MATCH("Crypto|"&amp;C24&amp;"|"&amp;B24,Reference!$A:$A,0)),"")</f>
        <v/>
      </c>
      <c r="F24" s="52">
        <f>COUNTIFS('Crypto - Lots'!$B:$B,B24,'Crypto - Lots'!$C:$C,C24)</f>
        <v/>
      </c>
      <c r="G24" s="49">
        <f>SUMIFS('Crypto - Lots'!$F:$F,'Crypto - Lots'!$B:$B,B24,'Crypto - Lots'!$C:$C,C24)</f>
        <v/>
      </c>
      <c r="H24" s="63">
        <f>SUMIFS('Crypto - Lots'!$J:$J,'Crypto - Lots'!$B:$B,B24,'Crypto - Lots'!$C:$C,C24)</f>
        <v/>
      </c>
      <c r="I24" s="63">
        <f>SUMIFS('Crypto - Lots'!$K:$K,'Crypto - Lots'!$B:$B,B24,'Crypto - Lots'!$C:$C,C24)</f>
        <v/>
      </c>
      <c r="J24" s="65">
        <f>I24-H24</f>
        <v/>
      </c>
      <c r="K24" s="64">
        <f>IFERROR(J24/H24,0)</f>
        <v/>
      </c>
    </row>
    <row r="25" ht="15" customHeight="1" s="54">
      <c r="A25" s="43" t="n">
        <v>21</v>
      </c>
      <c r="B25" s="43" t="n"/>
      <c r="C25" s="43" t="n"/>
      <c r="D25" s="42" t="n"/>
      <c r="E25" s="25">
        <f>IFERROR(INDEX(Reference!$F:$F,MATCH("Crypto|"&amp;C25&amp;"|"&amp;B25,Reference!$A:$A,0)),"")</f>
        <v/>
      </c>
      <c r="F25" s="52">
        <f>COUNTIFS('Crypto - Lots'!$B:$B,B25,'Crypto - Lots'!$C:$C,C25)</f>
        <v/>
      </c>
      <c r="G25" s="49">
        <f>SUMIFS('Crypto - Lots'!$F:$F,'Crypto - Lots'!$B:$B,B25,'Crypto - Lots'!$C:$C,C25)</f>
        <v/>
      </c>
      <c r="H25" s="63">
        <f>SUMIFS('Crypto - Lots'!$J:$J,'Crypto - Lots'!$B:$B,B25,'Crypto - Lots'!$C:$C,C25)</f>
        <v/>
      </c>
      <c r="I25" s="63">
        <f>SUMIFS('Crypto - Lots'!$K:$K,'Crypto - Lots'!$B:$B,B25,'Crypto - Lots'!$C:$C,C25)</f>
        <v/>
      </c>
      <c r="J25" s="65">
        <f>I25-H25</f>
        <v/>
      </c>
      <c r="K25" s="64">
        <f>IFERROR(J25/H25,0)</f>
        <v/>
      </c>
    </row>
    <row r="26" ht="15" customHeight="1" s="54">
      <c r="A26" s="43" t="n">
        <v>22</v>
      </c>
      <c r="B26" s="43" t="n"/>
      <c r="C26" s="43" t="n"/>
      <c r="D26" s="42" t="n"/>
      <c r="E26" s="25">
        <f>IFERROR(INDEX(Reference!$F:$F,MATCH("Crypto|"&amp;C26&amp;"|"&amp;B26,Reference!$A:$A,0)),"")</f>
        <v/>
      </c>
      <c r="F26" s="52">
        <f>COUNTIFS('Crypto - Lots'!$B:$B,B26,'Crypto - Lots'!$C:$C,C26)</f>
        <v/>
      </c>
      <c r="G26" s="49">
        <f>SUMIFS('Crypto - Lots'!$F:$F,'Crypto - Lots'!$B:$B,B26,'Crypto - Lots'!$C:$C,C26)</f>
        <v/>
      </c>
      <c r="H26" s="63">
        <f>SUMIFS('Crypto - Lots'!$J:$J,'Crypto - Lots'!$B:$B,B26,'Crypto - Lots'!$C:$C,C26)</f>
        <v/>
      </c>
      <c r="I26" s="63">
        <f>SUMIFS('Crypto - Lots'!$K:$K,'Crypto - Lots'!$B:$B,B26,'Crypto - Lots'!$C:$C,C26)</f>
        <v/>
      </c>
      <c r="J26" s="65">
        <f>I26-H26</f>
        <v/>
      </c>
      <c r="K26" s="64">
        <f>IFERROR(J26/H26,0)</f>
        <v/>
      </c>
    </row>
    <row r="27" ht="15" customHeight="1" s="54">
      <c r="A27" s="43" t="n">
        <v>23</v>
      </c>
      <c r="B27" s="43" t="n"/>
      <c r="C27" s="43" t="n"/>
      <c r="D27" s="42" t="n"/>
      <c r="E27" s="25">
        <f>IFERROR(INDEX(Reference!$F:$F,MATCH("Crypto|"&amp;C27&amp;"|"&amp;B27,Reference!$A:$A,0)),"")</f>
        <v/>
      </c>
      <c r="F27" s="52">
        <f>COUNTIFS('Crypto - Lots'!$B:$B,B27,'Crypto - Lots'!$C:$C,C27)</f>
        <v/>
      </c>
      <c r="G27" s="49">
        <f>SUMIFS('Crypto - Lots'!$F:$F,'Crypto - Lots'!$B:$B,B27,'Crypto - Lots'!$C:$C,C27)</f>
        <v/>
      </c>
      <c r="H27" s="63">
        <f>SUMIFS('Crypto - Lots'!$J:$J,'Crypto - Lots'!$B:$B,B27,'Crypto - Lots'!$C:$C,C27)</f>
        <v/>
      </c>
      <c r="I27" s="63">
        <f>SUMIFS('Crypto - Lots'!$K:$K,'Crypto - Lots'!$B:$B,B27,'Crypto - Lots'!$C:$C,C27)</f>
        <v/>
      </c>
      <c r="J27" s="65">
        <f>I27-H27</f>
        <v/>
      </c>
      <c r="K27" s="64">
        <f>IFERROR(J27/H27,0)</f>
        <v/>
      </c>
    </row>
    <row r="28" ht="15" customHeight="1" s="54">
      <c r="A28" s="43" t="n">
        <v>24</v>
      </c>
      <c r="B28" s="43" t="n"/>
      <c r="C28" s="43" t="n"/>
      <c r="D28" s="42" t="n"/>
      <c r="E28" s="25">
        <f>IFERROR(INDEX(Reference!$F:$F,MATCH("Crypto|"&amp;C28&amp;"|"&amp;B28,Reference!$A:$A,0)),"")</f>
        <v/>
      </c>
      <c r="F28" s="52">
        <f>COUNTIFS('Crypto - Lots'!$B:$B,B28,'Crypto - Lots'!$C:$C,C28)</f>
        <v/>
      </c>
      <c r="G28" s="49">
        <f>SUMIFS('Crypto - Lots'!$F:$F,'Crypto - Lots'!$B:$B,B28,'Crypto - Lots'!$C:$C,C28)</f>
        <v/>
      </c>
      <c r="H28" s="63">
        <f>SUMIFS('Crypto - Lots'!$J:$J,'Crypto - Lots'!$B:$B,B28,'Crypto - Lots'!$C:$C,C28)</f>
        <v/>
      </c>
      <c r="I28" s="63">
        <f>SUMIFS('Crypto - Lots'!$K:$K,'Crypto - Lots'!$B:$B,B28,'Crypto - Lots'!$C:$C,C28)</f>
        <v/>
      </c>
      <c r="J28" s="65">
        <f>I28-H28</f>
        <v/>
      </c>
      <c r="K28" s="64">
        <f>IFERROR(J28/H28,0)</f>
        <v/>
      </c>
    </row>
    <row r="29" ht="15" customHeight="1" s="54">
      <c r="A29" s="20" t="inlineStr">
        <is>
          <t>TOTAL</t>
        </is>
      </c>
      <c r="B29" s="51" t="n"/>
      <c r="C29" s="51" t="n"/>
      <c r="D29" s="51" t="n"/>
      <c r="E29" s="51" t="n"/>
      <c r="F29" s="53">
        <f>SUM(F5:F28)</f>
        <v/>
      </c>
      <c r="G29" s="51" t="n"/>
      <c r="H29" s="66">
        <f>SUM(H5:H28)</f>
        <v/>
      </c>
      <c r="I29" s="66">
        <f>SUM(I5:I28)</f>
        <v/>
      </c>
      <c r="J29" s="66">
        <f>SUM(J5:J28)</f>
        <v/>
      </c>
      <c r="K29" s="67">
        <f>IFERROR(J29/H29,0)</f>
        <v/>
      </c>
    </row>
  </sheetData>
  <autoFilter ref="A4:K28"/>
  <mergeCells count="1">
    <mergeCell ref="A2:K2"/>
  </mergeCells>
  <conditionalFormatting sqref="J5:K28">
    <cfRule type="cellIs" priority="2" operator="lessThan" dxfId="0">
      <formula>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Q99"/>
  <sheetViews>
    <sheetView showGridLines="0" zoomScaleNormal="100" workbookViewId="0">
      <pane xSplit="1" ySplit="4" topLeftCell="B5" activePane="bottomRight" state="frozen"/>
      <selection pane="topRight" activeCell="C1" sqref="C1"/>
      <selection pane="bottomLeft" activeCell="A11" sqref="A11"/>
      <selection pane="bottomRight" activeCell="N10" sqref="N10"/>
    </sheetView>
  </sheetViews>
  <sheetFormatPr baseColWidth="10" defaultColWidth="8.6640625" defaultRowHeight="15"/>
  <cols>
    <col hidden="1" width="22" customWidth="1" style="54" min="1" max="1"/>
    <col width="8" customWidth="1" style="54" min="2" max="2"/>
    <col width="22" customWidth="1" style="54" min="3" max="3"/>
    <col width="16" customWidth="1" style="54" min="4" max="4"/>
    <col width="20" customWidth="1" style="54" min="5" max="5"/>
    <col width="22" customWidth="1" style="54" min="6" max="6"/>
    <col width="18" customWidth="1" style="54" min="7" max="7"/>
    <col width="26" customWidth="1" style="54" min="8" max="8"/>
    <col width="14" customWidth="1" style="54" min="9" max="9"/>
    <col width="10" customWidth="1" style="54" min="10" max="10"/>
    <col width="12" customWidth="1" style="54" min="11" max="11"/>
    <col width="8.6640625" customWidth="1" style="54" min="14" max="17"/>
  </cols>
  <sheetData>
    <row r="2" ht="30" customHeight="1" s="54">
      <c r="A2" s="9" t="inlineStr">
        <is>
          <t>REFERENCE — Asset / Geography / Theme / Tax Mapping  (edit yellow cells to reclassify)</t>
        </is>
      </c>
    </row>
    <row r="4" ht="31.5" customHeight="1" s="54">
      <c r="A4" s="15" t="inlineStr">
        <is>
          <t>Key (auto)</t>
        </is>
      </c>
      <c r="B4" s="15" t="inlineStr">
        <is>
          <t>Type</t>
        </is>
      </c>
      <c r="C4" s="15" t="inlineStr">
        <is>
          <t>Name</t>
        </is>
      </c>
      <c r="D4" s="15" t="inlineStr">
        <is>
          <t>Custodian</t>
        </is>
      </c>
      <c r="E4" s="15" t="inlineStr">
        <is>
          <t>Asset Class</t>
        </is>
      </c>
      <c r="F4" s="15" t="inlineStr">
        <is>
          <t>Sub-class</t>
        </is>
      </c>
      <c r="G4" s="15" t="inlineStr">
        <is>
          <t>Geography</t>
        </is>
      </c>
      <c r="H4" s="15" t="inlineStr">
        <is>
          <t>Theme</t>
        </is>
      </c>
      <c r="I4" s="15" t="inlineStr">
        <is>
          <t>Tax Status</t>
        </is>
      </c>
      <c r="J4" s="15" t="inlineStr">
        <is>
          <t>Currency</t>
        </is>
      </c>
      <c r="K4" s="15" t="inlineStr">
        <is>
          <t>FX Mult</t>
        </is>
      </c>
    </row>
    <row r="5" ht="15" customHeight="1" s="54">
      <c r="A5" s="43">
        <f>B5&amp;"|"&amp;C5&amp;"|"&amp;D5</f>
        <v/>
      </c>
      <c r="B5" s="40" t="n"/>
      <c r="C5" s="40" t="n"/>
      <c r="D5" s="40" t="n"/>
      <c r="E5" s="40" t="n"/>
      <c r="F5" s="40" t="n"/>
      <c r="G5" s="40" t="n"/>
      <c r="H5" s="40" t="n"/>
      <c r="I5" s="40" t="n"/>
      <c r="J5" s="40" t="n"/>
      <c r="K5" s="79">
        <f>IF(J5="THB",1,FXRate)</f>
        <v/>
      </c>
      <c r="Q5" s="55" t="n"/>
    </row>
    <row r="6" ht="15" customHeight="1" s="54">
      <c r="A6" s="43">
        <f>B6&amp;"|"&amp;C6&amp;"|"&amp;D6</f>
        <v/>
      </c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79">
        <f>IF(J6="THB",1,FXRate)</f>
        <v/>
      </c>
      <c r="Q6" s="55" t="n"/>
    </row>
    <row r="7" ht="15" customHeight="1" s="54">
      <c r="A7" s="43">
        <f>B7&amp;"|"&amp;C7&amp;"|"&amp;D7</f>
        <v/>
      </c>
      <c r="B7" s="40" t="n"/>
      <c r="C7" s="40" t="n"/>
      <c r="D7" s="40" t="n"/>
      <c r="E7" s="40" t="n"/>
      <c r="F7" s="40" t="n"/>
      <c r="G7" s="40" t="n"/>
      <c r="H7" s="40" t="n"/>
      <c r="I7" s="40" t="n"/>
      <c r="J7" s="40" t="n"/>
      <c r="K7" s="79">
        <f>IF(J7="THB",1,FXRate)</f>
        <v/>
      </c>
      <c r="Q7" s="55" t="n"/>
    </row>
    <row r="8" ht="15" customHeight="1" s="54">
      <c r="A8" s="43">
        <f>B8&amp;"|"&amp;C8&amp;"|"&amp;D8</f>
        <v/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79">
        <f>IF(J8="THB",1,FXRate)</f>
        <v/>
      </c>
      <c r="Q8" s="55" t="n"/>
    </row>
    <row r="9" ht="15" customHeight="1" s="54">
      <c r="A9" s="43">
        <f>B9&amp;"|"&amp;C9&amp;"|"&amp;D9</f>
        <v/>
      </c>
      <c r="B9" s="40" t="n"/>
      <c r="C9" s="40" t="n"/>
      <c r="D9" s="40" t="n"/>
      <c r="E9" s="40" t="n"/>
      <c r="F9" s="40" t="n"/>
      <c r="G9" s="40" t="n"/>
      <c r="H9" s="40" t="n"/>
      <c r="I9" s="40" t="n"/>
      <c r="J9" s="40" t="n"/>
      <c r="K9" s="79">
        <f>IF(J9="THB",1,FXRate)</f>
        <v/>
      </c>
      <c r="Q9" s="55" t="n"/>
    </row>
    <row r="10" ht="15" customHeight="1" s="54">
      <c r="A10" s="43">
        <f>B10&amp;"|"&amp;C10&amp;"|"&amp;D10</f>
        <v/>
      </c>
      <c r="B10" s="40" t="n"/>
      <c r="C10" s="40" t="n"/>
      <c r="D10" s="40" t="n"/>
      <c r="E10" s="40" t="n"/>
      <c r="F10" s="40" t="n"/>
      <c r="G10" s="40" t="n"/>
      <c r="H10" s="40" t="n"/>
      <c r="I10" s="40" t="n"/>
      <c r="J10" s="40" t="n"/>
      <c r="K10" s="79">
        <f>IF(J10="THB",1,FXRate)</f>
        <v/>
      </c>
      <c r="Q10" s="55" t="n"/>
    </row>
    <row r="11" ht="15" customHeight="1" s="54">
      <c r="A11" s="43">
        <f>B11&amp;"|"&amp;C11&amp;"|"&amp;D11</f>
        <v/>
      </c>
      <c r="B11" s="40" t="n"/>
      <c r="C11" s="40" t="n"/>
      <c r="D11" s="40" t="n"/>
      <c r="E11" s="40" t="n"/>
      <c r="F11" s="40" t="n"/>
      <c r="G11" s="40" t="n"/>
      <c r="H11" s="40" t="n"/>
      <c r="I11" s="40" t="n"/>
      <c r="J11" s="40" t="n"/>
      <c r="K11" s="79">
        <f>IF(J11="THB",1,FXRate)</f>
        <v/>
      </c>
      <c r="Q11" s="55" t="n"/>
    </row>
    <row r="12" ht="15" customHeight="1" s="54">
      <c r="A12" s="43">
        <f>B12&amp;"|"&amp;C12&amp;"|"&amp;D12</f>
        <v/>
      </c>
      <c r="B12" s="40" t="n"/>
      <c r="C12" s="40" t="n"/>
      <c r="D12" s="40" t="n"/>
      <c r="E12" s="40" t="n"/>
      <c r="F12" s="40" t="n"/>
      <c r="G12" s="40" t="n"/>
      <c r="H12" s="40" t="n"/>
      <c r="I12" s="40" t="n"/>
      <c r="J12" s="40" t="n"/>
      <c r="K12" s="79">
        <f>IF(J12="THB",1,FXRate)</f>
        <v/>
      </c>
      <c r="Q12" s="55" t="n"/>
    </row>
    <row r="13" ht="15" customHeight="1" s="54">
      <c r="A13" s="43">
        <f>B13&amp;"|"&amp;C13&amp;"|"&amp;D13</f>
        <v/>
      </c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79">
        <f>IF(J13="THB",1,FXRate)</f>
        <v/>
      </c>
      <c r="Q13" s="55" t="n"/>
    </row>
    <row r="14" ht="15" customHeight="1" s="54">
      <c r="A14" s="43">
        <f>B14&amp;"|"&amp;C14&amp;"|"&amp;D14</f>
        <v/>
      </c>
      <c r="B14" s="40" t="n"/>
      <c r="C14" s="40" t="n"/>
      <c r="D14" s="40" t="n"/>
      <c r="E14" s="40" t="n"/>
      <c r="F14" s="40" t="n"/>
      <c r="G14" s="40" t="n"/>
      <c r="H14" s="40" t="n"/>
      <c r="I14" s="40" t="n"/>
      <c r="J14" s="40" t="n"/>
      <c r="K14" s="79">
        <f>IF(J14="THB",1,FXRate)</f>
        <v/>
      </c>
      <c r="Q14" s="55" t="n"/>
    </row>
    <row r="15" ht="15" customHeight="1" s="54">
      <c r="A15" s="43">
        <f>B15&amp;"|"&amp;C15&amp;"|"&amp;D15</f>
        <v/>
      </c>
      <c r="B15" s="40" t="n"/>
      <c r="C15" s="40" t="n"/>
      <c r="D15" s="40" t="n"/>
      <c r="E15" s="40" t="n"/>
      <c r="F15" s="40" t="n"/>
      <c r="G15" s="40" t="n"/>
      <c r="H15" s="40" t="n"/>
      <c r="I15" s="40" t="n"/>
      <c r="J15" s="40" t="n"/>
      <c r="K15" s="79">
        <f>IF(J15="THB",1,FXRate)</f>
        <v/>
      </c>
      <c r="Q15" s="55" t="n"/>
    </row>
    <row r="16" ht="15" customHeight="1" s="54">
      <c r="A16" s="43">
        <f>B16&amp;"|"&amp;C16&amp;"|"&amp;D16</f>
        <v/>
      </c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79">
        <f>IF(J16="THB",1,FXRate)</f>
        <v/>
      </c>
      <c r="Q16" s="55" t="n"/>
    </row>
    <row r="17" ht="15" customHeight="1" s="54">
      <c r="A17" s="43">
        <f>B17&amp;"|"&amp;C17&amp;"|"&amp;D17</f>
        <v/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79">
        <f>IF(J17="THB",1,FXRate)</f>
        <v/>
      </c>
      <c r="Q17" s="55" t="n"/>
    </row>
    <row r="18" ht="15" customHeight="1" s="54">
      <c r="A18" s="43">
        <f>B18&amp;"|"&amp;C18&amp;"|"&amp;D18</f>
        <v/>
      </c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79">
        <f>IF(J18="THB",1,FXRate)</f>
        <v/>
      </c>
      <c r="Q18" s="55" t="n"/>
    </row>
    <row r="19" ht="15" customHeight="1" s="54">
      <c r="A19" s="43">
        <f>B19&amp;"|"&amp;C19&amp;"|"&amp;D19</f>
        <v/>
      </c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79">
        <f>IF(J19="THB",1,FXRate)</f>
        <v/>
      </c>
      <c r="Q19" s="55" t="n"/>
    </row>
    <row r="20" ht="15" customHeight="1" s="54">
      <c r="A20" s="43">
        <f>B20&amp;"|"&amp;C20&amp;"|"&amp;D20</f>
        <v/>
      </c>
      <c r="B20" s="40" t="n"/>
      <c r="C20" s="40" t="n"/>
      <c r="D20" s="40" t="n"/>
      <c r="E20" s="40" t="n"/>
      <c r="F20" s="40" t="n"/>
      <c r="G20" s="40" t="n"/>
      <c r="H20" s="40" t="n"/>
      <c r="I20" s="40" t="n"/>
      <c r="J20" s="40" t="n"/>
      <c r="K20" s="79">
        <f>IF(J20="THB",1,FXRate)</f>
        <v/>
      </c>
      <c r="Q20" s="55" t="n"/>
    </row>
    <row r="21" ht="15" customHeight="1" s="54">
      <c r="A21" s="43">
        <f>B21&amp;"|"&amp;C21&amp;"|"&amp;D21</f>
        <v/>
      </c>
      <c r="B21" s="40" t="n"/>
      <c r="C21" s="40" t="n"/>
      <c r="D21" s="40" t="n"/>
      <c r="E21" s="40" t="n"/>
      <c r="F21" s="40" t="n"/>
      <c r="G21" s="40" t="n"/>
      <c r="H21" s="40" t="n"/>
      <c r="I21" s="40" t="n"/>
      <c r="J21" s="40" t="n"/>
      <c r="K21" s="79">
        <f>IF(J21="THB",1,FXRate)</f>
        <v/>
      </c>
      <c r="Q21" s="55" t="n"/>
    </row>
    <row r="22" ht="15" customHeight="1" s="54">
      <c r="A22" s="43">
        <f>B22&amp;"|"&amp;C22&amp;"|"&amp;D22</f>
        <v/>
      </c>
      <c r="B22" s="40" t="n"/>
      <c r="C22" s="40" t="n"/>
      <c r="D22" s="40" t="n"/>
      <c r="E22" s="40" t="n"/>
      <c r="F22" s="40" t="n"/>
      <c r="G22" s="40" t="n"/>
      <c r="H22" s="40" t="n"/>
      <c r="I22" s="40" t="n"/>
      <c r="J22" s="40" t="n"/>
      <c r="K22" s="79">
        <f>IF(J22="THB",1,FXRate)</f>
        <v/>
      </c>
      <c r="Q22" s="55" t="n"/>
    </row>
    <row r="23" ht="15" customHeight="1" s="54">
      <c r="A23" s="43">
        <f>B23&amp;"|"&amp;C23&amp;"|"&amp;D23</f>
        <v/>
      </c>
      <c r="B23" s="40" t="n"/>
      <c r="C23" s="40" t="n"/>
      <c r="D23" s="40" t="n"/>
      <c r="E23" s="40" t="n"/>
      <c r="F23" s="40" t="n"/>
      <c r="G23" s="40" t="n"/>
      <c r="H23" s="40" t="n"/>
      <c r="I23" s="40" t="n"/>
      <c r="J23" s="40" t="n"/>
      <c r="K23" s="79">
        <f>IF(J23="THB",1,FXRate)</f>
        <v/>
      </c>
      <c r="Q23" s="55" t="n"/>
    </row>
    <row r="24" ht="15" customHeight="1" s="54">
      <c r="A24" s="43">
        <f>B24&amp;"|"&amp;C24&amp;"|"&amp;D24</f>
        <v/>
      </c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79">
        <f>IF(J24="THB",1,FXRate)</f>
        <v/>
      </c>
      <c r="Q24" s="55" t="n"/>
    </row>
    <row r="25" ht="15" customHeight="1" s="54">
      <c r="A25" s="43">
        <f>B25&amp;"|"&amp;C25&amp;"|"&amp;D25</f>
        <v/>
      </c>
      <c r="B25" s="40" t="n"/>
      <c r="C25" s="40" t="n"/>
      <c r="D25" s="40" t="n"/>
      <c r="E25" s="40" t="n"/>
      <c r="F25" s="40" t="n"/>
      <c r="G25" s="40" t="n"/>
      <c r="H25" s="40" t="n"/>
      <c r="I25" s="40" t="n"/>
      <c r="J25" s="40" t="n"/>
      <c r="K25" s="79">
        <f>IF(J25="THB",1,FXRate)</f>
        <v/>
      </c>
      <c r="Q25" s="55" t="n"/>
    </row>
    <row r="26" ht="15" customHeight="1" s="54">
      <c r="A26" s="43">
        <f>B26&amp;"|"&amp;C26&amp;"|"&amp;D26</f>
        <v/>
      </c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79">
        <f>IF(J26="THB",1,FXRate)</f>
        <v/>
      </c>
      <c r="Q26" s="55" t="n"/>
    </row>
    <row r="27" ht="15" customHeight="1" s="54">
      <c r="A27" s="43">
        <f>B27&amp;"|"&amp;C27&amp;"|"&amp;D27</f>
        <v/>
      </c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79">
        <f>IF(J27="THB",1,FXRate)</f>
        <v/>
      </c>
      <c r="Q27" s="55" t="n"/>
    </row>
    <row r="28" ht="15" customHeight="1" s="54">
      <c r="A28" s="43">
        <f>B28&amp;"|"&amp;C28&amp;"|"&amp;D28</f>
        <v/>
      </c>
      <c r="B28" s="40" t="n"/>
      <c r="C28" s="40" t="n"/>
      <c r="D28" s="40" t="n"/>
      <c r="E28" s="40" t="n"/>
      <c r="F28" s="40" t="n"/>
      <c r="G28" s="40" t="n"/>
      <c r="H28" s="40" t="n"/>
      <c r="I28" s="40" t="n"/>
      <c r="J28" s="40" t="n"/>
      <c r="K28" s="79">
        <f>IF(J28="THB",1,FXRate)</f>
        <v/>
      </c>
    </row>
    <row r="29" ht="15" customHeight="1" s="54">
      <c r="A29" s="43">
        <f>B29&amp;"|"&amp;C29&amp;"|"&amp;D29</f>
        <v/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79">
        <f>IF(J29="THB",1,FXRate)</f>
        <v/>
      </c>
    </row>
    <row r="30" ht="15" customHeight="1" s="54">
      <c r="A30" s="43">
        <f>B30&amp;"|"&amp;C30&amp;"|"&amp;D30</f>
        <v/>
      </c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79">
        <f>IF(J30="THB",1,FXRate)</f>
        <v/>
      </c>
    </row>
    <row r="31" ht="15" customHeight="1" s="54">
      <c r="A31" s="43">
        <f>B31&amp;"|"&amp;C31&amp;"|"&amp;D31</f>
        <v/>
      </c>
      <c r="B31" s="40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79">
        <f>IF(J31="THB",1,FXRate)</f>
        <v/>
      </c>
    </row>
    <row r="32" ht="15" customHeight="1" s="54">
      <c r="A32" s="43">
        <f>B32&amp;"|"&amp;C32&amp;"|"&amp;D32</f>
        <v/>
      </c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79">
        <f>IF(J32="THB",1,FXRate)</f>
        <v/>
      </c>
    </row>
    <row r="33" ht="15" customHeight="1" s="54">
      <c r="A33" s="43">
        <f>B33&amp;"|"&amp;C33&amp;"|"&amp;D33</f>
        <v/>
      </c>
      <c r="B33" s="40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79">
        <f>IF(J33="THB",1,FXRate)</f>
        <v/>
      </c>
    </row>
    <row r="34" ht="15" customHeight="1" s="54">
      <c r="A34" s="43">
        <f>B34&amp;"|"&amp;C34&amp;"|"&amp;D34</f>
        <v/>
      </c>
      <c r="B34" s="40" t="n"/>
      <c r="C34" s="40" t="n"/>
      <c r="D34" s="40" t="n"/>
      <c r="E34" s="40" t="n"/>
      <c r="F34" s="40" t="n"/>
      <c r="G34" s="40" t="n"/>
      <c r="H34" s="40" t="n"/>
      <c r="I34" s="40" t="n"/>
      <c r="J34" s="40" t="n"/>
      <c r="K34" s="79">
        <f>IF(J34="THB",1,FXRate)</f>
        <v/>
      </c>
    </row>
    <row r="35" ht="15" customHeight="1" s="54">
      <c r="A35" s="43">
        <f>B35&amp;"|"&amp;C35&amp;"|"&amp;D35</f>
        <v/>
      </c>
      <c r="B35" s="40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79">
        <f>IF(J35="THB",1,FXRate)</f>
        <v/>
      </c>
    </row>
    <row r="36" ht="15" customHeight="1" s="54">
      <c r="A36" s="43">
        <f>B36&amp;"|"&amp;C36&amp;"|"&amp;D36</f>
        <v/>
      </c>
      <c r="B36" s="40" t="n"/>
      <c r="C36" s="40" t="n"/>
      <c r="D36" s="40" t="n"/>
      <c r="E36" s="40" t="n"/>
      <c r="F36" s="40" t="n"/>
      <c r="G36" s="40" t="n"/>
      <c r="H36" s="40" t="n"/>
      <c r="I36" s="40" t="n"/>
      <c r="J36" s="40" t="n"/>
      <c r="K36" s="79">
        <f>IF(J36="THB",1,FXRate)</f>
        <v/>
      </c>
    </row>
    <row r="37" ht="15" customHeight="1" s="54">
      <c r="A37" s="43">
        <f>B37&amp;"|"&amp;C37&amp;"|"&amp;D37</f>
        <v/>
      </c>
      <c r="B37" s="40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79">
        <f>IF(J37="THB",1,FXRate)</f>
        <v/>
      </c>
    </row>
    <row r="38" ht="15" customHeight="1" s="54">
      <c r="A38" s="43">
        <f>B38&amp;"|"&amp;C38&amp;"|"&amp;D38</f>
        <v/>
      </c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79">
        <f>IF(J38="THB",1,FXRate)</f>
        <v/>
      </c>
    </row>
    <row r="39" ht="15" customHeight="1" s="54">
      <c r="A39" s="43">
        <f>B39&amp;"|"&amp;C39&amp;"|"&amp;D39</f>
        <v/>
      </c>
      <c r="B39" s="40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79">
        <f>IF(J39="THB",1,FXRate)</f>
        <v/>
      </c>
    </row>
    <row r="40" ht="15" customHeight="1" s="54">
      <c r="A40" s="43">
        <f>B40&amp;"|"&amp;C40&amp;"|"&amp;D40</f>
        <v/>
      </c>
      <c r="B40" s="40" t="n"/>
      <c r="C40" s="40" t="n"/>
      <c r="D40" s="40" t="n"/>
      <c r="E40" s="40" t="n"/>
      <c r="F40" s="40" t="n"/>
      <c r="G40" s="40" t="n"/>
      <c r="H40" s="40" t="n"/>
      <c r="I40" s="40" t="n"/>
      <c r="J40" s="40" t="n"/>
      <c r="K40" s="79">
        <f>IF(J40="THB",1,FXRate)</f>
        <v/>
      </c>
    </row>
    <row r="41" ht="15" customHeight="1" s="54">
      <c r="A41" s="43">
        <f>B41&amp;"|"&amp;C41&amp;"|"&amp;D41</f>
        <v/>
      </c>
      <c r="B41" s="40" t="n"/>
      <c r="C41" s="40" t="n"/>
      <c r="D41" s="40" t="n"/>
      <c r="E41" s="40" t="n"/>
      <c r="F41" s="40" t="n"/>
      <c r="G41" s="40" t="n"/>
      <c r="H41" s="40" t="n"/>
      <c r="I41" s="40" t="n"/>
      <c r="J41" s="40" t="n"/>
      <c r="K41" s="79">
        <f>IF(J41="THB",1,FXRate)</f>
        <v/>
      </c>
    </row>
    <row r="42" ht="15" customHeight="1" s="54">
      <c r="A42" s="43">
        <f>B42&amp;"|"&amp;C42&amp;"|"&amp;D42</f>
        <v/>
      </c>
      <c r="B42" s="40" t="n"/>
      <c r="C42" s="40" t="n"/>
      <c r="D42" s="40" t="n"/>
      <c r="E42" s="40" t="n"/>
      <c r="F42" s="40" t="n"/>
      <c r="G42" s="40" t="n"/>
      <c r="H42" s="40" t="n"/>
      <c r="I42" s="40" t="n"/>
      <c r="J42" s="40" t="n"/>
      <c r="K42" s="79">
        <f>IF(J42="THB",1,FXRate)</f>
        <v/>
      </c>
    </row>
    <row r="43" ht="15" customHeight="1" s="54">
      <c r="A43" s="43">
        <f>B43&amp;"|"&amp;C43&amp;"|"&amp;D43</f>
        <v/>
      </c>
      <c r="B43" s="40" t="n"/>
      <c r="C43" s="40" t="n"/>
      <c r="D43" s="40" t="n"/>
      <c r="E43" s="40" t="n"/>
      <c r="F43" s="40" t="n"/>
      <c r="G43" s="40" t="n"/>
      <c r="H43" s="40" t="n"/>
      <c r="I43" s="40" t="n"/>
      <c r="J43" s="40" t="n"/>
      <c r="K43" s="79">
        <f>IF(J43="THB",1,FXRate)</f>
        <v/>
      </c>
    </row>
    <row r="44" ht="15" customHeight="1" s="54">
      <c r="A44" s="43">
        <f>B44&amp;"|"&amp;C44&amp;"|"&amp;D44</f>
        <v/>
      </c>
      <c r="B44" s="40" t="n"/>
      <c r="C44" s="40" t="n"/>
      <c r="D44" s="40" t="n"/>
      <c r="E44" s="40" t="n"/>
      <c r="F44" s="40" t="n"/>
      <c r="G44" s="40" t="n"/>
      <c r="H44" s="40" t="n"/>
      <c r="I44" s="40" t="n"/>
      <c r="J44" s="40" t="n"/>
      <c r="K44" s="79">
        <f>IF(J44="THB",1,FXRate)</f>
        <v/>
      </c>
    </row>
    <row r="45" ht="15" customHeight="1" s="54">
      <c r="A45" s="43">
        <f>B45&amp;"|"&amp;C45&amp;"|"&amp;D45</f>
        <v/>
      </c>
      <c r="B45" s="40" t="n"/>
      <c r="C45" s="40" t="n"/>
      <c r="D45" s="40" t="n"/>
      <c r="E45" s="40" t="n"/>
      <c r="F45" s="40" t="n"/>
      <c r="G45" s="40" t="n"/>
      <c r="H45" s="40" t="n"/>
      <c r="I45" s="40" t="n"/>
      <c r="J45" s="40" t="n"/>
      <c r="K45" s="79">
        <f>IF(J45="THB",1,FXRate)</f>
        <v/>
      </c>
    </row>
    <row r="46" ht="15" customHeight="1" s="54">
      <c r="A46" s="43">
        <f>B46&amp;"|"&amp;C46&amp;"|"&amp;D46</f>
        <v/>
      </c>
      <c r="B46" s="40" t="n"/>
      <c r="C46" s="40" t="n"/>
      <c r="D46" s="40" t="n"/>
      <c r="E46" s="40" t="n"/>
      <c r="F46" s="40" t="n"/>
      <c r="G46" s="40" t="n"/>
      <c r="H46" s="40" t="n"/>
      <c r="I46" s="40" t="n"/>
      <c r="J46" s="40" t="n"/>
      <c r="K46" s="79">
        <f>IF(J46="THB",1,FXRate)</f>
        <v/>
      </c>
    </row>
    <row r="47" ht="15" customHeight="1" s="54">
      <c r="A47" s="43">
        <f>B47&amp;"|"&amp;C47&amp;"|"&amp;D47</f>
        <v/>
      </c>
      <c r="B47" s="40" t="n"/>
      <c r="C47" s="40" t="n"/>
      <c r="D47" s="40" t="n"/>
      <c r="E47" s="40" t="n"/>
      <c r="F47" s="40" t="n"/>
      <c r="G47" s="40" t="n"/>
      <c r="H47" s="40" t="n"/>
      <c r="I47" s="40" t="n"/>
      <c r="J47" s="40" t="n"/>
      <c r="K47" s="79">
        <f>IF(J47="THB",1,FXRate)</f>
        <v/>
      </c>
    </row>
    <row r="48" ht="15" customHeight="1" s="54">
      <c r="A48" s="43">
        <f>B48&amp;"|"&amp;C48&amp;"|"&amp;D48</f>
        <v/>
      </c>
      <c r="B48" s="40" t="n"/>
      <c r="C48" s="40" t="n"/>
      <c r="D48" s="40" t="n"/>
      <c r="E48" s="40" t="n"/>
      <c r="F48" s="40" t="n"/>
      <c r="G48" s="40" t="n"/>
      <c r="H48" s="40" t="n"/>
      <c r="I48" s="40" t="n"/>
      <c r="J48" s="40" t="n"/>
      <c r="K48" s="79">
        <f>IF(J48="THB",1,FXRate)</f>
        <v/>
      </c>
    </row>
    <row r="49" ht="15" customHeight="1" s="54">
      <c r="A49" s="43">
        <f>B49&amp;"|"&amp;C49&amp;"|"&amp;D49</f>
        <v/>
      </c>
      <c r="B49" s="40" t="n"/>
      <c r="C49" s="40" t="n"/>
      <c r="D49" s="40" t="n"/>
      <c r="E49" s="40" t="n"/>
      <c r="F49" s="40" t="n"/>
      <c r="G49" s="40" t="n"/>
      <c r="H49" s="40" t="n"/>
      <c r="I49" s="40" t="n"/>
      <c r="J49" s="40" t="n"/>
      <c r="K49" s="79">
        <f>IF(J49="THB",1,FXRate)</f>
        <v/>
      </c>
    </row>
    <row r="50" ht="15" customHeight="1" s="54">
      <c r="A50" s="43">
        <f>B50&amp;"|"&amp;C50&amp;"|"&amp;D50</f>
        <v/>
      </c>
      <c r="B50" s="40" t="n"/>
      <c r="C50" s="40" t="n"/>
      <c r="D50" s="40" t="n"/>
      <c r="E50" s="40" t="n"/>
      <c r="F50" s="40" t="n"/>
      <c r="G50" s="40" t="n"/>
      <c r="H50" s="40" t="n"/>
      <c r="I50" s="40" t="n"/>
      <c r="J50" s="40" t="n"/>
      <c r="K50" s="79">
        <f>IF(J50="THB",1,FXRate)</f>
        <v/>
      </c>
    </row>
    <row r="51" ht="15" customHeight="1" s="54">
      <c r="A51" s="43">
        <f>B51&amp;"|"&amp;C51&amp;"|"&amp;D51</f>
        <v/>
      </c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79">
        <f>IF(J51="THB",1,FXRate)</f>
        <v/>
      </c>
    </row>
    <row r="52" ht="15" customHeight="1" s="54">
      <c r="A52" s="43">
        <f>B52&amp;"|"&amp;C52&amp;"|"&amp;D52</f>
        <v/>
      </c>
      <c r="B52" s="40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79">
        <f>IF(J52="THB",1,FXRate)</f>
        <v/>
      </c>
    </row>
    <row r="53" ht="15" customHeight="1" s="54">
      <c r="A53" s="43">
        <f>B53&amp;"|"&amp;C53&amp;"|"&amp;D53</f>
        <v/>
      </c>
      <c r="B53" s="40" t="n"/>
      <c r="C53" s="40" t="n"/>
      <c r="D53" s="40" t="n"/>
      <c r="E53" s="40" t="n"/>
      <c r="F53" s="40" t="n"/>
      <c r="G53" s="40" t="n"/>
      <c r="H53" s="40" t="n"/>
      <c r="I53" s="40" t="n"/>
      <c r="J53" s="40" t="n"/>
      <c r="K53" s="79">
        <f>IF(J53="THB",1,FXRate)</f>
        <v/>
      </c>
    </row>
    <row r="54" ht="15" customHeight="1" s="54">
      <c r="A54" s="43">
        <f>B54&amp;"|"&amp;C54&amp;"|"&amp;D54</f>
        <v/>
      </c>
      <c r="B54" s="40" t="n"/>
      <c r="C54" s="40" t="n"/>
      <c r="D54" s="40" t="n"/>
      <c r="E54" s="40" t="n"/>
      <c r="F54" s="40" t="n"/>
      <c r="G54" s="40" t="n"/>
      <c r="H54" s="40" t="n"/>
      <c r="I54" s="40" t="n"/>
      <c r="J54" s="40" t="n"/>
      <c r="K54" s="79">
        <f>IF(J54="THB",1,FXRate)</f>
        <v/>
      </c>
    </row>
    <row r="55" ht="15" customHeight="1" s="54">
      <c r="A55" s="43">
        <f>B55&amp;"|"&amp;C55&amp;"|"&amp;D55</f>
        <v/>
      </c>
      <c r="B55" s="40" t="n"/>
      <c r="C55" s="40" t="n"/>
      <c r="D55" s="40" t="n"/>
      <c r="E55" s="40" t="n"/>
      <c r="F55" s="40" t="n"/>
      <c r="G55" s="40" t="n"/>
      <c r="H55" s="40" t="n"/>
      <c r="I55" s="40" t="n"/>
      <c r="J55" s="40" t="n"/>
      <c r="K55" s="79">
        <f>IF(J55="THB",1,FXRate)</f>
        <v/>
      </c>
    </row>
    <row r="56" ht="15" customHeight="1" s="54">
      <c r="A56" s="43">
        <f>B56&amp;"|"&amp;C56&amp;"|"&amp;D56</f>
        <v/>
      </c>
      <c r="B56" s="40" t="n"/>
      <c r="C56" s="40" t="n"/>
      <c r="D56" s="40" t="n"/>
      <c r="E56" s="40" t="n"/>
      <c r="F56" s="40" t="n"/>
      <c r="G56" s="40" t="n"/>
      <c r="H56" s="40" t="n"/>
      <c r="I56" s="40" t="n"/>
      <c r="J56" s="40" t="n"/>
      <c r="K56" s="79">
        <f>IF(J56="THB",1,FXRate)</f>
        <v/>
      </c>
    </row>
    <row r="57" ht="15" customHeight="1" s="54">
      <c r="A57" s="43">
        <f>B57&amp;"|"&amp;C57&amp;"|"&amp;D57</f>
        <v/>
      </c>
      <c r="B57" s="40" t="n"/>
      <c r="C57" s="40" t="n"/>
      <c r="D57" s="40" t="n"/>
      <c r="E57" s="40" t="n"/>
      <c r="F57" s="40" t="n"/>
      <c r="G57" s="40" t="n"/>
      <c r="H57" s="40" t="n"/>
      <c r="I57" s="40" t="n"/>
      <c r="J57" s="40" t="n"/>
      <c r="K57" s="79">
        <f>IF(J57="THB",1,FXRate)</f>
        <v/>
      </c>
    </row>
    <row r="58" ht="15" customHeight="1" s="54">
      <c r="A58" s="43">
        <f>B58&amp;"|"&amp;C58&amp;"|"&amp;D58</f>
        <v/>
      </c>
      <c r="B58" s="40" t="n"/>
      <c r="C58" s="40" t="n"/>
      <c r="D58" s="40" t="n"/>
      <c r="E58" s="40" t="n"/>
      <c r="F58" s="40" t="n"/>
      <c r="G58" s="40" t="n"/>
      <c r="H58" s="40" t="n"/>
      <c r="I58" s="40" t="n"/>
      <c r="J58" s="40" t="n"/>
      <c r="K58" s="79">
        <f>IF(J58="THB",1,FXRate)</f>
        <v/>
      </c>
    </row>
    <row r="59" ht="15" customHeight="1" s="54">
      <c r="A59" s="43">
        <f>B59&amp;"|"&amp;C59&amp;"|"&amp;D59</f>
        <v/>
      </c>
      <c r="B59" s="40" t="n"/>
      <c r="C59" s="40" t="n"/>
      <c r="D59" s="40" t="n"/>
      <c r="E59" s="40" t="n"/>
      <c r="F59" s="40" t="n"/>
      <c r="G59" s="40" t="n"/>
      <c r="H59" s="40" t="n"/>
      <c r="I59" s="40" t="n"/>
      <c r="J59" s="40" t="n"/>
      <c r="K59" s="79">
        <f>IF(J59="THB",1,FXRate)</f>
        <v/>
      </c>
    </row>
    <row r="60" ht="15" customHeight="1" s="54">
      <c r="A60" s="43">
        <f>B60&amp;"|"&amp;C60&amp;"|"&amp;D60</f>
        <v/>
      </c>
      <c r="B60" s="40" t="n"/>
      <c r="C60" s="40" t="n"/>
      <c r="D60" s="40" t="n"/>
      <c r="E60" s="40" t="n"/>
      <c r="F60" s="40" t="n"/>
      <c r="G60" s="40" t="n"/>
      <c r="H60" s="40" t="n"/>
      <c r="I60" s="40" t="n"/>
      <c r="J60" s="40" t="n"/>
      <c r="K60" s="79">
        <f>IF(J60="THB",1,FXRate)</f>
        <v/>
      </c>
    </row>
    <row r="61" ht="15" customHeight="1" s="54">
      <c r="A61" s="43">
        <f>B61&amp;"|"&amp;C61&amp;"|"&amp;D61</f>
        <v/>
      </c>
      <c r="B61" s="40" t="n"/>
      <c r="C61" s="40" t="n"/>
      <c r="D61" s="40" t="n"/>
      <c r="E61" s="40" t="n"/>
      <c r="F61" s="40" t="n"/>
      <c r="G61" s="40" t="n"/>
      <c r="H61" s="40" t="n"/>
      <c r="I61" s="40" t="n"/>
      <c r="J61" s="40" t="n"/>
      <c r="K61" s="79">
        <f>IF(J61="THB",1,FXRate)</f>
        <v/>
      </c>
    </row>
    <row r="62" ht="15" customHeight="1" s="54">
      <c r="A62" s="43">
        <f>B62&amp;"|"&amp;C62&amp;"|"&amp;D62</f>
        <v/>
      </c>
      <c r="B62" s="40" t="n"/>
      <c r="C62" s="40" t="n"/>
      <c r="D62" s="40" t="n"/>
      <c r="E62" s="40" t="n"/>
      <c r="F62" s="40" t="n"/>
      <c r="G62" s="40" t="n"/>
      <c r="H62" s="40" t="n"/>
      <c r="I62" s="40" t="n"/>
      <c r="J62" s="40" t="n"/>
      <c r="K62" s="79">
        <f>IF(J62="THB",1,FXRate)</f>
        <v/>
      </c>
    </row>
    <row r="63" ht="15" customHeight="1" s="54">
      <c r="A63" s="43">
        <f>B63&amp;"|"&amp;C63&amp;"|"&amp;D63</f>
        <v/>
      </c>
      <c r="B63" s="40" t="n"/>
      <c r="C63" s="40" t="n"/>
      <c r="D63" s="40" t="n"/>
      <c r="E63" s="40" t="n"/>
      <c r="F63" s="40" t="n"/>
      <c r="G63" s="40" t="n"/>
      <c r="H63" s="40" t="n"/>
      <c r="I63" s="40" t="n"/>
      <c r="J63" s="40" t="n"/>
      <c r="K63" s="79">
        <f>IF(J63="THB",1,FXRate)</f>
        <v/>
      </c>
    </row>
    <row r="64" ht="15" customHeight="1" s="54">
      <c r="A64" s="43">
        <f>B64&amp;"|"&amp;C64&amp;"|"&amp;D64</f>
        <v/>
      </c>
      <c r="B64" s="40" t="n"/>
      <c r="C64" s="40" t="n"/>
      <c r="D64" s="40" t="n"/>
      <c r="E64" s="40" t="n"/>
      <c r="F64" s="40" t="n"/>
      <c r="G64" s="40" t="n"/>
      <c r="H64" s="40" t="n"/>
      <c r="I64" s="40" t="n"/>
      <c r="J64" s="40" t="n"/>
      <c r="K64" s="79">
        <f>IF(J64="THB",1,FXRate)</f>
        <v/>
      </c>
    </row>
    <row r="65" ht="15" customHeight="1" s="54">
      <c r="A65" s="43">
        <f>B65&amp;"|"&amp;C65&amp;"|"&amp;D65</f>
        <v/>
      </c>
      <c r="B65" s="40" t="n"/>
      <c r="C65" s="40" t="n"/>
      <c r="D65" s="40" t="n"/>
      <c r="E65" s="40" t="n"/>
      <c r="F65" s="40" t="n"/>
      <c r="G65" s="40" t="n"/>
      <c r="H65" s="40" t="n"/>
      <c r="I65" s="40" t="n"/>
      <c r="J65" s="40" t="n"/>
      <c r="K65" s="79">
        <f>IF(J65="THB",1,FXRate)</f>
        <v/>
      </c>
    </row>
    <row r="66" ht="15" customHeight="1" s="54">
      <c r="A66" s="43">
        <f>B66&amp;"|"&amp;C66&amp;"|"&amp;D66</f>
        <v/>
      </c>
      <c r="B66" s="40" t="n"/>
      <c r="C66" s="40" t="n"/>
      <c r="D66" s="40" t="n"/>
      <c r="E66" s="40" t="n"/>
      <c r="F66" s="40" t="n"/>
      <c r="G66" s="40" t="n"/>
      <c r="H66" s="40" t="n"/>
      <c r="I66" s="40" t="n"/>
      <c r="J66" s="40" t="n"/>
      <c r="K66" s="79">
        <f>IF(J66="THB",1,FXRate)</f>
        <v/>
      </c>
    </row>
    <row r="67" ht="15" customHeight="1" s="54">
      <c r="A67" s="43">
        <f>B67&amp;"|"&amp;C67&amp;"|"&amp;D67</f>
        <v/>
      </c>
      <c r="B67" s="40" t="n"/>
      <c r="C67" s="40" t="n"/>
      <c r="D67" s="40" t="n"/>
      <c r="E67" s="40" t="n"/>
      <c r="F67" s="40" t="n"/>
      <c r="G67" s="40" t="n"/>
      <c r="H67" s="40" t="n"/>
      <c r="I67" s="40" t="n"/>
      <c r="J67" s="40" t="n"/>
      <c r="K67" s="79">
        <f>IF(J67="THB",1,FXRate)</f>
        <v/>
      </c>
    </row>
    <row r="68" ht="15" customHeight="1" s="54">
      <c r="A68" s="43">
        <f>B68&amp;"|"&amp;C68&amp;"|"&amp;D68</f>
        <v/>
      </c>
      <c r="B68" s="40" t="n"/>
      <c r="C68" s="40" t="n"/>
      <c r="D68" s="40" t="n"/>
      <c r="E68" s="40" t="n"/>
      <c r="F68" s="40" t="n"/>
      <c r="G68" s="40" t="n"/>
      <c r="H68" s="40" t="n"/>
      <c r="I68" s="40" t="n"/>
      <c r="J68" s="40" t="n"/>
      <c r="K68" s="79">
        <f>IF(J68="THB",1,FXRate)</f>
        <v/>
      </c>
    </row>
    <row r="69" ht="15" customHeight="1" s="54">
      <c r="A69" s="43">
        <f>B69&amp;"|"&amp;C69&amp;"|"&amp;D69</f>
        <v/>
      </c>
      <c r="B69" s="40" t="n"/>
      <c r="C69" s="40" t="n"/>
      <c r="D69" s="40" t="n"/>
      <c r="E69" s="40" t="n"/>
      <c r="F69" s="40" t="n"/>
      <c r="G69" s="40" t="n"/>
      <c r="H69" s="40" t="n"/>
      <c r="I69" s="40" t="n"/>
      <c r="J69" s="40" t="n"/>
      <c r="K69" s="79">
        <f>IF(J69="THB",1,FXRate)</f>
        <v/>
      </c>
    </row>
    <row r="70" ht="15" customHeight="1" s="54">
      <c r="A70" s="43">
        <f>B70&amp;"|"&amp;C70&amp;"|"&amp;D70</f>
        <v/>
      </c>
      <c r="B70" s="40" t="n"/>
      <c r="C70" s="40" t="n"/>
      <c r="D70" s="40" t="n"/>
      <c r="E70" s="40" t="n"/>
      <c r="F70" s="40" t="n"/>
      <c r="G70" s="40" t="n"/>
      <c r="H70" s="40" t="n"/>
      <c r="I70" s="40" t="n"/>
      <c r="J70" s="40" t="n"/>
      <c r="K70" s="79">
        <f>IF(J70="THB",1,FXRate)</f>
        <v/>
      </c>
    </row>
    <row r="71" ht="15" customHeight="1" s="54">
      <c r="A71" s="43">
        <f>B71&amp;"|"&amp;C71&amp;"|"&amp;D71</f>
        <v/>
      </c>
      <c r="B71" s="40" t="n"/>
      <c r="C71" s="40" t="n"/>
      <c r="D71" s="40" t="n"/>
      <c r="E71" s="40" t="n"/>
      <c r="F71" s="40" t="n"/>
      <c r="G71" s="40" t="n"/>
      <c r="H71" s="40" t="n"/>
      <c r="I71" s="40" t="n"/>
      <c r="J71" s="40" t="n"/>
      <c r="K71" s="79">
        <f>IF(J71="THB",1,FXRate)</f>
        <v/>
      </c>
    </row>
    <row r="72" ht="15" customHeight="1" s="54">
      <c r="A72" s="43">
        <f>B72&amp;"|"&amp;C72&amp;"|"&amp;D72</f>
        <v/>
      </c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79">
        <f>IF(J72="THB",1,FXRate)</f>
        <v/>
      </c>
    </row>
    <row r="73" ht="15" customHeight="1" s="54">
      <c r="A73" s="43">
        <f>B73&amp;"|"&amp;C73&amp;"|"&amp;D73</f>
        <v/>
      </c>
      <c r="B73" s="40" t="n"/>
      <c r="C73" s="40" t="n"/>
      <c r="D73" s="40" t="n"/>
      <c r="E73" s="40" t="n"/>
      <c r="F73" s="40" t="n"/>
      <c r="G73" s="40" t="n"/>
      <c r="H73" s="40" t="n"/>
      <c r="I73" s="40" t="n"/>
      <c r="J73" s="40" t="n"/>
      <c r="K73" s="79">
        <f>IF(J73="THB",1,FXRate)</f>
        <v/>
      </c>
    </row>
    <row r="74" ht="15" customHeight="1" s="54">
      <c r="A74" s="43">
        <f>B74&amp;"|"&amp;C74&amp;"|"&amp;D74</f>
        <v/>
      </c>
      <c r="B74" s="40" t="n"/>
      <c r="C74" s="40" t="n"/>
      <c r="D74" s="40" t="n"/>
      <c r="E74" s="40" t="n"/>
      <c r="F74" s="40" t="n"/>
      <c r="G74" s="40" t="n"/>
      <c r="H74" s="40" t="n"/>
      <c r="I74" s="40" t="n"/>
      <c r="J74" s="40" t="n"/>
      <c r="K74" s="79">
        <f>IF(J74="THB",1,FXRate)</f>
        <v/>
      </c>
    </row>
    <row r="75" ht="15" customHeight="1" s="54">
      <c r="A75" s="43">
        <f>B75&amp;"|"&amp;C75&amp;"|"&amp;D75</f>
        <v/>
      </c>
      <c r="B75" s="40" t="n"/>
      <c r="C75" s="40" t="n"/>
      <c r="D75" s="40" t="n"/>
      <c r="E75" s="40" t="n"/>
      <c r="F75" s="40" t="n"/>
      <c r="G75" s="40" t="n"/>
      <c r="H75" s="40" t="n"/>
      <c r="I75" s="40" t="n"/>
      <c r="J75" s="40" t="n"/>
      <c r="K75" s="79">
        <f>IF(J75="THB",1,FXRate)</f>
        <v/>
      </c>
    </row>
    <row r="76" ht="15" customHeight="1" s="54">
      <c r="A76" s="43">
        <f>B76&amp;"|"&amp;C76&amp;"|"&amp;D76</f>
        <v/>
      </c>
      <c r="B76" s="40" t="n"/>
      <c r="C76" s="40" t="n"/>
      <c r="D76" s="40" t="n"/>
      <c r="E76" s="40" t="n"/>
      <c r="F76" s="40" t="n"/>
      <c r="G76" s="40" t="n"/>
      <c r="H76" s="40" t="n"/>
      <c r="I76" s="40" t="n"/>
      <c r="J76" s="40" t="n"/>
      <c r="K76" s="79">
        <f>IF(J76="THB",1,FXRate)</f>
        <v/>
      </c>
    </row>
    <row r="77" ht="15" customHeight="1" s="54">
      <c r="A77" s="43">
        <f>B77&amp;"|"&amp;C77&amp;"|"&amp;D77</f>
        <v/>
      </c>
      <c r="B77" s="40" t="n"/>
      <c r="C77" s="40" t="n"/>
      <c r="D77" s="40" t="n"/>
      <c r="E77" s="40" t="n"/>
      <c r="F77" s="40" t="n"/>
      <c r="G77" s="40" t="n"/>
      <c r="H77" s="40" t="n"/>
      <c r="I77" s="40" t="n"/>
      <c r="J77" s="40" t="n"/>
      <c r="K77" s="79">
        <f>IF(J77="THB",1,FXRate)</f>
        <v/>
      </c>
    </row>
    <row r="78" ht="15" customHeight="1" s="54">
      <c r="A78" s="43">
        <f>B78&amp;"|"&amp;C78&amp;"|"&amp;D78</f>
        <v/>
      </c>
      <c r="B78" s="40" t="n"/>
      <c r="C78" s="40" t="n"/>
      <c r="D78" s="40" t="n"/>
      <c r="E78" s="40" t="n"/>
      <c r="F78" s="40" t="n"/>
      <c r="G78" s="40" t="n"/>
      <c r="H78" s="40" t="n"/>
      <c r="I78" s="40" t="n"/>
      <c r="J78" s="40" t="n"/>
      <c r="K78" s="79">
        <f>IF(J78="THB",1,FXRate)</f>
        <v/>
      </c>
    </row>
    <row r="79" ht="15" customHeight="1" s="54">
      <c r="A79" s="43">
        <f>B79&amp;"|"&amp;C79&amp;"|"&amp;D79</f>
        <v/>
      </c>
      <c r="B79" s="40" t="n"/>
      <c r="C79" s="40" t="n"/>
      <c r="D79" s="40" t="n"/>
      <c r="E79" s="40" t="n"/>
      <c r="F79" s="40" t="n"/>
      <c r="G79" s="40" t="n"/>
      <c r="H79" s="40" t="n"/>
      <c r="I79" s="40" t="n"/>
      <c r="J79" s="40" t="n"/>
      <c r="K79" s="79">
        <f>IF(J79="THB",1,FXRate)</f>
        <v/>
      </c>
    </row>
    <row r="80" ht="15" customHeight="1" s="54">
      <c r="A80" s="43">
        <f>B80&amp;"|"&amp;C80&amp;"|"&amp;D80</f>
        <v/>
      </c>
      <c r="B80" s="40" t="n"/>
      <c r="C80" s="40" t="n"/>
      <c r="D80" s="40" t="n"/>
      <c r="E80" s="40" t="n"/>
      <c r="F80" s="40" t="n"/>
      <c r="G80" s="40" t="n"/>
      <c r="H80" s="40" t="n"/>
      <c r="I80" s="40" t="n"/>
      <c r="J80" s="40" t="n"/>
      <c r="K80" s="79">
        <f>IF(J80="THB",1,FXRate)</f>
        <v/>
      </c>
    </row>
    <row r="81" ht="15" customHeight="1" s="54">
      <c r="A81" s="43">
        <f>B81&amp;"|"&amp;C81&amp;"|"&amp;D81</f>
        <v/>
      </c>
      <c r="B81" s="40" t="n"/>
      <c r="C81" s="40" t="n"/>
      <c r="D81" s="40" t="n"/>
      <c r="E81" s="40" t="n"/>
      <c r="F81" s="40" t="n"/>
      <c r="G81" s="40" t="n"/>
      <c r="H81" s="40" t="n"/>
      <c r="I81" s="40" t="n"/>
      <c r="J81" s="40" t="n"/>
      <c r="K81" s="79">
        <f>IF(J81="THB",1,FXRate)</f>
        <v/>
      </c>
    </row>
    <row r="82" ht="15" customHeight="1" s="54">
      <c r="A82" s="43">
        <f>B82&amp;"|"&amp;C82&amp;"|"&amp;D82</f>
        <v/>
      </c>
      <c r="B82" s="40" t="n"/>
      <c r="C82" s="40" t="n"/>
      <c r="D82" s="40" t="n"/>
      <c r="E82" s="40" t="n"/>
      <c r="F82" s="40" t="n"/>
      <c r="G82" s="40" t="n"/>
      <c r="H82" s="40" t="n"/>
      <c r="I82" s="40" t="n"/>
      <c r="J82" s="40" t="n"/>
      <c r="K82" s="79">
        <f>IF(J82="THB",1,FXRate)</f>
        <v/>
      </c>
    </row>
    <row r="83" ht="15" customHeight="1" s="54">
      <c r="A83" s="43">
        <f>B83&amp;"|"&amp;C83&amp;"|"&amp;D83</f>
        <v/>
      </c>
      <c r="B83" s="40" t="n"/>
      <c r="C83" s="40" t="n"/>
      <c r="D83" s="40" t="n"/>
      <c r="E83" s="40" t="n"/>
      <c r="F83" s="40" t="n"/>
      <c r="G83" s="40" t="n"/>
      <c r="H83" s="40" t="n"/>
      <c r="I83" s="40" t="n"/>
      <c r="J83" s="40" t="n"/>
      <c r="K83" s="79">
        <f>IF(J83="THB",1,FXRate)</f>
        <v/>
      </c>
    </row>
    <row r="84" ht="15" customHeight="1" s="54">
      <c r="A84" s="43">
        <f>B84&amp;"|"&amp;C84&amp;"|"&amp;D84</f>
        <v/>
      </c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79">
        <f>IF(J84="THB",1,FXRate)</f>
        <v/>
      </c>
    </row>
    <row r="85" ht="15" customHeight="1" s="54">
      <c r="A85" s="43">
        <f>B85&amp;"|"&amp;C85&amp;"|"&amp;D85</f>
        <v/>
      </c>
      <c r="B85" s="40" t="n"/>
      <c r="C85" s="40" t="n"/>
      <c r="D85" s="40" t="n"/>
      <c r="E85" s="40" t="n"/>
      <c r="F85" s="40" t="n"/>
      <c r="G85" s="40" t="n"/>
      <c r="H85" s="40" t="n"/>
      <c r="I85" s="40" t="n"/>
      <c r="J85" s="40" t="n"/>
      <c r="K85" s="79">
        <f>IF(J85="THB",1,FXRate)</f>
        <v/>
      </c>
    </row>
    <row r="86" ht="15" customHeight="1" s="54">
      <c r="A86" s="43">
        <f>B86&amp;"|"&amp;C86&amp;"|"&amp;D86</f>
        <v/>
      </c>
      <c r="B86" s="40" t="n"/>
      <c r="C86" s="40" t="n"/>
      <c r="D86" s="40" t="n"/>
      <c r="E86" s="40" t="n"/>
      <c r="F86" s="40" t="n"/>
      <c r="G86" s="40" t="n"/>
      <c r="H86" s="40" t="n"/>
      <c r="I86" s="40" t="n"/>
      <c r="J86" s="40" t="n"/>
      <c r="K86" s="79">
        <f>IF(J86="THB",1,FXRate)</f>
        <v/>
      </c>
    </row>
    <row r="87" ht="15" customHeight="1" s="54">
      <c r="A87" s="43">
        <f>B87&amp;"|"&amp;C87&amp;"|"&amp;D87</f>
        <v/>
      </c>
      <c r="B87" s="40" t="n"/>
      <c r="C87" s="40" t="n"/>
      <c r="D87" s="40" t="n"/>
      <c r="E87" s="40" t="n"/>
      <c r="F87" s="40" t="n"/>
      <c r="G87" s="40" t="n"/>
      <c r="H87" s="40" t="n"/>
      <c r="I87" s="40" t="n"/>
      <c r="J87" s="40" t="n"/>
      <c r="K87" s="79">
        <f>IF(J87="THB",1,FXRate)</f>
        <v/>
      </c>
    </row>
    <row r="88" ht="15" customHeight="1" s="54">
      <c r="A88" s="43">
        <f>B88&amp;"|"&amp;C88&amp;"|"&amp;D88</f>
        <v/>
      </c>
      <c r="B88" s="40" t="n"/>
      <c r="C88" s="40" t="n"/>
      <c r="D88" s="40" t="n"/>
      <c r="E88" s="40" t="n"/>
      <c r="F88" s="40" t="n"/>
      <c r="G88" s="40" t="n"/>
      <c r="H88" s="40" t="n"/>
      <c r="I88" s="40" t="n"/>
      <c r="J88" s="40" t="n"/>
      <c r="K88" s="79">
        <f>IF(J88="THB",1,FXRate)</f>
        <v/>
      </c>
    </row>
    <row r="89" ht="15" customHeight="1" s="54">
      <c r="A89" s="43">
        <f>B89&amp;"|"&amp;C89&amp;"|"&amp;D89</f>
        <v/>
      </c>
      <c r="B89" s="40" t="n"/>
      <c r="C89" s="40" t="n"/>
      <c r="D89" s="40" t="n"/>
      <c r="E89" s="40" t="n"/>
      <c r="F89" s="40" t="n"/>
      <c r="G89" s="40" t="n"/>
      <c r="H89" s="40" t="n"/>
      <c r="I89" s="40" t="n"/>
      <c r="J89" s="40" t="n"/>
      <c r="K89" s="79">
        <f>IF(J89="THB",1,FXRate)</f>
        <v/>
      </c>
    </row>
    <row r="90" ht="15" customHeight="1" s="54">
      <c r="A90" s="43">
        <f>B90&amp;"|"&amp;C90&amp;"|"&amp;D90</f>
        <v/>
      </c>
      <c r="B90" s="40" t="n"/>
      <c r="C90" s="40" t="n"/>
      <c r="D90" s="40" t="n"/>
      <c r="E90" s="40" t="n"/>
      <c r="F90" s="40" t="n"/>
      <c r="G90" s="40" t="n"/>
      <c r="H90" s="40" t="n"/>
      <c r="I90" s="40" t="n"/>
      <c r="J90" s="40" t="n"/>
      <c r="K90" s="79">
        <f>IF(J90="THB",1,FXRate)</f>
        <v/>
      </c>
    </row>
    <row r="91" ht="15" customHeight="1" s="54">
      <c r="A91" s="43">
        <f>B91&amp;"|"&amp;C91&amp;"|"&amp;D91</f>
        <v/>
      </c>
      <c r="B91" s="40" t="n"/>
      <c r="C91" s="40" t="n"/>
      <c r="D91" s="40" t="n"/>
      <c r="E91" s="40" t="n"/>
      <c r="F91" s="40" t="n"/>
      <c r="G91" s="40" t="n"/>
      <c r="H91" s="40" t="n"/>
      <c r="I91" s="40" t="n"/>
      <c r="J91" s="40" t="n"/>
      <c r="K91" s="79">
        <f>IF(J91="THB",1,FXRate)</f>
        <v/>
      </c>
    </row>
    <row r="92" ht="15" customHeight="1" s="54">
      <c r="A92" s="43">
        <f>B92&amp;"|"&amp;C92&amp;"|"&amp;D92</f>
        <v/>
      </c>
      <c r="B92" s="40" t="n"/>
      <c r="C92" s="40" t="n"/>
      <c r="D92" s="40" t="n"/>
      <c r="E92" s="40" t="n"/>
      <c r="F92" s="40" t="n"/>
      <c r="G92" s="40" t="n"/>
      <c r="H92" s="40" t="n"/>
      <c r="I92" s="40" t="n"/>
      <c r="J92" s="40" t="n"/>
      <c r="K92" s="79">
        <f>IF(J92="THB",1,FXRate)</f>
        <v/>
      </c>
    </row>
    <row r="93" ht="15" customHeight="1" s="54">
      <c r="A93" s="43">
        <f>B93&amp;"|"&amp;C93&amp;"|"&amp;D93</f>
        <v/>
      </c>
      <c r="B93" s="40" t="n"/>
      <c r="C93" s="40" t="n"/>
      <c r="D93" s="40" t="n"/>
      <c r="E93" s="40" t="n"/>
      <c r="F93" s="40" t="n"/>
      <c r="G93" s="40" t="n"/>
      <c r="H93" s="40" t="n"/>
      <c r="I93" s="40" t="n"/>
      <c r="J93" s="40" t="n"/>
      <c r="K93" s="79">
        <f>IF(J93="THB",1,FXRate)</f>
        <v/>
      </c>
    </row>
    <row r="94" ht="15" customHeight="1" s="54">
      <c r="A94" s="43">
        <f>B94&amp;"|"&amp;C94&amp;"|"&amp;D94</f>
        <v/>
      </c>
      <c r="B94" s="40" t="n"/>
      <c r="C94" s="40" t="n"/>
      <c r="D94" s="40" t="n"/>
      <c r="E94" s="40" t="n"/>
      <c r="F94" s="40" t="n"/>
      <c r="G94" s="40" t="n"/>
      <c r="H94" s="40" t="n"/>
      <c r="I94" s="40" t="n"/>
      <c r="J94" s="40" t="n"/>
      <c r="K94" s="79">
        <f>IF(J94="THB",1,FXRate)</f>
        <v/>
      </c>
    </row>
    <row r="95" ht="15" customHeight="1" s="54">
      <c r="A95" s="43">
        <f>B95&amp;"|"&amp;C95&amp;"|"&amp;D95</f>
        <v/>
      </c>
      <c r="B95" s="40" t="n"/>
      <c r="C95" s="40" t="n"/>
      <c r="D95" s="40" t="n"/>
      <c r="E95" s="40" t="n"/>
      <c r="F95" s="40" t="n"/>
      <c r="G95" s="40" t="n"/>
      <c r="H95" s="40" t="n"/>
      <c r="I95" s="40" t="n"/>
      <c r="J95" s="40" t="n"/>
      <c r="K95" s="79">
        <f>IF(J95="THB",1,FXRate)</f>
        <v/>
      </c>
    </row>
    <row r="96" ht="15" customHeight="1" s="54">
      <c r="A96" s="43">
        <f>B96&amp;"|"&amp;C96&amp;"|"&amp;D96</f>
        <v/>
      </c>
      <c r="B96" s="40" t="n"/>
      <c r="C96" s="40" t="n"/>
      <c r="D96" s="40" t="n"/>
      <c r="E96" s="40" t="n"/>
      <c r="F96" s="40" t="n"/>
      <c r="G96" s="40" t="n"/>
      <c r="H96" s="40" t="n"/>
      <c r="I96" s="40" t="n"/>
      <c r="J96" s="40" t="n"/>
      <c r="K96" s="79">
        <f>IF(J96="THB",1,FXRate)</f>
        <v/>
      </c>
    </row>
    <row r="97" ht="15" customHeight="1" s="54">
      <c r="A97" s="43">
        <f>B97&amp;"|"&amp;C97&amp;"|"&amp;D97</f>
        <v/>
      </c>
      <c r="B97" s="40" t="n"/>
      <c r="C97" s="40" t="n"/>
      <c r="D97" s="40" t="n"/>
      <c r="E97" s="40" t="n"/>
      <c r="F97" s="40" t="n"/>
      <c r="G97" s="40" t="n"/>
      <c r="H97" s="40" t="n"/>
      <c r="I97" s="40" t="n"/>
      <c r="J97" s="40" t="n"/>
      <c r="K97" s="79">
        <f>IF(J97="THB",1,FXRate)</f>
        <v/>
      </c>
    </row>
    <row r="98" ht="15" customHeight="1" s="54">
      <c r="A98" s="43">
        <f>B98&amp;"|"&amp;C98&amp;"|"&amp;D98</f>
        <v/>
      </c>
      <c r="B98" s="40" t="n"/>
      <c r="C98" s="40" t="n"/>
      <c r="D98" s="40" t="n"/>
      <c r="E98" s="40" t="n"/>
      <c r="F98" s="40" t="n"/>
      <c r="G98" s="40" t="n"/>
      <c r="H98" s="40" t="n"/>
      <c r="I98" s="40" t="n"/>
      <c r="J98" s="40" t="n"/>
      <c r="K98" s="79">
        <f>IF(J98="THB",1,FXRate)</f>
        <v/>
      </c>
    </row>
    <row r="99" ht="15" customHeight="1" s="54">
      <c r="A99" s="43">
        <f>B99&amp;"|"&amp;C99&amp;"|"&amp;D99</f>
        <v/>
      </c>
      <c r="B99" s="40" t="n"/>
      <c r="C99" s="40" t="n"/>
      <c r="D99" s="40" t="n"/>
      <c r="E99" s="40" t="n"/>
      <c r="F99" s="40" t="n"/>
      <c r="G99" s="40" t="n"/>
      <c r="H99" s="40" t="n"/>
      <c r="I99" s="40" t="n"/>
      <c r="J99" s="40" t="n"/>
      <c r="K99" s="79">
        <f>IF(J99="THB",1,FXRate)</f>
        <v/>
      </c>
    </row>
  </sheetData>
  <mergeCells count="1">
    <mergeCell ref="A2:K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2026-04-18T15:58:57Z</dcterms:created>
  <dcterms:modified xsi:type="dcterms:W3CDTF">2026-05-30T11:26:08Z</dcterms:modified>
  <cp:lastModifiedBy>veerasak supakatitham</cp:lastModifiedBy>
  <cp:revision>3</cp:revision>
</cp:coreProperties>
</file>