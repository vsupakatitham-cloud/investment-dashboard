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-1880" windowWidth="38400" windowHeight="21000" tabRatio="500" firstSheet="0" activeTab="1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FX &amp; Assumptions" sheetId="4" state="visible" r:id="rId4"/>
    <sheet name="Prices" sheetId="5" state="visible" r:id="rId5"/>
    <sheet name="MF - Lots" sheetId="6" state="visible" r:id="rId6"/>
    <sheet name="MF - by Fund" sheetId="7" state="visible" r:id="rId7"/>
    <sheet name="Equities - Lots" sheetId="8" state="visible" r:id="rId8"/>
    <sheet name="Equities - by Ticker" sheetId="9" state="visible" r:id="rId9"/>
    <sheet name="Crypto - Lots" sheetId="10" state="visible" r:id="rId10"/>
    <sheet name="Crypto - by Coin" sheetId="11" state="visible" r:id="rId11"/>
    <sheet name="Unit Trust (SGD)" sheetId="12" state="visible" r:id="rId12"/>
    <sheet name="Reference" sheetId="13" state="visible" r:id="rId13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5" hidden="1">'MF - Lots'!$A$4:$S$166</definedName>
    <definedName name="_xlnm._FilterDatabase" localSheetId="6" hidden="1">'MF - by Fund'!$A$4:$M$38</definedName>
    <definedName name="_xlnm._FilterDatabase" localSheetId="7" hidden="1">'Equities - Lots'!$A$4:$P$45</definedName>
    <definedName name="_xlnm._FilterDatabase" localSheetId="8" hidden="1">'Equities - by Ticker'!$A$4:$M$50</definedName>
    <definedName name="_xlnm._FilterDatabase" localSheetId="9" hidden="1">'Crypto - Lots'!$A$4:$O$30</definedName>
    <definedName name="_xlnm._FilterDatabase" localSheetId="10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</numFmts>
  <fonts count="21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b val="1"/>
      <color rgb="FF0B3D2E"/>
      <sz val="13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name val="Calibri"/>
      <family val="2"/>
      <b val="1"/>
      <sz val="11"/>
    </font>
  </fonts>
  <fills count="9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6" fillId="0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20" fillId="0" borderId="0" pivotButton="0" quotePrefix="0" xfId="0"/>
    <xf numFmtId="3" fontId="20" fillId="0" borderId="0" pivotButton="0" quotePrefix="0" xfId="0"/>
    <xf numFmtId="172" fontId="20" fillId="0" borderId="0" pivotButton="0" quotePrefix="0" xfId="0"/>
    <xf numFmtId="166" fontId="8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165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21255050.27824581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467655.2897172199</v>
                </pt>
                <pt idx="5">
                  <v>1339357.695333446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7226409.740020407</v>
                </pt>
                <pt idx="2">
                  <v>4018012.204820406</v>
                </pt>
                <pt idx="3">
                  <v>5877663.902051419</v>
                </pt>
                <pt idx="4">
                  <v>1306914.7381852</v>
                </pt>
                <pt idx="5">
                  <v>923367.5510612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8525182.593260219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6591384.475767633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US Large Cap</v>
                </pt>
                <pt idx="1">
                  <v>Korea</v>
                </pt>
                <pt idx="2">
                  <v>Thai Equity</v>
                </pt>
                <pt idx="3">
                  <v>Healthcare</v>
                </pt>
                <pt idx="4">
                  <v>Crypto (All)</v>
                </pt>
                <pt idx="5">
                  <v>Vietnam Equity</v>
                </pt>
                <pt idx="6">
                  <v>Thai Single Stock</v>
                </pt>
                <pt idx="7">
                  <v>Thai Balanced</v>
                </pt>
                <pt idx="8">
                  <v>TH Gov Bond</v>
                </pt>
                <pt idx="9">
                  <v>China Equity</v>
                </pt>
                <pt idx="10">
                  <v>US Single Stock</v>
                </pt>
                <pt idx="11">
                  <v>Gold</v>
                </pt>
                <pt idx="12">
                  <v>Brokerage Cash</v>
                </pt>
                <pt idx="13">
                  <v>Thai SET50</v>
                </pt>
                <pt idx="14">
                  <v>AI / Innovation</v>
                </pt>
                <pt idx="15">
                  <v>Japan Equity</v>
                </pt>
                <pt idx="16">
                  <v>Semiconductor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4270949.259645481</v>
                </pt>
                <pt idx="2">
                  <v>5877663.902051419</v>
                </pt>
                <pt idx="3">
                  <v>2181164.07131859</v>
                </pt>
                <pt idx="4">
                  <v>1762560.34767768</v>
                </pt>
                <pt idx="5">
                  <v>1339357.695333446</v>
                </pt>
                <pt idx="6">
                  <v>1306914.7381852</v>
                </pt>
                <pt idx="7">
                  <v>1301012.2</v>
                </pt>
                <pt idx="8">
                  <v>1088786.78689293</v>
                </pt>
                <pt idx="9">
                  <v>939725.7063129999</v>
                </pt>
                <pt idx="10">
                  <v>923367.5510612</v>
                </pt>
                <pt idx="11">
                  <v>2482570.501174927</v>
                </pt>
                <pt idx="12">
                  <v>522024.4480270799</v>
                </pt>
                <pt idx="13">
                  <v>456803.4291999999</v>
                </pt>
                <pt idx="14">
                  <v>230258.64429128</v>
                </pt>
                <pt idx="15">
                  <v>248184.15844066</v>
                </pt>
                <pt idx="16">
                  <v>130615.30851136</v>
                </pt>
                <pt idx="17">
                  <v>145885.55534154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63" min="1" max="1"/>
    <col width="120" customWidth="1" style="63" min="2" max="2"/>
  </cols>
  <sheetData>
    <row r="2" ht="31.5" customHeight="1" s="63">
      <c r="B2" s="67" t="inlineStr">
        <is>
          <t>TH INVESTMENT — PRIVATE BANKING SUMMARY</t>
        </is>
      </c>
    </row>
    <row r="4" ht="21.75" customHeight="1" s="63">
      <c r="B4" s="62" t="inlineStr">
        <is>
          <t>Weekly Update Workflow</t>
        </is>
      </c>
    </row>
    <row r="6" ht="30" customHeight="1" s="63">
      <c r="B6" s="4" t="inlineStr">
        <is>
          <t>1.  Open "FX &amp; Assumptions" — update the As-of Date and USDTHB spot rate (yellow cells).</t>
        </is>
      </c>
    </row>
    <row r="7" ht="30" customHeight="1" s="63">
      <c r="B7" s="4" t="inlineStr">
        <is>
          <t>2.  Open "Prices" — update the yellow "Current Price / NAV" column for every MF, Equity, and Crypto row.</t>
        </is>
      </c>
    </row>
    <row r="8" ht="30" customHeight="1" s="63">
      <c r="B8" s="4" t="inlineStr">
        <is>
          <t>3.  All holdings, rollups, and the Dashboard refresh automatically once prices are entered.</t>
        </is>
      </c>
    </row>
    <row r="9" ht="30" customHeight="1" s="63">
      <c r="B9" s="4" t="inlineStr">
        <is>
          <t>4.  Open "Weekly Snapshot" — copy the "Current Week" row (values only) into the next empty row to log week-over-week history.</t>
        </is>
      </c>
    </row>
    <row r="10" ht="30" customHeight="1" s="63">
      <c r="B10" s="4" t="inlineStr">
        <is>
          <t>5.  To reclassify holdings (asset class / geography / theme / tax status), edit the "Reference" sheet.</t>
        </is>
      </c>
    </row>
    <row r="11" ht="30" customHeight="1" s="63">
      <c r="B11" s="4" t="inlineStr">
        <is>
          <t>6.  Color coding: Yellow fill + blue text = user input   |   Black text = formula   |   Green text = cross-sheet link.</t>
        </is>
      </c>
    </row>
    <row r="12" ht="30" customHeight="1" s="63">
      <c r="B12" s="4" t="inlineStr">
        <is>
          <t>7.  Never overwrite black or green text — those are live formulas.</t>
        </is>
      </c>
    </row>
    <row r="14" ht="21.75" customHeight="1" s="63">
      <c r="B14" s="62" t="inlineStr">
        <is>
          <t>Sheet Map</t>
        </is>
      </c>
    </row>
    <row r="16" ht="21.75" customHeight="1" s="63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63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63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63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63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63">
      <c r="B21" s="5" t="inlineStr">
        <is>
          <t xml:space="preserve">   •  MF – by Fund — Mutual fund rollup aggregated by fund name across all lots.</t>
        </is>
      </c>
    </row>
    <row r="22" ht="21.75" customHeight="1" s="63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63">
      <c r="B23" s="5" t="inlineStr">
        <is>
          <t xml:space="preserve">   •  Equities – by Ticker — Equity rollup aggregated by ticker.</t>
        </is>
      </c>
    </row>
    <row r="24" ht="21.75" customHeight="1" s="63">
      <c r="B24" s="5" t="inlineStr">
        <is>
          <t xml:space="preserve">   •  Crypto – Lots — Lot-level crypto positions across OKX / Binance / Bitkub / Bitazza.</t>
        </is>
      </c>
    </row>
    <row r="25" ht="21.75" customHeight="1" s="63">
      <c r="B25" s="5" t="inlineStr">
        <is>
          <t xml:space="preserve">   •  Crypto – by Coin — Crypto rollup aggregated by coin.</t>
        </is>
      </c>
    </row>
    <row r="26" ht="21.75" customHeight="1" s="63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63">
      <c r="B28" s="62" t="inlineStr">
        <is>
          <t>Design notes</t>
        </is>
      </c>
    </row>
    <row r="30" ht="21.75" customHeight="1" s="63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63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63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63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zoomScaleNormal="100" workbookViewId="0">
      <selection activeCell="D20" sqref="D20"/>
    </sheetView>
  </sheetViews>
  <sheetFormatPr baseColWidth="10" defaultColWidth="8.6640625" defaultRowHeight="15"/>
  <cols>
    <col width="2" customWidth="1" style="63" min="1" max="1"/>
    <col width="18.6640625" customWidth="1" style="63" min="2" max="2"/>
    <col width="11.1640625" customWidth="1" style="63" min="3" max="3"/>
    <col width="12.33203125" customWidth="1" style="63" min="4" max="4"/>
    <col width="8.33203125" customWidth="1" style="63" min="5" max="5"/>
    <col width="10.1640625" customWidth="1" style="63" min="6" max="6"/>
    <col width="18" customWidth="1" style="63" min="7" max="7"/>
    <col width="13" customWidth="1" style="63" min="8" max="8"/>
    <col width="16" customWidth="1" style="63" min="9" max="9"/>
    <col width="18.33203125" customWidth="1" style="63" min="10" max="10"/>
    <col width="12.33203125" customWidth="1" style="63" min="11" max="11"/>
    <col width="10.1640625" customWidth="1" style="63" min="12" max="12"/>
    <col hidden="1" width="13" customWidth="1" style="63" min="14" max="16"/>
  </cols>
  <sheetData>
    <row r="2" ht="36" customHeight="1" s="63">
      <c r="B2" s="67" t="inlineStr">
        <is>
          <t>PORTFOLIO DASHBOARD</t>
        </is>
      </c>
    </row>
    <row r="3" ht="19.5" customHeight="1" s="63">
      <c r="B3" s="6" t="inlineStr">
        <is>
          <t>As of:</t>
        </is>
      </c>
      <c r="C3" s="7">
        <f>AsOfDate</f>
        <v/>
      </c>
    </row>
    <row r="5" ht="21.75" customHeight="1" s="63">
      <c r="B5" s="62" t="inlineStr">
        <is>
          <t>SUMMARY METRICS</t>
        </is>
      </c>
    </row>
    <row r="7" ht="21.75" customHeight="1" s="63">
      <c r="B7" s="66" t="inlineStr">
        <is>
          <t>TOTAL PORTFOLIO VALUE (THB)</t>
        </is>
      </c>
      <c r="C7" s="60" t="n"/>
      <c r="D7" s="61" t="n"/>
      <c r="F7" s="66" t="inlineStr">
        <is>
          <t>TOTAL INVESTED (THB)</t>
        </is>
      </c>
      <c r="G7" s="60" t="n"/>
      <c r="H7" s="61" t="n"/>
      <c r="J7" s="66" t="inlineStr">
        <is>
          <t>UNREALIZED P&amp;L (THB)</t>
        </is>
      </c>
      <c r="K7" s="60" t="n"/>
      <c r="L7" s="61" t="n"/>
    </row>
    <row r="8" ht="42" customHeight="1" s="63">
      <c r="B8" s="64">
        <f>'MF - Lots'!P167+'Equities - Lots'!M53+'Crypto - Lots'!K32</f>
        <v/>
      </c>
      <c r="C8" s="60" t="n"/>
      <c r="D8" s="61" t="n"/>
      <c r="F8" s="64">
        <f>'MF - Lots'!O167+'Equities - Lots'!L53+'Crypto - Lots'!J32</f>
        <v/>
      </c>
      <c r="G8" s="60" t="n"/>
      <c r="H8" s="61" t="n"/>
      <c r="J8" s="64">
        <f>'MF - Lots'!Q167+'Equities - Lots'!N53+'Crypto - Lots'!L32</f>
        <v/>
      </c>
      <c r="K8" s="60" t="n"/>
      <c r="L8" s="61" t="n"/>
    </row>
    <row r="10" ht="21.75" customHeight="1" s="63">
      <c r="B10" s="66" t="inlineStr">
        <is>
          <t>P&amp;L % (CUMULATIVE)</t>
        </is>
      </c>
      <c r="C10" s="60" t="n"/>
      <c r="D10" s="61" t="n"/>
      <c r="F10" s="66" t="inlineStr">
        <is>
          <t>MF  |  EQUITIES  |  CRYPTO</t>
        </is>
      </c>
      <c r="G10" s="60" t="n"/>
      <c r="H10" s="61" t="n"/>
      <c r="J10" s="66" t="inlineStr">
        <is>
          <t>USD / THB USED</t>
        </is>
      </c>
      <c r="K10" s="60" t="n"/>
      <c r="L10" s="61" t="n"/>
    </row>
    <row r="11" ht="42" customHeight="1" s="63">
      <c r="B11" s="59">
        <f>IFERROR(('MF - Lots'!Q167+'Equities - Lots'!N53+'Crypto - Lots'!L32)/('MF - Lots'!O167+'Equities - Lots'!L53+'Crypto - Lots'!J32),0)</f>
        <v/>
      </c>
      <c r="C11" s="60" t="n"/>
      <c r="D11" s="61" t="n"/>
      <c r="F11" s="68">
        <f>COUNTA('MF - Lots'!C5:C166)&amp;" / "&amp;COUNTA('Equities - Lots'!C5:C45)&amp;" / "&amp;COUNTA('Crypto - Lots'!C5:C30)</f>
        <v/>
      </c>
      <c r="G11" s="60" t="n"/>
      <c r="H11" s="61" t="n"/>
      <c r="J11" s="65">
        <f>FXRate</f>
        <v/>
      </c>
      <c r="K11" s="60" t="n"/>
      <c r="L11" s="61" t="n"/>
    </row>
    <row r="14" ht="21.75" customHeight="1" s="63">
      <c r="B14" s="62" t="inlineStr">
        <is>
          <t>ASSET CLASS ALLOCATION (THB)</t>
        </is>
      </c>
      <c r="H14" s="62" t="inlineStr">
        <is>
          <t>GEOGRAPHY ALLOCATION (THB)</t>
        </is>
      </c>
    </row>
    <row r="15" ht="30" customHeight="1" s="63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63">
      <c r="B16" s="9" t="inlineStr">
        <is>
          <t>Equity</t>
        </is>
      </c>
      <c r="C16" s="10">
        <f>SUMIFS('MF - Lots'!$O:$O,'MF - Lots'!$D:$D,B16)+SUMIFS('Equities - Lots'!$L:$L,'Equities - Lots'!$E:$E,B16)+IF(B16="Digital Assets",'Crypto - Lots'!J32,0)</f>
        <v/>
      </c>
      <c r="D16" s="10">
        <f>SUMIFS('MF - Lots'!$P:$P,'MF - Lots'!$D:$D,B16)+SUMIFS('Equities - Lots'!$M:$M,'Equities - Lots'!$E:$E,B16)+IF(B16="Digital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Lots'!$F:$F,H16)+IF(H16="Global",'Crypto - Lots'!J32,0)</f>
        <v/>
      </c>
      <c r="J16" s="10">
        <f>SUMIFS('MF - Lots'!$P:$P,'MF - Lots'!$F:$F,H16)+SUMIFS('Equities - Lots'!$M:$M,'Equities - Lots'!$F:$F,H16)+IF(H16="Global",'Crypto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63">
      <c r="B17" s="9" t="inlineStr">
        <is>
          <t>Fixed Income</t>
        </is>
      </c>
      <c r="C17" s="10">
        <f>SUMIFS('MF - Lots'!$O:$O,'MF - Lots'!$D:$D,B17)+SUMIFS('Equities - Lots'!$L:$L,'Equities - Lots'!$E:$E,B17)+IF(B17="Digital Assets",'Crypto - Lots'!J32,0)</f>
        <v/>
      </c>
      <c r="D17" s="10">
        <f>SUMIFS('MF - Lots'!$P:$P,'MF - Lots'!$D:$D,B17)+SUMIFS('Equities - Lots'!$M:$M,'Equities - Lots'!$E:$E,B17)+IF(B17="Digital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Lots'!$F:$F,H17)+IF(H17="Global",'Crypto - Lots'!J32,0)</f>
        <v/>
      </c>
      <c r="J17" s="10">
        <f>SUMIFS('MF - Lots'!$P:$P,'MF - Lots'!$F:$F,H17)+SUMIFS('Equities - Lots'!$M:$M,'Equities - Lots'!$F:$F,H17)+IF(H17="Global",'Crypto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63">
      <c r="B18" s="9" t="inlineStr">
        <is>
          <t>Multi-Asset</t>
        </is>
      </c>
      <c r="C18" s="10">
        <f>SUMIFS('MF - Lots'!$O:$O,'MF - Lots'!$D:$D,B18)+SUMIFS('Equities - Lots'!$L:$L,'Equities - Lots'!$E:$E,B18)+IF(B18="Digital Assets",'Crypto - Lots'!J32,0)</f>
        <v/>
      </c>
      <c r="D18" s="10">
        <f>SUMIFS('MF - Lots'!$P:$P,'MF - Lots'!$D:$D,B18)+SUMIFS('Equities - Lots'!$M:$M,'Equities - Lots'!$E:$E,B18)+IF(B18="Digital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Lots'!$F:$F,H18)+IF(H18="Global",'Crypto - Lots'!J32,0)</f>
        <v/>
      </c>
      <c r="J18" s="10">
        <f>SUMIFS('MF - Lots'!$P:$P,'MF - Lots'!$F:$F,H18)+SUMIFS('Equities - Lots'!$M:$M,'Equities - Lots'!$F:$F,H18)+IF(H18="Global",'Crypto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63">
      <c r="B19" s="9" t="inlineStr">
        <is>
          <t>Alternatives</t>
        </is>
      </c>
      <c r="C19" s="10">
        <f>SUMIFS('MF - Lots'!$O:$O,'MF - Lots'!$D:$D,B19)+SUMIFS('Equities - Lots'!$L:$L,'Equities - Lots'!$E:$E,B19)+IF(B19="Digital Assets",'Crypto - Lots'!J32,0)</f>
        <v/>
      </c>
      <c r="D19" s="10">
        <f>SUMIFS('MF - Lots'!$P:$P,'MF - Lots'!$D:$D,B19)+SUMIFS('Equities - Lots'!$M:$M,'Equities - Lots'!$E:$E,B19)+IF(B19="Digital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Lots'!$F:$F,H19)+IF(H19="Global",'Crypto - Lots'!J32,0)</f>
        <v/>
      </c>
      <c r="J19" s="10">
        <f>SUMIFS('MF - Lots'!$P:$P,'MF - Lots'!$F:$F,H19)+SUMIFS('Equities - Lots'!$M:$M,'Equities - Lots'!$F:$F,H19)+IF(H19="Global",'Crypto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63">
      <c r="B20" s="9" t="inlineStr">
        <is>
          <t>Cash &amp; Equivalents</t>
        </is>
      </c>
      <c r="C20" s="10">
        <f>SUMIFS('MF - Lots'!$O:$O,'MF - Lots'!$D:$D,B20)+SUMIFS('Equities - Lots'!$L:$L,'Equities - Lots'!$E:$E,B20)+IF(B20="Digital Assets",'Crypto - Lots'!J32,0)</f>
        <v/>
      </c>
      <c r="D20" s="10">
        <f>SUMIFS('MF - Lots'!$P:$P,'MF - Lots'!$D:$D,B20)+SUMIFS('Equities - Lots'!$M:$M,'Equities - Lots'!$E:$E,B20)+IF(B20="Digital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Lots'!$F:$F,H20)+IF(H20="Global",'Crypto - Lots'!J32,0)</f>
        <v/>
      </c>
      <c r="J20" s="10">
        <f>SUMIFS('MF - Lots'!$P:$P,'MF - Lots'!$F:$F,H20)+SUMIFS('Equities - Lots'!$M:$M,'Equities - Lots'!$F:$F,H20)+IF(H20="Global",'Crypto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63">
      <c r="B21" s="9" t="inlineStr">
        <is>
          <t>Digital Assets</t>
        </is>
      </c>
      <c r="C21" s="10">
        <f>SUMIFS('MF - Lots'!$O:$O,'MF - Lots'!$D:$D,B21)+SUMIFS('Equities - Lots'!$L:$L,'Equities - Lots'!$E:$E,B21)+IF(B21="Digital Assets",'Crypto - Lots'!J32,0)</f>
        <v/>
      </c>
      <c r="D21" s="10">
        <f>SUMIFS('MF - Lots'!$P:$P,'MF - Lots'!$D:$D,B21)+SUMIFS('Equities - Lots'!$M:$M,'Equities - Lots'!$E:$E,B21)+IF(B21="Digital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Lots'!$F:$F,H21)+IF(H21="Global",'Crypto - Lots'!J32,0)</f>
        <v/>
      </c>
      <c r="J21" s="10">
        <f>SUMIFS('MF - Lots'!$P:$P,'MF - Lots'!$F:$F,H21)+SUMIFS('Equities - Lots'!$M:$M,'Equities - Lots'!$F:$F,H21)+IF(H21="Global",'Crypto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63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Lots'!$F:$F,H22)+IF(H22="Global",'Crypto - Lots'!J32,0)</f>
        <v/>
      </c>
      <c r="J22" s="10">
        <f>SUMIFS('MF - Lots'!$P:$P,'MF - Lots'!$F:$F,H22)+SUMIFS('Equities - Lots'!$M:$M,'Equities - Lots'!$F:$F,H22)+IF(H22="Global",'Crypto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63">
      <c r="H23" s="9" t="inlineStr">
        <is>
          <t>Europe</t>
        </is>
      </c>
      <c r="I23" s="10">
        <f>SUMIFS('MF - Lots'!$O:$O,'MF - Lots'!$F:$F,H23)+SUMIFS('Equities - Lots'!$L:$L,'Equities - Lots'!$F:$F,H23)+IF(H23="Global",'Crypto - Lots'!J32,0)</f>
        <v/>
      </c>
      <c r="J23" s="10">
        <f>SUMIFS('MF - Lots'!$P:$P,'MF - Lots'!$F:$F,H23)+SUMIFS('Equities - Lots'!$M:$M,'Equities - Lots'!$F:$F,H23)+IF(H23="Global",'Crypto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63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63">
      <c r="B26" s="62" t="inlineStr">
        <is>
          <t>TAX STATUS BREAKDOWN</t>
        </is>
      </c>
      <c r="H26" s="62" t="inlineStr">
        <is>
          <t>TOP 10 HOLDINGS (by Current Value)</t>
        </is>
      </c>
    </row>
    <row r="27" ht="30" customHeight="1" s="63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63">
      <c r="B28" s="9" t="inlineStr">
        <is>
          <t>Open-Ended</t>
        </is>
      </c>
      <c r="C28" s="10">
        <f>SUMIFS('MF - Lots'!$O:$O,'MF - Lots'!$G:$G,B28)+IF(B28="Taxable",'Equities - Lots'!L53+'Crypto - Lots'!J32,0)</f>
        <v/>
      </c>
      <c r="D28" s="10">
        <f>SUMIFS('MF - Lots'!$P:$P,'MF - Lots'!$G:$G,B28)+IF(B28="Taxable",'Equities - Lots'!M53+'Crypto - Lots'!K32,0)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63">
      <c r="B29" s="9" t="inlineStr">
        <is>
          <t>RMF</t>
        </is>
      </c>
      <c r="C29" s="10">
        <f>SUMIFS('MF - Lots'!$O:$O,'MF - Lots'!$G:$G,B29)+IF(B29="Taxable",'Equities - Lots'!L53+'Crypto - Lots'!J32,0)</f>
        <v/>
      </c>
      <c r="D29" s="10">
        <f>SUMIFS('MF - Lots'!$P:$P,'MF - Lots'!$G:$G,B29)+IF(B29="Taxable",'Equities - Lots'!M53+'Crypto - Lots'!K32,0)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63">
      <c r="B30" s="9" t="inlineStr">
        <is>
          <t>SSF</t>
        </is>
      </c>
      <c r="C30" s="10">
        <f>SUMIFS('MF - Lots'!$O:$O,'MF - Lots'!$G:$G,B30)+IF(B30="Taxable",'Equities - Lots'!L53+'Crypto - Lots'!J32,0)</f>
        <v/>
      </c>
      <c r="D30" s="10">
        <f>SUMIFS('MF - Lots'!$P:$P,'MF - Lots'!$G:$G,B30)+IF(B30="Taxable",'Equities - Lots'!M53+'Crypto - Lots'!K32,0)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63">
      <c r="B31" s="9" t="inlineStr">
        <is>
          <t>Thai ESG</t>
        </is>
      </c>
      <c r="C31" s="10">
        <f>SUMIFS('MF - Lots'!$O:$O,'MF - Lots'!$G:$G,B31)+IF(B31="Taxable",'Equities - Lots'!L53+'Crypto - Lots'!J32,0)</f>
        <v/>
      </c>
      <c r="D31" s="10">
        <f>SUMIFS('MF - Lots'!$P:$P,'MF - Lots'!$G:$G,B31)+IF(B31="Taxable",'Equities - Lots'!M53+'Crypto - Lots'!K32,0)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63">
      <c r="B32" s="9" t="inlineStr">
        <is>
          <t>LTF</t>
        </is>
      </c>
      <c r="C32" s="10">
        <f>SUMIFS('MF - Lots'!$O:$O,'MF - Lots'!$G:$G,B32)+IF(B32="Taxable",'Equities - Lots'!L53+'Crypto - Lots'!J32,0)</f>
        <v/>
      </c>
      <c r="D32" s="10">
        <f>SUMIFS('MF - Lots'!$P:$P,'MF - Lots'!$G:$G,B32)+IF(B32="Taxable",'Equities - Lots'!M53+'Crypto - Lots'!K32,0)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63">
      <c r="B33" s="9" t="inlineStr">
        <is>
          <t>Taxable</t>
        </is>
      </c>
      <c r="C33" s="10">
        <f>SUMIFS('MF - Lots'!$O:$O,'MF - Lots'!$G:$G,B33)+IF(B33="Taxable",'Equities - Lots'!L53+'Crypto - Lots'!J32,0)</f>
        <v/>
      </c>
      <c r="D33" s="10">
        <f>SUMIFS('MF - Lots'!$P:$P,'MF - Lots'!$G:$G,B33)+IF(B33="Taxable",'Equities - Lots'!M53+'Crypto - Lots'!K32,0)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63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63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63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63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63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63">
      <c r="B39" s="62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63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63">
      <c r="B41" s="9" t="inlineStr">
        <is>
          <t>US Large Cap</t>
        </is>
      </c>
      <c r="C41" s="10">
        <f>SUMIFS('MF - Lots'!$O:$O,'MF - Lots'!$E:$E,B41)+SUMIFS('Equities - Lots'!$L:$L,'Equities - Lots'!$G:$G,B41)+SUMIFS('Crypto - Lots'!$J:$J,'Crypto - Lots'!$E:$E,B41)</f>
        <v/>
      </c>
      <c r="D41" s="10">
        <f>SUMIFS('MF - Lots'!$P:$P,'MF - Lots'!$E:$E,B41)+SUMIFS('Equities - Lots'!$M:$M,'Equities - Lots'!$G:$G,B41)+SUMIFS('Crypto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63">
      <c r="B42" s="9" t="inlineStr">
        <is>
          <t>Korea</t>
        </is>
      </c>
      <c r="C42" s="10">
        <f>SUMIFS('MF - Lots'!$O:$O,'MF - Lots'!$E:$E,B42)+SUMIFS('Equities - Lots'!$L:$L,'Equities - Lots'!$G:$G,B42)+SUMIFS('Crypto - Lots'!$J:$J,'Crypto - Lots'!$E:$E,B42)</f>
        <v/>
      </c>
      <c r="D42" s="10">
        <f>SUMIFS('MF - Lots'!$P:$P,'MF - Lots'!$E:$E,B42)+SUMIFS('Equities - Lots'!$M:$M,'Equities - Lots'!$G:$G,B42)+SUMIFS('Crypto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63">
      <c r="B43" s="9" t="inlineStr">
        <is>
          <t>Thai Equity</t>
        </is>
      </c>
      <c r="C43" s="10">
        <f>SUMIFS('MF - Lots'!$O:$O,'MF - Lots'!$E:$E,B43)+SUMIFS('Equities - Lots'!$L:$L,'Equities - Lots'!$G:$G,B43)+SUMIFS('Crypto - Lots'!$J:$J,'Crypto - Lots'!$E:$E,B43)</f>
        <v/>
      </c>
      <c r="D43" s="10">
        <f>SUMIFS('MF - Lots'!$P:$P,'MF - Lots'!$E:$E,B43)+SUMIFS('Equities - Lots'!$M:$M,'Equities - Lots'!$G:$G,B43)+SUMIFS('Crypto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63">
      <c r="B44" s="9" t="inlineStr">
        <is>
          <t>Healthcare</t>
        </is>
      </c>
      <c r="C44" s="10">
        <f>SUMIFS('MF - Lots'!$O:$O,'MF - Lots'!$E:$E,B44)+SUMIFS('Equities - Lots'!$L:$L,'Equities - Lots'!$G:$G,B44)+SUMIFS('Crypto - Lots'!$J:$J,'Crypto - Lots'!$E:$E,B44)</f>
        <v/>
      </c>
      <c r="D44" s="10">
        <f>SUMIFS('MF - Lots'!$P:$P,'MF - Lots'!$E:$E,B44)+SUMIFS('Equities - Lots'!$M:$M,'Equities - Lots'!$G:$G,B44)+SUMIFS('Crypto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63">
      <c r="B45" s="9" t="inlineStr">
        <is>
          <t>Crypto (All)</t>
        </is>
      </c>
      <c r="C45" s="10">
        <f>'Crypto - Lots'!J32</f>
        <v/>
      </c>
      <c r="D45" s="10">
        <f>'Crypto - Lots'!K32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63">
      <c r="B46" s="9" t="inlineStr">
        <is>
          <t>Vietnam Equity</t>
        </is>
      </c>
      <c r="C46" s="10">
        <f>SUMIFS('MF - Lots'!$O:$O,'MF - Lots'!$E:$E,B46)+SUMIFS('Equities - Lots'!$L:$L,'Equities - Lots'!$G:$G,B46)+SUMIFS('Crypto - Lots'!$J:$J,'Crypto - Lots'!$E:$E,B46)</f>
        <v/>
      </c>
      <c r="D46" s="10">
        <f>SUMIFS('MF - Lots'!$P:$P,'MF - Lots'!$E:$E,B46)+SUMIFS('Equities - Lots'!$M:$M,'Equities - Lots'!$G:$G,B46)+SUMIFS('Crypto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63">
      <c r="B47" s="9" t="inlineStr">
        <is>
          <t>Thai Single Stock</t>
        </is>
      </c>
      <c r="C47" s="10">
        <f>SUMIFS('MF - Lots'!$O:$O,'MF - Lots'!$E:$E,B47)+SUMIFS('Equities - Lots'!$L:$L,'Equities - Lots'!$G:$G,B47)+SUMIFS('Crypto - Lots'!$J:$J,'Crypto - Lots'!$E:$E,B47)</f>
        <v/>
      </c>
      <c r="D47" s="10">
        <f>SUMIFS('MF - Lots'!$P:$P,'MF - Lots'!$E:$E,B47)+SUMIFS('Equities - Lots'!$M:$M,'Equities - Lots'!$G:$G,B47)+SUMIFS('Crypto - Lots'!$K:$K,'Crypto - Lots'!$E:$E,B47)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63">
      <c r="B48" s="9" t="inlineStr">
        <is>
          <t>Thai Balanced</t>
        </is>
      </c>
      <c r="C48" s="10">
        <f>SUMIFS('MF - Lots'!$O:$O,'MF - Lots'!$E:$E,B48)+SUMIFS('Equities - Lots'!$L:$L,'Equities - Lots'!$G:$G,B48)+SUMIFS('Crypto - Lots'!$J:$J,'Crypto - Lots'!$E:$E,B48)</f>
        <v/>
      </c>
      <c r="D48" s="10">
        <f>SUMIFS('MF - Lots'!$P:$P,'MF - Lots'!$E:$E,B48)+SUMIFS('Equities - Lots'!$M:$M,'Equities - Lots'!$G:$G,B48)+SUMIFS('Crypto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63">
      <c r="B49" s="9" t="inlineStr">
        <is>
          <t>TH Gov Bond</t>
        </is>
      </c>
      <c r="C49" s="10">
        <f>SUMIFS('MF - Lots'!$O:$O,'MF - Lots'!$E:$E,B49)+SUMIFS('Equities - Lots'!$L:$L,'Equities - Lots'!$G:$G,B49)+SUMIFS('Crypto - Lots'!$J:$J,'Crypto - Lots'!$E:$E,B49)</f>
        <v/>
      </c>
      <c r="D49" s="10">
        <f>SUMIFS('MF - Lots'!$P:$P,'MF - Lots'!$E:$E,B49)+SUMIFS('Equities - Lots'!$M:$M,'Equities - Lots'!$G:$G,B49)+SUMIFS('Crypto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63">
      <c r="B50" s="9" t="inlineStr">
        <is>
          <t>China Equity</t>
        </is>
      </c>
      <c r="C50" s="10">
        <f>SUMIFS('MF - Lots'!$O:$O,'MF - Lots'!$E:$E,B50)+SUMIFS('Equities - Lots'!$L:$L,'Equities - Lots'!$G:$G,B50)+SUMIFS('Crypto - Lots'!$J:$J,'Crypto - Lots'!$E:$E,B50)</f>
        <v/>
      </c>
      <c r="D50" s="10">
        <f>SUMIFS('MF - Lots'!$P:$P,'MF - Lots'!$E:$E,B50)+SUMIFS('Equities - Lots'!$M:$M,'Equities - Lots'!$G:$G,B50)+SUMIFS('Crypto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63">
      <c r="B51" s="9" t="inlineStr">
        <is>
          <t>US Single Stock</t>
        </is>
      </c>
      <c r="C51" s="10">
        <f>SUMIFS('MF - Lots'!$O:$O,'MF - Lots'!$E:$E,B51)+SUMIFS('Equities - Lots'!$L:$L,'Equities - Lots'!$G:$G,B51)+SUMIFS('Crypto - Lots'!$J:$J,'Crypto - Lots'!$E:$E,B51)</f>
        <v/>
      </c>
      <c r="D51" s="10">
        <f>SUMIFS('MF - Lots'!$P:$P,'MF - Lots'!$E:$E,B51)+SUMIFS('Equities - Lots'!$M:$M,'Equities - Lots'!$G:$G,B51)+SUMIFS('Crypto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63">
      <c r="B52" s="9" t="inlineStr">
        <is>
          <t>Gold</t>
        </is>
      </c>
      <c r="C52" s="10">
        <f>SUMIFS('MF - Lots'!$O:$O,'MF - Lots'!$E:$E,B52)+SUMIFS('Equities - Lots'!$L:$L,'Equities - Lots'!$G:$G,B52)+SUMIFS('Crypto - Lots'!$J:$J,'Crypto - Lots'!$E:$E,B52)</f>
        <v/>
      </c>
      <c r="D52" s="10">
        <f>SUMIFS('MF - Lots'!$P:$P,'MF - Lots'!$E:$E,B52)+SUMIFS('Equities - Lots'!$M:$M,'Equities - Lots'!$G:$G,B52)+SUMIFS('Crypto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63">
      <c r="B53" s="9" t="inlineStr">
        <is>
          <t>Brokerage Cash</t>
        </is>
      </c>
      <c r="C53" s="10">
        <f>SUMIFS('MF - Lots'!$O:$O,'MF - Lots'!$E:$E,B53)+SUMIFS('Equities - Lots'!$L:$L,'Equities - Lots'!$G:$G,B53)+SUMIFS('Crypto - Lots'!$J:$J,'Crypto - Lots'!$E:$E,B53)</f>
        <v/>
      </c>
      <c r="D53" s="10">
        <f>SUMIFS('MF - Lots'!$P:$P,'MF - Lots'!$E:$E,B53)+SUMIFS('Equities - Lots'!$M:$M,'Equities - Lots'!$G:$G,B53)+SUMIFS('Crypto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63">
      <c r="B54" s="9" t="inlineStr">
        <is>
          <t>Thai SET50</t>
        </is>
      </c>
      <c r="C54" s="10">
        <f>SUMIFS('MF - Lots'!$O:$O,'MF - Lots'!$E:$E,B54)+SUMIFS('Equities - Lots'!$L:$L,'Equities - Lots'!$G:$G,B54)+SUMIFS('Crypto - Lots'!$J:$J,'Crypto - Lots'!$E:$E,B54)</f>
        <v/>
      </c>
      <c r="D54" s="10">
        <f>SUMIFS('MF - Lots'!$P:$P,'MF - Lots'!$E:$E,B54)+SUMIFS('Equities - Lots'!$M:$M,'Equities - Lots'!$G:$G,B54)+SUMIFS('Crypto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63">
      <c r="B55" s="9" t="inlineStr">
        <is>
          <t>AI / Innovation</t>
        </is>
      </c>
      <c r="C55" s="10">
        <f>SUMIFS('MF - Lots'!$O:$O,'MF - Lots'!$E:$E,B55)+SUMIFS('Equities - Lots'!$L:$L,'Equities - Lots'!$G:$G,B55)+SUMIFS('Crypto - Lots'!$J:$J,'Crypto - Lots'!$E:$E,B55)</f>
        <v/>
      </c>
      <c r="D55" s="10">
        <f>SUMIFS('MF - Lots'!$P:$P,'MF - Lots'!$E:$E,B55)+SUMIFS('Equities - Lots'!$M:$M,'Equities - Lots'!$G:$G,B55)+SUMIFS('Crypto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63">
      <c r="B56" s="9" t="inlineStr">
        <is>
          <t>Japan Equity</t>
        </is>
      </c>
      <c r="C56" s="10">
        <f>SUMIFS('MF - Lots'!$O:$O,'MF - Lots'!$E:$E,B56)+SUMIFS('Equities - Lots'!$L:$L,'Equities - Lots'!$G:$G,B56)+SUMIFS('Crypto - Lots'!$J:$J,'Crypto - Lots'!$E:$E,B56)</f>
        <v/>
      </c>
      <c r="D56" s="10">
        <f>SUMIFS('MF - Lots'!$P:$P,'MF - Lots'!$E:$E,B56)+SUMIFS('Equities - Lots'!$M:$M,'Equities - Lots'!$G:$G,B56)+SUMIFS('Crypto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63">
      <c r="B57" s="9" t="inlineStr">
        <is>
          <t>Semiconductor</t>
        </is>
      </c>
      <c r="C57" s="10">
        <f>SUMIFS('MF - Lots'!$O:$O,'MF - Lots'!$E:$E,B57)+SUMIFS('Equities - Lots'!$L:$L,'Equities - Lots'!$G:$G,B57)+SUMIFS('Crypto - Lots'!$J:$J,'Crypto - Lots'!$E:$E,B57)</f>
        <v/>
      </c>
      <c r="D57" s="10">
        <f>SUMIFS('MF - Lots'!$P:$P,'MF - Lots'!$E:$E,B57)+SUMIFS('Equities - Lots'!$M:$M,'Equities - Lots'!$G:$G,B57)+SUMIFS('Crypto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63">
      <c r="B58" s="9" t="inlineStr">
        <is>
          <t>Europe Equity</t>
        </is>
      </c>
      <c r="C58" s="10">
        <f>SUMIFS('MF - Lots'!$O:$O,'MF - Lots'!$E:$E,B58)+SUMIFS('Equities - Lots'!$L:$L,'Equities - Lots'!$G:$G,B58)+SUMIFS('Crypto - Lots'!$J:$J,'Crypto - Lots'!$E:$E,B58)</f>
        <v/>
      </c>
      <c r="D58" s="10">
        <f>SUMIFS('MF - Lots'!$P:$P,'MF - Lots'!$E:$E,B58)+SUMIFS('Equities - Lots'!$M:$M,'Equities - Lots'!$G:$G,B58)+SUMIFS('Crypto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63">
      <c r="B59" s="9" t="inlineStr">
        <is>
          <t>TH Short-Term Bond</t>
        </is>
      </c>
      <c r="C59" s="10">
        <f>SUMIFS('MF - Lots'!$O:$O,'MF - Lots'!$E:$E,B59)+SUMIFS('Equities - Lots'!$L:$L,'Equities - Lots'!$G:$G,B59)+SUMIFS('Crypto - Lots'!$J:$J,'Crypto - Lots'!$E:$E,B59)</f>
        <v/>
      </c>
      <c r="D59" s="10">
        <f>SUMIFS('MF - Lots'!$P:$P,'MF - Lots'!$E:$E,B59)+SUMIFS('Equities - Lots'!$M:$M,'Equities - Lots'!$G:$G,B59)+SUMIFS('Crypto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63">
      <c r="B60" s="9" t="inlineStr">
        <is>
          <t>TH Money Market</t>
        </is>
      </c>
      <c r="C60" s="10">
        <f>SUMIFS('MF - Lots'!$O:$O,'MF - Lots'!$E:$E,B60)+SUMIFS('Equities - Lots'!$L:$L,'Equities - Lots'!$G:$G,B60)+SUMIFS('Crypto - Lots'!$J:$J,'Crypto - Lots'!$E:$E,B60)</f>
        <v/>
      </c>
      <c r="D60" s="10">
        <f>SUMIFS('MF - Lots'!$P:$P,'MF - Lots'!$E:$E,B60)+SUMIFS('Equities - Lots'!$M:$M,'Equities - Lots'!$G:$G,B60)+SUMIFS('Crypto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63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63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63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63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63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63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63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63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63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63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63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63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63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63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63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63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63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63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63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63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63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63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63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63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63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63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63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63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63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63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63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63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63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63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63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63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63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63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63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63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63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63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63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63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63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63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63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63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63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63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63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63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63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63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63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63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63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63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63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63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63" min="1" max="1"/>
    <col width="14" customWidth="1" style="63" min="2" max="2"/>
    <col width="16" customWidth="1" style="63" min="3" max="3"/>
    <col width="18" customWidth="1" style="63" min="4" max="5"/>
    <col width="16" customWidth="1" style="63" min="6" max="6"/>
    <col width="14" customWidth="1" style="63" min="7" max="12"/>
  </cols>
  <sheetData>
    <row r="2" ht="30" customHeight="1" s="63">
      <c r="B2" s="67" t="inlineStr">
        <is>
          <t>WEEKLY SNAPSHOT LOG</t>
        </is>
      </c>
    </row>
    <row r="3" ht="19.5" customHeight="1" s="63">
      <c r="B3" s="69" t="inlineStr">
        <is>
          <t>Row 5 shows the live current-week snapshot. Each Friday, copy row 5 (values only) into the next empty row below to preserve history.</t>
        </is>
      </c>
    </row>
    <row r="4" ht="31.5" customHeight="1" s="63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63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9" t="inlineStr">
        <is>
          <t>Live (current workbook state)</t>
        </is>
      </c>
    </row>
    <row r="6" ht="15" customHeight="1" s="63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63">
      <c r="B7" s="28" t="n"/>
      <c r="C7" s="29" t="n"/>
      <c r="D7" s="29" t="n"/>
      <c r="E7" s="29" t="n"/>
      <c r="F7" s="30" t="n"/>
      <c r="G7" s="29" t="n"/>
      <c r="H7" s="29" t="n"/>
      <c r="I7" s="29" t="n"/>
      <c r="J7" s="31" t="n"/>
      <c r="K7" s="32" t="n"/>
    </row>
    <row r="8" ht="15" customHeight="1" s="63">
      <c r="B8" s="28" t="n"/>
      <c r="C8" s="29" t="n"/>
      <c r="D8" s="29" t="n"/>
      <c r="E8" s="29" t="n"/>
      <c r="F8" s="30" t="n"/>
      <c r="G8" s="29" t="n"/>
      <c r="H8" s="29" t="n"/>
      <c r="I8" s="29" t="n"/>
      <c r="J8" s="31" t="n"/>
      <c r="K8" s="32" t="n"/>
    </row>
    <row r="9" ht="15" customHeight="1" s="63">
      <c r="B9" s="28" t="n"/>
      <c r="C9" s="29" t="n"/>
      <c r="D9" s="29" t="n"/>
      <c r="E9" s="29" t="n"/>
      <c r="F9" s="30" t="n"/>
      <c r="G9" s="29" t="n"/>
      <c r="H9" s="29" t="n"/>
      <c r="I9" s="29" t="n"/>
      <c r="J9" s="31" t="n"/>
      <c r="K9" s="32" t="n"/>
    </row>
    <row r="10" ht="15" customHeight="1" s="63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63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63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63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63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63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63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63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63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63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63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63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63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63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63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63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63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63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63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63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63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63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63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63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63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63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63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63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63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63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63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63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63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63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63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63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63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63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63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63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63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63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63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63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63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63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63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63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63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63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63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63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63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63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63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63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63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63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63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63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63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63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63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63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63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63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63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63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63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63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63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63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63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63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63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63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63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63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63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63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63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63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63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63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63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63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63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63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63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63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63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63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63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63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63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63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63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63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63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63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63" min="1" max="1"/>
    <col width="32" customWidth="1" style="63" min="2" max="2"/>
    <col width="20" customWidth="1" style="63" min="3" max="3"/>
    <col width="70" customWidth="1" style="63" min="4" max="4"/>
  </cols>
  <sheetData>
    <row r="2" ht="30" customHeight="1" s="63">
      <c r="B2" s="67" t="inlineStr">
        <is>
          <t>FX &amp; ASSUMPTIONS</t>
        </is>
      </c>
    </row>
    <row r="4" ht="27.75" customHeight="1" s="63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63">
      <c r="B5" s="9" t="inlineStr">
        <is>
          <t>As-of Date</t>
        </is>
      </c>
      <c r="C5" s="28" t="n">
        <v>46173</v>
      </c>
      <c r="D5" s="69" t="inlineStr">
        <is>
          <t>Reporting date — updated weekly.</t>
        </is>
      </c>
    </row>
    <row r="6" ht="21.75" customHeight="1" s="63">
      <c r="B6" s="9" t="inlineStr">
        <is>
          <t>USD / THB Spot</t>
        </is>
      </c>
      <c r="C6" s="33" t="n">
        <v>32.43</v>
      </c>
      <c r="D6" s="69" t="inlineStr">
        <is>
          <t>Auto-fetched via Yahoo Finance on 2026-05-31</t>
        </is>
      </c>
    </row>
    <row r="7" ht="21.75" customHeight="1" s="63">
      <c r="B7" s="9" t="inlineStr">
        <is>
          <t>Reporting Currency</t>
        </is>
      </c>
      <c r="C7" s="34" t="inlineStr">
        <is>
          <t>THB</t>
        </is>
      </c>
      <c r="D7" s="69" t="inlineStr">
        <is>
          <t>Base currency for all totals.</t>
        </is>
      </c>
    </row>
    <row r="8" ht="21.75" customHeight="1" s="63">
      <c r="B8" s="9" t="inlineStr">
        <is>
          <t>Total Lots (MF / EQ / Crypto)</t>
        </is>
      </c>
      <c r="C8" s="34" t="inlineStr">
        <is>
          <t>160 / 41 / 26 / 0</t>
        </is>
      </c>
      <c r="D8" s="69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25.4185</v>
      </c>
      <c r="D9" s="69" t="inlineStr">
        <is>
          <t>Auto-fetched via Yahoo Finance on 2026-05-31</t>
        </is>
      </c>
    </row>
    <row r="10">
      <c r="D10" s="69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104"/>
  <sheetViews>
    <sheetView showGridLines="0" zoomScaleNormal="100" workbookViewId="0">
      <pane xSplit="1" ySplit="4" topLeftCell="B57" activePane="bottomRight" state="frozen"/>
      <selection pane="topRight" activeCell="B1" sqref="B1"/>
      <selection pane="bottomLeft" activeCell="A55" sqref="A55"/>
      <selection pane="bottomRight" activeCell="G79" sqref="G79"/>
    </sheetView>
  </sheetViews>
  <sheetFormatPr baseColWidth="10" defaultColWidth="8.6640625" defaultRowHeight="15"/>
  <cols>
    <col width="22" customWidth="1" style="63" min="1" max="1"/>
    <col width="8" customWidth="1" style="63" min="2" max="2"/>
    <col width="14" customWidth="1" style="63" min="3" max="3"/>
    <col width="22" customWidth="1" style="63" min="4" max="4"/>
    <col width="16" customWidth="1" style="63" min="5" max="5"/>
    <col width="18" customWidth="1" style="63" min="6" max="6"/>
    <col width="12" customWidth="1" style="63" min="7" max="7"/>
    <col width="16" customWidth="1" style="63" min="8" max="8"/>
  </cols>
  <sheetData>
    <row r="2" ht="30" customHeight="1" s="63">
      <c r="A2" s="67" t="inlineStr">
        <is>
          <t>PRICES — Weekly Update Sheet  (update yellow "Current Price / NAV" column every week)</t>
        </is>
      </c>
    </row>
    <row r="4" ht="31.5" customHeight="1" s="6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63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25.0666</v>
      </c>
      <c r="F5" s="34" t="inlineStr">
        <is>
          <t>THB</t>
        </is>
      </c>
      <c r="G5" s="28" t="n">
        <v>46170</v>
      </c>
      <c r="H5" s="34" t="inlineStr">
        <is>
          <t>OK</t>
        </is>
      </c>
    </row>
    <row r="6" ht="15" customHeight="1" s="63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10.6848</v>
      </c>
      <c r="F6" s="34" t="inlineStr">
        <is>
          <t>THB</t>
        </is>
      </c>
      <c r="G6" s="28" t="n">
        <v>46171</v>
      </c>
      <c r="H6" s="34" t="inlineStr">
        <is>
          <t>OK</t>
        </is>
      </c>
    </row>
    <row r="7" ht="15" customHeight="1" s="63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7.1689</v>
      </c>
      <c r="F7" s="34" t="inlineStr">
        <is>
          <t>THB</t>
        </is>
      </c>
      <c r="G7" s="28" t="n">
        <v>46170</v>
      </c>
      <c r="H7" s="34" t="inlineStr">
        <is>
          <t>OK</t>
        </is>
      </c>
    </row>
    <row r="8" ht="15" customHeight="1" s="63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9.7524</v>
      </c>
      <c r="F8" s="34" t="inlineStr">
        <is>
          <t>THB</t>
        </is>
      </c>
      <c r="G8" s="28" t="n">
        <v>46170</v>
      </c>
      <c r="H8" s="34" t="inlineStr">
        <is>
          <t>OK</t>
        </is>
      </c>
    </row>
    <row r="9" ht="15" customHeight="1" s="63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9.3216</v>
      </c>
      <c r="F9" s="34" t="inlineStr">
        <is>
          <t>THB</t>
        </is>
      </c>
      <c r="G9" s="28" t="n">
        <v>46171</v>
      </c>
      <c r="H9" s="34" t="inlineStr">
        <is>
          <t>OK</t>
        </is>
      </c>
    </row>
    <row r="10" ht="15" customHeight="1" s="63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13.2248</v>
      </c>
      <c r="F10" s="34" t="inlineStr">
        <is>
          <t>THB</t>
        </is>
      </c>
      <c r="G10" s="28" t="n">
        <v>46170</v>
      </c>
      <c r="H10" s="34" t="inlineStr">
        <is>
          <t>OK</t>
        </is>
      </c>
    </row>
    <row r="11" ht="15" customHeight="1" s="63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13.0748</v>
      </c>
      <c r="F11" s="34" t="inlineStr">
        <is>
          <t>THB</t>
        </is>
      </c>
      <c r="G11" s="28" t="n">
        <v>46171</v>
      </c>
      <c r="H11" s="34" t="inlineStr">
        <is>
          <t>OK</t>
        </is>
      </c>
    </row>
    <row r="12" ht="15" customHeight="1" s="63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26.4159</v>
      </c>
      <c r="F12" s="34" t="inlineStr">
        <is>
          <t>THB</t>
        </is>
      </c>
      <c r="G12" s="28" t="n">
        <v>46171</v>
      </c>
      <c r="H12" s="34" t="inlineStr">
        <is>
          <t>OK</t>
        </is>
      </c>
    </row>
    <row r="13" ht="15" customHeight="1" s="63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35.9236</v>
      </c>
      <c r="F13" s="34" t="inlineStr">
        <is>
          <t>THB</t>
        </is>
      </c>
      <c r="G13" s="28" t="n">
        <v>46171</v>
      </c>
      <c r="H13" s="34" t="inlineStr">
        <is>
          <t>OK</t>
        </is>
      </c>
    </row>
    <row r="14" ht="15" customHeight="1" s="63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25.2351</v>
      </c>
      <c r="F14" s="34" t="inlineStr">
        <is>
          <t>THB</t>
        </is>
      </c>
      <c r="G14" s="28" t="n">
        <v>46171</v>
      </c>
      <c r="H14" s="34" t="inlineStr">
        <is>
          <t>OK</t>
        </is>
      </c>
    </row>
    <row r="15" ht="15" customHeight="1" s="63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14.8144</v>
      </c>
      <c r="F15" s="34" t="inlineStr">
        <is>
          <t>THB</t>
        </is>
      </c>
      <c r="G15" s="28" t="n">
        <v>46169</v>
      </c>
      <c r="H15" s="34" t="inlineStr">
        <is>
          <t>OK</t>
        </is>
      </c>
    </row>
    <row r="16" ht="15" customHeight="1" s="63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80.6575</v>
      </c>
      <c r="F16" s="34" t="inlineStr">
        <is>
          <t>THB</t>
        </is>
      </c>
      <c r="G16" s="28" t="n">
        <v>46171</v>
      </c>
      <c r="H16" s="34" t="inlineStr">
        <is>
          <t>OK</t>
        </is>
      </c>
    </row>
    <row r="17" ht="15" customHeight="1" s="63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52.9188</v>
      </c>
      <c r="F17" s="34" t="inlineStr">
        <is>
          <t>THB</t>
        </is>
      </c>
      <c r="G17" s="28" t="n">
        <v>46171</v>
      </c>
      <c r="H17" s="34" t="inlineStr">
        <is>
          <t>OK</t>
        </is>
      </c>
    </row>
    <row r="18" ht="15" customHeight="1" s="63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16.418</v>
      </c>
      <c r="F18" s="34" t="inlineStr">
        <is>
          <t>THB</t>
        </is>
      </c>
      <c r="G18" s="28" t="n">
        <v>46171</v>
      </c>
      <c r="H18" s="34" t="inlineStr">
        <is>
          <t>OK</t>
        </is>
      </c>
    </row>
    <row r="19" ht="15" customHeight="1" s="63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23.3983</v>
      </c>
      <c r="F19" s="34" t="inlineStr">
        <is>
          <t>THB</t>
        </is>
      </c>
      <c r="G19" s="28" t="n">
        <v>46171</v>
      </c>
      <c r="H19" s="34" t="inlineStr">
        <is>
          <t>OK</t>
        </is>
      </c>
    </row>
    <row r="20" ht="15" customHeight="1" s="63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41.5536</v>
      </c>
      <c r="F20" s="34" t="inlineStr">
        <is>
          <t>THB</t>
        </is>
      </c>
      <c r="G20" s="28" t="n">
        <v>46170</v>
      </c>
      <c r="H20" s="34" t="inlineStr">
        <is>
          <t>OK</t>
        </is>
      </c>
    </row>
    <row r="21" ht="15" customHeight="1" s="63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13.3525</v>
      </c>
      <c r="F21" s="34" t="inlineStr">
        <is>
          <t>THB</t>
        </is>
      </c>
      <c r="G21" s="28" t="n">
        <v>46171</v>
      </c>
      <c r="H21" s="34" t="inlineStr">
        <is>
          <t>OK</t>
        </is>
      </c>
    </row>
    <row r="22" ht="15" customHeight="1" s="63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13.1196</v>
      </c>
      <c r="F22" s="34" t="inlineStr">
        <is>
          <t>THB</t>
        </is>
      </c>
      <c r="G22" s="28" t="n">
        <v>46170</v>
      </c>
      <c r="H22" s="34" t="inlineStr">
        <is>
          <t>OK</t>
        </is>
      </c>
    </row>
    <row r="23" ht="15" customHeight="1" s="63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12.2892</v>
      </c>
      <c r="F23" s="34" t="inlineStr">
        <is>
          <t>THB</t>
        </is>
      </c>
      <c r="G23" s="28" t="n">
        <v>46171</v>
      </c>
      <c r="H23" s="34" t="inlineStr">
        <is>
          <t>OK</t>
        </is>
      </c>
    </row>
    <row r="24" ht="15" customHeight="1" s="63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12.123</v>
      </c>
      <c r="F24" s="34" t="inlineStr">
        <is>
          <t>THB</t>
        </is>
      </c>
      <c r="G24" s="28" t="n">
        <v>46170</v>
      </c>
      <c r="H24" s="34" t="inlineStr">
        <is>
          <t>OK</t>
        </is>
      </c>
    </row>
    <row r="25" ht="15" customHeight="1" s="63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9.9961</v>
      </c>
      <c r="F25" s="34" t="inlineStr">
        <is>
          <t>THB</t>
        </is>
      </c>
      <c r="G25" s="28" t="n">
        <v>46171</v>
      </c>
      <c r="H25" s="34" t="inlineStr">
        <is>
          <t>OK</t>
        </is>
      </c>
    </row>
    <row r="26" ht="15" customHeight="1" s="63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14.0272</v>
      </c>
      <c r="F26" s="34" t="inlineStr">
        <is>
          <t>THB</t>
        </is>
      </c>
      <c r="G26" s="28" t="n">
        <v>46171</v>
      </c>
      <c r="H26" s="34" t="inlineStr">
        <is>
          <t>OK</t>
        </is>
      </c>
    </row>
    <row r="27" ht="15" customHeight="1" s="63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16.9636</v>
      </c>
      <c r="F27" s="34" t="inlineStr">
        <is>
          <t>THB</t>
        </is>
      </c>
      <c r="G27" s="28" t="n">
        <v>46171</v>
      </c>
      <c r="H27" s="34" t="inlineStr">
        <is>
          <t>OK</t>
        </is>
      </c>
    </row>
    <row r="28" ht="15" customHeight="1" s="63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20.1019</v>
      </c>
      <c r="F28" s="34" t="inlineStr">
        <is>
          <t>THB</t>
        </is>
      </c>
      <c r="G28" s="28" t="n">
        <v>46171</v>
      </c>
      <c r="H28" s="34" t="inlineStr">
        <is>
          <t>OK</t>
        </is>
      </c>
    </row>
    <row r="29" ht="15" customHeight="1" s="63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28.2028</v>
      </c>
      <c r="F29" s="34" t="inlineStr">
        <is>
          <t>THB</t>
        </is>
      </c>
      <c r="G29" s="28" t="n">
        <v>46170</v>
      </c>
      <c r="H29" s="34" t="inlineStr">
        <is>
          <t>OK</t>
        </is>
      </c>
    </row>
    <row r="30" ht="15" customHeight="1" s="63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37.6341</v>
      </c>
      <c r="F30" s="34" t="inlineStr">
        <is>
          <t>THB</t>
        </is>
      </c>
      <c r="G30" s="28" t="n">
        <v>46170</v>
      </c>
      <c r="H30" s="34" t="inlineStr">
        <is>
          <t>OK</t>
        </is>
      </c>
    </row>
    <row r="31" ht="15" customHeight="1" s="63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12.8153</v>
      </c>
      <c r="F31" s="34" t="inlineStr">
        <is>
          <t>THB</t>
        </is>
      </c>
      <c r="G31" s="28" t="n">
        <v>46171</v>
      </c>
      <c r="H31" s="34" t="inlineStr">
        <is>
          <t>OK</t>
        </is>
      </c>
    </row>
    <row r="32" ht="15" customHeight="1" s="63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21.7034</v>
      </c>
      <c r="F32" s="34" t="inlineStr">
        <is>
          <t>THB</t>
        </is>
      </c>
      <c r="G32" s="28" t="n">
        <v>46171</v>
      </c>
      <c r="H32" s="34" t="inlineStr">
        <is>
          <t>OK</t>
        </is>
      </c>
    </row>
    <row r="33" ht="15" customHeight="1" s="63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12.446</v>
      </c>
      <c r="F33" s="34" t="inlineStr">
        <is>
          <t>THB</t>
        </is>
      </c>
      <c r="G33" s="28" t="n">
        <v>46171</v>
      </c>
      <c r="H33" s="34" t="inlineStr">
        <is>
          <t>OK</t>
        </is>
      </c>
    </row>
    <row r="34" ht="15" customHeight="1" s="63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16.2008</v>
      </c>
      <c r="F34" s="34" t="inlineStr">
        <is>
          <t>THB</t>
        </is>
      </c>
      <c r="G34" s="28" t="n">
        <v>46171</v>
      </c>
      <c r="H34" s="34" t="inlineStr">
        <is>
          <t>OK</t>
        </is>
      </c>
    </row>
    <row r="35" ht="15" customHeight="1" s="63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29.0432</v>
      </c>
      <c r="F35" s="34" t="inlineStr">
        <is>
          <t>THB</t>
        </is>
      </c>
      <c r="G35" s="28" t="n">
        <v>46170</v>
      </c>
      <c r="H35" s="34" t="inlineStr">
        <is>
          <t>OK</t>
        </is>
      </c>
    </row>
    <row r="36" ht="15" customHeight="1" s="63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9.968</v>
      </c>
      <c r="F36" s="34" t="inlineStr">
        <is>
          <t>THB</t>
        </is>
      </c>
      <c r="G36" s="28" t="n">
        <v>46171</v>
      </c>
      <c r="H36" s="34" t="inlineStr">
        <is>
          <t>OK</t>
        </is>
      </c>
    </row>
    <row r="37" ht="15" customHeight="1" s="63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22.387</v>
      </c>
      <c r="F37" s="34" t="inlineStr">
        <is>
          <t>THB</t>
        </is>
      </c>
      <c r="G37" s="28" t="n">
        <v>46171</v>
      </c>
      <c r="H37" s="34" t="inlineStr">
        <is>
          <t>OK</t>
        </is>
      </c>
    </row>
    <row r="38" ht="15" customHeight="1" s="63">
      <c r="A38" s="35">
        <f>B38&amp;"|"&amp;C38&amp;"|"&amp;D38</f>
        <v/>
      </c>
      <c r="B38" s="9" t="inlineStr">
        <is>
          <t>Equity</t>
        </is>
      </c>
      <c r="C38" s="35" t="inlineStr">
        <is>
          <t>BANPU</t>
        </is>
      </c>
      <c r="D38" s="35" t="inlineStr">
        <is>
          <t>Asia Plus Securities</t>
        </is>
      </c>
      <c r="E38" s="33" t="n">
        <v>5.7</v>
      </c>
      <c r="F38" s="34" t="inlineStr">
        <is>
          <t>THB</t>
        </is>
      </c>
      <c r="G38" s="28" t="n">
        <v>46173</v>
      </c>
      <c r="H38" s="34" t="inlineStr">
        <is>
          <t>OK</t>
        </is>
      </c>
    </row>
    <row r="39" ht="15" customHeight="1" s="63">
      <c r="A39" s="35">
        <f>B39&amp;"|"&amp;C39&amp;"|"&amp;D39</f>
        <v/>
      </c>
      <c r="B39" s="9" t="inlineStr">
        <is>
          <t>Equity</t>
        </is>
      </c>
      <c r="C39" s="35" t="inlineStr">
        <is>
          <t>BBL</t>
        </is>
      </c>
      <c r="D39" s="35" t="inlineStr">
        <is>
          <t>Asia Plus Securities</t>
        </is>
      </c>
      <c r="E39" s="33" t="n">
        <v>173</v>
      </c>
      <c r="F39" s="34" t="inlineStr">
        <is>
          <t>THB</t>
        </is>
      </c>
      <c r="G39" s="28" t="n">
        <v>46173</v>
      </c>
      <c r="H39" s="34" t="inlineStr">
        <is>
          <t>OK</t>
        </is>
      </c>
    </row>
    <row r="40" ht="15" customHeight="1" s="63">
      <c r="A40" s="35">
        <f>B40&amp;"|"&amp;C40&amp;"|"&amp;D40</f>
        <v/>
      </c>
      <c r="B40" s="9" t="inlineStr">
        <is>
          <t>Equity</t>
        </is>
      </c>
      <c r="C40" s="35" t="inlineStr">
        <is>
          <t>BLAND</t>
        </is>
      </c>
      <c r="D40" s="35" t="inlineStr">
        <is>
          <t>Asia Plus Securities</t>
        </is>
      </c>
      <c r="E40" s="33" t="n">
        <v>0.44</v>
      </c>
      <c r="F40" s="34" t="inlineStr">
        <is>
          <t>THB</t>
        </is>
      </c>
      <c r="G40" s="28" t="n">
        <v>46173</v>
      </c>
      <c r="H40" s="34" t="inlineStr">
        <is>
          <t>OK</t>
        </is>
      </c>
    </row>
    <row r="41" ht="15" customHeight="1" s="63">
      <c r="A41" s="35">
        <f>B41&amp;"|"&amp;C41&amp;"|"&amp;D41</f>
        <v/>
      </c>
      <c r="B41" s="9" t="inlineStr">
        <is>
          <t>Equity</t>
        </is>
      </c>
      <c r="C41" s="35" t="inlineStr">
        <is>
          <t>BWG</t>
        </is>
      </c>
      <c r="D41" s="35" t="inlineStr">
        <is>
          <t>Asia Plus Securities</t>
        </is>
      </c>
      <c r="E41" s="33" t="n">
        <v>0.32</v>
      </c>
      <c r="F41" s="34" t="inlineStr">
        <is>
          <t>THB</t>
        </is>
      </c>
      <c r="G41" s="28" t="n">
        <v>46173</v>
      </c>
      <c r="H41" s="34" t="inlineStr">
        <is>
          <t>OK</t>
        </is>
      </c>
    </row>
    <row r="42" ht="15" customHeight="1" s="63">
      <c r="A42" s="35">
        <f>B42&amp;"|"&amp;C42&amp;"|"&amp;D42</f>
        <v/>
      </c>
      <c r="B42" s="9" t="inlineStr">
        <is>
          <t>Equity</t>
        </is>
      </c>
      <c r="C42" s="35" t="inlineStr">
        <is>
          <t>BWG-W7</t>
        </is>
      </c>
      <c r="D42" s="35" t="inlineStr">
        <is>
          <t>Asia Plus Securities</t>
        </is>
      </c>
      <c r="E42" s="33" t="n">
        <v>0.05</v>
      </c>
      <c r="F42" s="34" t="inlineStr">
        <is>
          <t>THB</t>
        </is>
      </c>
      <c r="G42" s="28" t="n">
        <v>46165</v>
      </c>
      <c r="H42" s="34" t="inlineStr">
        <is>
          <t>MANUAL</t>
        </is>
      </c>
    </row>
    <row r="43" ht="15" customHeight="1" s="63">
      <c r="A43" s="35">
        <f>B43&amp;"|"&amp;C43&amp;"|"&amp;D43</f>
        <v/>
      </c>
      <c r="B43" s="9" t="inlineStr">
        <is>
          <t>Equity</t>
        </is>
      </c>
      <c r="C43" s="35" t="inlineStr">
        <is>
          <t>GSTEEL</t>
        </is>
      </c>
      <c r="D43" s="35" t="inlineStr">
        <is>
          <t>Asia Plus Securities</t>
        </is>
      </c>
      <c r="E43" s="33" t="n">
        <v>0.09</v>
      </c>
      <c r="F43" s="34" t="inlineStr">
        <is>
          <t>THB</t>
        </is>
      </c>
      <c r="G43" s="28" t="n">
        <v>46173</v>
      </c>
      <c r="H43" s="34" t="inlineStr">
        <is>
          <t>OK</t>
        </is>
      </c>
    </row>
    <row r="44" ht="15" customHeight="1" s="63">
      <c r="A44" s="35">
        <f>B44&amp;"|"&amp;C44&amp;"|"&amp;D44</f>
        <v/>
      </c>
      <c r="B44" s="9" t="inlineStr">
        <is>
          <t>Equity</t>
        </is>
      </c>
      <c r="C44" s="35" t="inlineStr">
        <is>
          <t>GULF</t>
        </is>
      </c>
      <c r="D44" s="35" t="inlineStr">
        <is>
          <t>Asia Plus Securities</t>
        </is>
      </c>
      <c r="E44" s="33" t="n">
        <v>62</v>
      </c>
      <c r="F44" s="34" t="inlineStr">
        <is>
          <t>THB</t>
        </is>
      </c>
      <c r="G44" s="28" t="n">
        <v>46173</v>
      </c>
      <c r="H44" s="34" t="inlineStr">
        <is>
          <t>OK</t>
        </is>
      </c>
    </row>
    <row r="45" ht="15" customHeight="1" s="63">
      <c r="A45" s="35">
        <f>B45&amp;"|"&amp;C45&amp;"|"&amp;D45</f>
        <v/>
      </c>
      <c r="B45" s="9" t="inlineStr">
        <is>
          <t>Equity</t>
        </is>
      </c>
      <c r="C45" s="35" t="inlineStr">
        <is>
          <t>NETBAY</t>
        </is>
      </c>
      <c r="D45" s="35" t="inlineStr">
        <is>
          <t>Asia Plus Securities</t>
        </is>
      </c>
      <c r="E45" s="33" t="n">
        <v>9.5</v>
      </c>
      <c r="F45" s="34" t="inlineStr">
        <is>
          <t>THB</t>
        </is>
      </c>
      <c r="G45" s="28" t="n">
        <v>46173</v>
      </c>
      <c r="H45" s="34" t="inlineStr">
        <is>
          <t>OK</t>
        </is>
      </c>
    </row>
    <row r="46" ht="15" customHeight="1" s="63">
      <c r="A46" s="35">
        <f>B46&amp;"|"&amp;C46&amp;"|"&amp;D46</f>
        <v/>
      </c>
      <c r="B46" s="9" t="inlineStr">
        <is>
          <t>Equity</t>
        </is>
      </c>
      <c r="C46" s="35" t="inlineStr">
        <is>
          <t>OSP</t>
        </is>
      </c>
      <c r="D46" s="35" t="inlineStr">
        <is>
          <t>Asia Plus Securities</t>
        </is>
      </c>
      <c r="E46" s="33" t="n">
        <v>15.3</v>
      </c>
      <c r="F46" s="34" t="inlineStr">
        <is>
          <t>THB</t>
        </is>
      </c>
      <c r="G46" s="28" t="n">
        <v>46173</v>
      </c>
      <c r="H46" s="34" t="inlineStr">
        <is>
          <t>OK</t>
        </is>
      </c>
    </row>
    <row r="47" ht="15" customHeight="1" s="63">
      <c r="A47" s="35">
        <f>B47&amp;"|"&amp;C47&amp;"|"&amp;D47</f>
        <v/>
      </c>
      <c r="B47" s="9" t="inlineStr">
        <is>
          <t>Equity</t>
        </is>
      </c>
      <c r="C47" s="35" t="inlineStr">
        <is>
          <t>RJH</t>
        </is>
      </c>
      <c r="D47" s="35" t="inlineStr">
        <is>
          <t>Asia Plus Securities</t>
        </is>
      </c>
      <c r="E47" s="33" t="n">
        <v>13</v>
      </c>
      <c r="F47" s="34" t="inlineStr">
        <is>
          <t>THB</t>
        </is>
      </c>
      <c r="G47" s="28" t="n">
        <v>46173</v>
      </c>
      <c r="H47" s="34" t="inlineStr">
        <is>
          <t>OK</t>
        </is>
      </c>
    </row>
    <row r="48" ht="15" customHeight="1" s="63">
      <c r="A48" s="35">
        <f>B48&amp;"|"&amp;C48&amp;"|"&amp;D48</f>
        <v/>
      </c>
      <c r="B48" s="9" t="inlineStr">
        <is>
          <t>Equity</t>
        </is>
      </c>
      <c r="C48" s="35" t="inlineStr">
        <is>
          <t>SAMART</t>
        </is>
      </c>
      <c r="D48" s="35" t="inlineStr">
        <is>
          <t>Asia Plus Securities</t>
        </is>
      </c>
      <c r="E48" s="33" t="n">
        <v>5.5</v>
      </c>
      <c r="F48" s="34" t="inlineStr">
        <is>
          <t>THB</t>
        </is>
      </c>
      <c r="G48" s="28" t="n">
        <v>46173</v>
      </c>
      <c r="H48" s="34" t="inlineStr">
        <is>
          <t>OK</t>
        </is>
      </c>
    </row>
    <row r="49" ht="15" customHeight="1" s="63">
      <c r="A49" s="35">
        <f>B49&amp;"|"&amp;C49&amp;"|"&amp;D49</f>
        <v/>
      </c>
      <c r="B49" s="9" t="inlineStr">
        <is>
          <t>Equity</t>
        </is>
      </c>
      <c r="C49" s="35" t="inlineStr">
        <is>
          <t>SAWAD</t>
        </is>
      </c>
      <c r="D49" s="35" t="inlineStr">
        <is>
          <t>Asia Plus Securities</t>
        </is>
      </c>
      <c r="E49" s="33" t="n">
        <v>21.9</v>
      </c>
      <c r="F49" s="34" t="inlineStr">
        <is>
          <t>THB</t>
        </is>
      </c>
      <c r="G49" s="28" t="n">
        <v>46173</v>
      </c>
      <c r="H49" s="34" t="inlineStr">
        <is>
          <t>OK</t>
        </is>
      </c>
    </row>
    <row r="50" ht="15" customHeight="1" s="63">
      <c r="A50" s="35">
        <f>B50&amp;"|"&amp;C50&amp;"|"&amp;D50</f>
        <v/>
      </c>
      <c r="B50" s="9" t="inlineStr">
        <is>
          <t>Equity</t>
        </is>
      </c>
      <c r="C50" s="35" t="inlineStr">
        <is>
          <t>WORK</t>
        </is>
      </c>
      <c r="D50" s="35" t="inlineStr">
        <is>
          <t>Asia Plus Securities</t>
        </is>
      </c>
      <c r="E50" s="33" t="n">
        <v>3.54</v>
      </c>
      <c r="F50" s="34" t="inlineStr">
        <is>
          <t>THB</t>
        </is>
      </c>
      <c r="G50" s="28" t="n">
        <v>46173</v>
      </c>
      <c r="H50" s="34" t="inlineStr">
        <is>
          <t>OK</t>
        </is>
      </c>
    </row>
    <row r="51" ht="15" customHeight="1" s="63">
      <c r="A51" s="35">
        <f>B51&amp;"|"&amp;C51&amp;"|"&amp;D51</f>
        <v/>
      </c>
      <c r="B51" s="9" t="inlineStr">
        <is>
          <t>Equity</t>
        </is>
      </c>
      <c r="C51" s="35" t="inlineStr">
        <is>
          <t>HUMAN</t>
        </is>
      </c>
      <c r="D51" s="35" t="inlineStr">
        <is>
          <t>DBS Vickers</t>
        </is>
      </c>
      <c r="E51" s="33" t="n">
        <v>4.6</v>
      </c>
      <c r="F51" s="34" t="inlineStr">
        <is>
          <t>THB</t>
        </is>
      </c>
      <c r="G51" s="28" t="n">
        <v>46173</v>
      </c>
      <c r="H51" s="34" t="inlineStr">
        <is>
          <t>OK</t>
        </is>
      </c>
    </row>
    <row r="52" ht="15" customHeight="1" s="63">
      <c r="A52" s="35">
        <f>B52&amp;"|"&amp;C52&amp;"|"&amp;D52</f>
        <v/>
      </c>
      <c r="B52" s="9" t="inlineStr">
        <is>
          <t>Equity</t>
        </is>
      </c>
      <c r="C52" s="35" t="inlineStr">
        <is>
          <t>NCAP</t>
        </is>
      </c>
      <c r="D52" s="35" t="inlineStr">
        <is>
          <t>DBS Vickers</t>
        </is>
      </c>
      <c r="E52" s="33" t="n">
        <v>2.76</v>
      </c>
      <c r="F52" s="34" t="inlineStr">
        <is>
          <t>THB</t>
        </is>
      </c>
      <c r="G52" s="28" t="n">
        <v>46173</v>
      </c>
      <c r="H52" s="34" t="inlineStr">
        <is>
          <t>OK</t>
        </is>
      </c>
    </row>
    <row r="53" ht="15" customHeight="1" s="63">
      <c r="A53" s="35">
        <f>B53&amp;"|"&amp;C53&amp;"|"&amp;D53</f>
        <v/>
      </c>
      <c r="B53" s="9" t="inlineStr">
        <is>
          <t>Equity</t>
        </is>
      </c>
      <c r="C53" s="35" t="inlineStr">
        <is>
          <t>OR</t>
        </is>
      </c>
      <c r="D53" s="35" t="inlineStr">
        <is>
          <t>DBS Vickers</t>
        </is>
      </c>
      <c r="E53" s="33" t="n">
        <v>12.4</v>
      </c>
      <c r="F53" s="34" t="inlineStr">
        <is>
          <t>THB</t>
        </is>
      </c>
      <c r="G53" s="28" t="n">
        <v>46173</v>
      </c>
      <c r="H53" s="34" t="inlineStr">
        <is>
          <t>OK</t>
        </is>
      </c>
    </row>
    <row r="54" ht="15" customHeight="1" s="63">
      <c r="A54" s="35">
        <f>B54&amp;"|"&amp;C54&amp;"|"&amp;D54</f>
        <v/>
      </c>
      <c r="B54" s="9" t="inlineStr">
        <is>
          <t>Equity</t>
        </is>
      </c>
      <c r="C54" s="35" t="inlineStr">
        <is>
          <t>TIDLOR</t>
        </is>
      </c>
      <c r="D54" s="35" t="inlineStr">
        <is>
          <t>DBS Vickers</t>
        </is>
      </c>
      <c r="E54" s="33" t="n">
        <v>18.3</v>
      </c>
      <c r="F54" s="34" t="inlineStr">
        <is>
          <t>THB</t>
        </is>
      </c>
      <c r="G54" s="28" t="n">
        <v>46173</v>
      </c>
      <c r="H54" s="34" t="inlineStr">
        <is>
          <t>OK</t>
        </is>
      </c>
    </row>
    <row r="55" ht="15" customHeight="1" s="63">
      <c r="A55" s="35">
        <f>B55&amp;"|"&amp;C55&amp;"|"&amp;D55</f>
        <v/>
      </c>
      <c r="B55" s="9" t="inlineStr">
        <is>
          <t>Equity</t>
        </is>
      </c>
      <c r="C55" s="35" t="inlineStr">
        <is>
          <t>ACLS</t>
        </is>
      </c>
      <c r="D55" s="35" t="inlineStr">
        <is>
          <t>Dime</t>
        </is>
      </c>
      <c r="E55" s="33" t="n">
        <v>150.41</v>
      </c>
      <c r="F55" s="34" t="inlineStr">
        <is>
          <t>USD</t>
        </is>
      </c>
      <c r="G55" s="28" t="n">
        <v>46173</v>
      </c>
      <c r="H55" s="34" t="inlineStr">
        <is>
          <t>OK</t>
        </is>
      </c>
    </row>
    <row r="56" ht="15" customHeight="1" s="63">
      <c r="A56" s="35">
        <f>B56&amp;"|"&amp;C56&amp;"|"&amp;D56</f>
        <v/>
      </c>
      <c r="B56" s="9" t="inlineStr">
        <is>
          <t>Equity</t>
        </is>
      </c>
      <c r="C56" s="35" t="inlineStr">
        <is>
          <t>ADBE</t>
        </is>
      </c>
      <c r="D56" s="35" t="inlineStr">
        <is>
          <t>Dime</t>
        </is>
      </c>
      <c r="E56" s="33" t="n">
        <v>259.21</v>
      </c>
      <c r="F56" s="34" t="inlineStr">
        <is>
          <t>USD</t>
        </is>
      </c>
      <c r="G56" s="28" t="n">
        <v>46173</v>
      </c>
      <c r="H56" s="34" t="inlineStr">
        <is>
          <t>OK</t>
        </is>
      </c>
    </row>
    <row r="57" ht="15" customHeight="1" s="63">
      <c r="A57" s="35">
        <f>B57&amp;"|"&amp;C57&amp;"|"&amp;D57</f>
        <v/>
      </c>
      <c r="B57" s="9" t="inlineStr">
        <is>
          <t>Equity</t>
        </is>
      </c>
      <c r="C57" s="35" t="inlineStr">
        <is>
          <t>AMAT</t>
        </is>
      </c>
      <c r="D57" s="35" t="inlineStr">
        <is>
          <t>Dime</t>
        </is>
      </c>
      <c r="E57" s="33" t="n">
        <v>450.06</v>
      </c>
      <c r="F57" s="34" t="inlineStr">
        <is>
          <t>USD</t>
        </is>
      </c>
      <c r="G57" s="28" t="n">
        <v>46173</v>
      </c>
      <c r="H57" s="34" t="inlineStr">
        <is>
          <t>OK</t>
        </is>
      </c>
    </row>
    <row r="58" ht="15" customHeight="1" s="63">
      <c r="A58" s="35">
        <f>B58&amp;"|"&amp;C58&amp;"|"&amp;D58</f>
        <v/>
      </c>
      <c r="B58" s="9" t="inlineStr">
        <is>
          <t>Equity</t>
        </is>
      </c>
      <c r="C58" s="35" t="inlineStr">
        <is>
          <t>CRUS</t>
        </is>
      </c>
      <c r="D58" s="35" t="inlineStr">
        <is>
          <t>Dime</t>
        </is>
      </c>
      <c r="E58" s="33" t="n">
        <v>169.95</v>
      </c>
      <c r="F58" s="34" t="inlineStr">
        <is>
          <t>USD</t>
        </is>
      </c>
      <c r="G58" s="28" t="n">
        <v>46173</v>
      </c>
      <c r="H58" s="34" t="inlineStr">
        <is>
          <t>OK</t>
        </is>
      </c>
    </row>
    <row r="59" ht="15" customHeight="1" s="63">
      <c r="A59" s="35">
        <f>B59&amp;"|"&amp;C59&amp;"|"&amp;D59</f>
        <v/>
      </c>
      <c r="B59" s="9" t="inlineStr">
        <is>
          <t>Equity</t>
        </is>
      </c>
      <c r="C59" s="35" t="inlineStr">
        <is>
          <t>ENPH</t>
        </is>
      </c>
      <c r="D59" s="35" t="inlineStr">
        <is>
          <t>Dime</t>
        </is>
      </c>
      <c r="E59" s="33" t="n">
        <v>68.36</v>
      </c>
      <c r="F59" s="34" t="inlineStr">
        <is>
          <t>USD</t>
        </is>
      </c>
      <c r="G59" s="28" t="n">
        <v>46173</v>
      </c>
      <c r="H59" s="34" t="inlineStr">
        <is>
          <t>OK</t>
        </is>
      </c>
    </row>
    <row r="60" ht="15" customHeight="1" s="63">
      <c r="A60" s="35">
        <f>B60&amp;"|"&amp;C60&amp;"|"&amp;D60</f>
        <v/>
      </c>
      <c r="B60" s="9" t="inlineStr">
        <is>
          <t>Equity</t>
        </is>
      </c>
      <c r="C60" s="35" t="inlineStr">
        <is>
          <t>EWY</t>
        </is>
      </c>
      <c r="D60" s="35" t="inlineStr">
        <is>
          <t>Dime</t>
        </is>
      </c>
      <c r="E60" s="33" t="n">
        <v>205.83</v>
      </c>
      <c r="F60" s="34" t="inlineStr">
        <is>
          <t>USD</t>
        </is>
      </c>
      <c r="G60" s="28" t="n">
        <v>46173</v>
      </c>
      <c r="H60" s="34" t="inlineStr">
        <is>
          <t>OK</t>
        </is>
      </c>
    </row>
    <row r="61" ht="15" customHeight="1" s="63">
      <c r="A61" s="35">
        <f>B61&amp;"|"&amp;C61&amp;"|"&amp;D61</f>
        <v/>
      </c>
      <c r="B61" s="9" t="inlineStr">
        <is>
          <t>Equity</t>
        </is>
      </c>
      <c r="C61" s="35" t="inlineStr">
        <is>
          <t>FTNT</t>
        </is>
      </c>
      <c r="D61" s="35" t="inlineStr">
        <is>
          <t>Dime</t>
        </is>
      </c>
      <c r="E61" s="33" t="n">
        <v>137.97</v>
      </c>
      <c r="F61" s="34" t="inlineStr">
        <is>
          <t>USD</t>
        </is>
      </c>
      <c r="G61" s="28" t="n">
        <v>46173</v>
      </c>
      <c r="H61" s="34" t="inlineStr">
        <is>
          <t>OK</t>
        </is>
      </c>
    </row>
    <row r="62" ht="15" customHeight="1" s="63">
      <c r="A62" s="35">
        <f>B62&amp;"|"&amp;C62&amp;"|"&amp;D62</f>
        <v/>
      </c>
      <c r="B62" s="9" t="inlineStr">
        <is>
          <t>Equity</t>
        </is>
      </c>
      <c r="C62" s="35" t="inlineStr">
        <is>
          <t>IT</t>
        </is>
      </c>
      <c r="D62" s="35" t="inlineStr">
        <is>
          <t>Dime</t>
        </is>
      </c>
      <c r="E62" s="33" t="n">
        <v>162.2</v>
      </c>
      <c r="F62" s="34" t="inlineStr">
        <is>
          <t>USD</t>
        </is>
      </c>
      <c r="G62" s="28" t="n">
        <v>46173</v>
      </c>
      <c r="H62" s="34" t="inlineStr">
        <is>
          <t>OK</t>
        </is>
      </c>
    </row>
    <row r="63" ht="15" customHeight="1" s="63">
      <c r="A63" s="35">
        <f>B63&amp;"|"&amp;C63&amp;"|"&amp;D63</f>
        <v/>
      </c>
      <c r="B63" s="9" t="inlineStr">
        <is>
          <t>Equity</t>
        </is>
      </c>
      <c r="C63" s="35" t="inlineStr">
        <is>
          <t>KLAC</t>
        </is>
      </c>
      <c r="D63" s="35" t="inlineStr">
        <is>
          <t>Dime</t>
        </is>
      </c>
      <c r="E63" s="33" t="n">
        <v>1921.71</v>
      </c>
      <c r="F63" s="34" t="inlineStr">
        <is>
          <t>USD</t>
        </is>
      </c>
      <c r="G63" s="28" t="n">
        <v>46173</v>
      </c>
      <c r="H63" s="34" t="inlineStr">
        <is>
          <t>OK</t>
        </is>
      </c>
    </row>
    <row r="64" ht="15" customHeight="1" s="63">
      <c r="A64" s="35">
        <f>B64&amp;"|"&amp;C64&amp;"|"&amp;D64</f>
        <v/>
      </c>
      <c r="B64" s="9" t="inlineStr">
        <is>
          <t>Equity</t>
        </is>
      </c>
      <c r="C64" s="35" t="inlineStr">
        <is>
          <t>LLY</t>
        </is>
      </c>
      <c r="D64" s="35" t="inlineStr">
        <is>
          <t>Dime</t>
        </is>
      </c>
      <c r="E64" s="33" t="n">
        <v>1105</v>
      </c>
      <c r="F64" s="34" t="inlineStr">
        <is>
          <t>USD</t>
        </is>
      </c>
      <c r="G64" s="28" t="n">
        <v>46173</v>
      </c>
      <c r="H64" s="34" t="inlineStr">
        <is>
          <t>OK</t>
        </is>
      </c>
    </row>
    <row r="65" ht="15" customHeight="1" s="63">
      <c r="A65" s="35">
        <f>B65&amp;"|"&amp;C65&amp;"|"&amp;D65</f>
        <v/>
      </c>
      <c r="B65" s="9" t="inlineStr">
        <is>
          <t>Equity</t>
        </is>
      </c>
      <c r="C65" s="35" t="inlineStr">
        <is>
          <t>MCHP</t>
        </is>
      </c>
      <c r="D65" s="35" t="inlineStr">
        <is>
          <t>Dime</t>
        </is>
      </c>
      <c r="E65" s="33" t="n">
        <v>94.65000000000001</v>
      </c>
      <c r="F65" s="34" t="inlineStr">
        <is>
          <t>USD</t>
        </is>
      </c>
      <c r="G65" s="28" t="n">
        <v>46173</v>
      </c>
      <c r="H65" s="34" t="inlineStr">
        <is>
          <t>OK</t>
        </is>
      </c>
    </row>
    <row r="66" ht="15" customHeight="1" s="63">
      <c r="A66" s="35">
        <f>B66&amp;"|"&amp;C66&amp;"|"&amp;D66</f>
        <v/>
      </c>
      <c r="B66" s="9" t="inlineStr">
        <is>
          <t>Equity</t>
        </is>
      </c>
      <c r="C66" s="35" t="inlineStr">
        <is>
          <t>MPWR</t>
        </is>
      </c>
      <c r="D66" s="35" t="inlineStr">
        <is>
          <t>Dime</t>
        </is>
      </c>
      <c r="E66" s="33" t="n">
        <v>1566.21</v>
      </c>
      <c r="F66" s="34" t="inlineStr">
        <is>
          <t>USD</t>
        </is>
      </c>
      <c r="G66" s="28" t="n">
        <v>46173</v>
      </c>
      <c r="H66" s="34" t="inlineStr">
        <is>
          <t>OK</t>
        </is>
      </c>
    </row>
    <row r="67" ht="15" customHeight="1" s="63">
      <c r="A67" s="35">
        <f>B67&amp;"|"&amp;C67&amp;"|"&amp;D67</f>
        <v/>
      </c>
      <c r="B67" s="9" t="inlineStr">
        <is>
          <t>Equity</t>
        </is>
      </c>
      <c r="C67" s="35" t="inlineStr">
        <is>
          <t>NSIT</t>
        </is>
      </c>
      <c r="D67" s="35" t="inlineStr">
        <is>
          <t>Dime</t>
        </is>
      </c>
      <c r="E67" s="33" t="n">
        <v>106.38</v>
      </c>
      <c r="F67" s="34" t="inlineStr">
        <is>
          <t>USD</t>
        </is>
      </c>
      <c r="G67" s="28" t="n">
        <v>46173</v>
      </c>
      <c r="H67" s="34" t="inlineStr">
        <is>
          <t>OK</t>
        </is>
      </c>
    </row>
    <row r="68" ht="15" customHeight="1" s="63">
      <c r="A68" s="35">
        <f>B68&amp;"|"&amp;C68&amp;"|"&amp;D68</f>
        <v/>
      </c>
      <c r="B68" s="9" t="inlineStr">
        <is>
          <t>Equity</t>
        </is>
      </c>
      <c r="C68" s="35" t="inlineStr">
        <is>
          <t>NVDA</t>
        </is>
      </c>
      <c r="D68" s="35" t="inlineStr">
        <is>
          <t>Dime</t>
        </is>
      </c>
      <c r="E68" s="33" t="n">
        <v>211.14</v>
      </c>
      <c r="F68" s="34" t="inlineStr">
        <is>
          <t>USD</t>
        </is>
      </c>
      <c r="G68" s="28" t="n">
        <v>46173</v>
      </c>
      <c r="H68" s="34" t="inlineStr">
        <is>
          <t>OK</t>
        </is>
      </c>
    </row>
    <row r="69" ht="15" customHeight="1" s="63">
      <c r="A69" s="35">
        <f>B69&amp;"|"&amp;C69&amp;"|"&amp;D69</f>
        <v/>
      </c>
      <c r="B69" s="9" t="inlineStr">
        <is>
          <t>Equity</t>
        </is>
      </c>
      <c r="C69" s="35" t="inlineStr">
        <is>
          <t>OLED</t>
        </is>
      </c>
      <c r="D69" s="35" t="inlineStr">
        <is>
          <t>Dime</t>
        </is>
      </c>
      <c r="E69" s="33" t="n">
        <v>92.12</v>
      </c>
      <c r="F69" s="34" t="inlineStr">
        <is>
          <t>USD</t>
        </is>
      </c>
      <c r="G69" s="28" t="n">
        <v>46173</v>
      </c>
      <c r="H69" s="34" t="inlineStr">
        <is>
          <t>OK</t>
        </is>
      </c>
    </row>
    <row r="70" ht="15" customHeight="1" s="63">
      <c r="A70" s="35">
        <f>B70&amp;"|"&amp;C70&amp;"|"&amp;D70</f>
        <v/>
      </c>
      <c r="B70" s="9" t="inlineStr">
        <is>
          <t>Equity</t>
        </is>
      </c>
      <c r="C70" s="35" t="inlineStr">
        <is>
          <t>QRVO</t>
        </is>
      </c>
      <c r="D70" s="35" t="inlineStr">
        <is>
          <t>Dime</t>
        </is>
      </c>
      <c r="E70" s="33" t="n">
        <v>103.56</v>
      </c>
      <c r="F70" s="34" t="inlineStr">
        <is>
          <t>USD</t>
        </is>
      </c>
      <c r="G70" s="28" t="n">
        <v>46173</v>
      </c>
      <c r="H70" s="34" t="inlineStr">
        <is>
          <t>OK</t>
        </is>
      </c>
    </row>
    <row r="71" ht="15" customHeight="1" s="63">
      <c r="A71" s="35">
        <f>B71&amp;"|"&amp;C71&amp;"|"&amp;D71</f>
        <v/>
      </c>
      <c r="B71" s="9" t="inlineStr">
        <is>
          <t>Equity</t>
        </is>
      </c>
      <c r="C71" s="35" t="inlineStr">
        <is>
          <t>TER</t>
        </is>
      </c>
      <c r="D71" s="35" t="inlineStr">
        <is>
          <t>Dime</t>
        </is>
      </c>
      <c r="E71" s="33" t="n">
        <v>374.31</v>
      </c>
      <c r="F71" s="34" t="inlineStr">
        <is>
          <t>USD</t>
        </is>
      </c>
      <c r="G71" s="28" t="n">
        <v>46173</v>
      </c>
      <c r="H71" s="34" t="inlineStr">
        <is>
          <t>OK</t>
        </is>
      </c>
    </row>
    <row r="72" ht="15" customHeight="1" s="63">
      <c r="A72" s="35">
        <f>B72&amp;"|"&amp;C72&amp;"|"&amp;D72</f>
        <v/>
      </c>
      <c r="B72" s="9" t="inlineStr">
        <is>
          <t>Equity</t>
        </is>
      </c>
      <c r="C72" s="35" t="inlineStr">
        <is>
          <t>TSLA</t>
        </is>
      </c>
      <c r="D72" s="35" t="inlineStr">
        <is>
          <t>Dime</t>
        </is>
      </c>
      <c r="E72" s="33" t="n">
        <v>435.79</v>
      </c>
      <c r="F72" s="34" t="inlineStr">
        <is>
          <t>USD</t>
        </is>
      </c>
      <c r="G72" s="28" t="n">
        <v>46173</v>
      </c>
      <c r="H72" s="34" t="inlineStr">
        <is>
          <t>OK</t>
        </is>
      </c>
    </row>
    <row r="73" ht="15" customHeight="1" s="63">
      <c r="A73" s="35">
        <f>B73&amp;"|"&amp;C73&amp;"|"&amp;D73</f>
        <v/>
      </c>
      <c r="B73" s="9" t="inlineStr">
        <is>
          <t>Equity</t>
        </is>
      </c>
      <c r="C73" s="35" t="inlineStr">
        <is>
          <t>YOU</t>
        </is>
      </c>
      <c r="D73" s="35" t="inlineStr">
        <is>
          <t>Dime</t>
        </is>
      </c>
      <c r="E73" s="33" t="n">
        <v>55.45</v>
      </c>
      <c r="F73" s="34" t="inlineStr">
        <is>
          <t>USD</t>
        </is>
      </c>
      <c r="G73" s="28" t="n">
        <v>46173</v>
      </c>
      <c r="H73" s="34" t="inlineStr">
        <is>
          <t>OK</t>
        </is>
      </c>
    </row>
    <row r="74" ht="15" customHeight="1" s="63">
      <c r="A74" s="35">
        <f>B74&amp;"|"&amp;C74&amp;"|"&amp;D74</f>
        <v/>
      </c>
      <c r="B74" s="9" t="inlineStr">
        <is>
          <t>Equity</t>
        </is>
      </c>
      <c r="C74" s="35" t="inlineStr">
        <is>
          <t>REMX</t>
        </is>
      </c>
      <c r="D74" s="35" t="inlineStr">
        <is>
          <t>SCB SG</t>
        </is>
      </c>
      <c r="E74" s="33" t="n">
        <v>99.63</v>
      </c>
      <c r="F74" s="34" t="inlineStr">
        <is>
          <t>USD</t>
        </is>
      </c>
      <c r="G74" s="28" t="n">
        <v>46173</v>
      </c>
      <c r="H74" s="34" t="inlineStr">
        <is>
          <t>OK</t>
        </is>
      </c>
    </row>
    <row r="75" ht="15" customHeight="1" s="63">
      <c r="A75" s="35">
        <f>B75&amp;"|"&amp;C75&amp;"|"&amp;D75</f>
        <v/>
      </c>
      <c r="B75" s="9" t="inlineStr">
        <is>
          <t>Equity</t>
        </is>
      </c>
      <c r="C75" s="35" t="inlineStr">
        <is>
          <t>AAPL</t>
        </is>
      </c>
      <c r="D75" s="35" t="inlineStr">
        <is>
          <t>SCB SG</t>
        </is>
      </c>
      <c r="E75" s="33" t="n">
        <v>312.06</v>
      </c>
      <c r="F75" s="34" t="inlineStr">
        <is>
          <t>USD</t>
        </is>
      </c>
      <c r="G75" s="28" t="n">
        <v>46173</v>
      </c>
      <c r="H75" s="34" t="inlineStr">
        <is>
          <t>OK</t>
        </is>
      </c>
    </row>
    <row r="76" ht="15" customHeight="1" s="63">
      <c r="A76" s="35">
        <f>B76&amp;"|"&amp;C76&amp;"|"&amp;D76</f>
        <v/>
      </c>
      <c r="B76" s="9" t="inlineStr">
        <is>
          <t>Equity</t>
        </is>
      </c>
      <c r="C76" s="35" t="inlineStr">
        <is>
          <t>COIN</t>
        </is>
      </c>
      <c r="D76" s="35" t="inlineStr">
        <is>
          <t>SCB SG</t>
        </is>
      </c>
      <c r="E76" s="33" t="n">
        <v>189.03</v>
      </c>
      <c r="F76" s="34" t="inlineStr">
        <is>
          <t>USD</t>
        </is>
      </c>
      <c r="G76" s="28" t="n">
        <v>46173</v>
      </c>
      <c r="H76" s="34" t="inlineStr">
        <is>
          <t>OK</t>
        </is>
      </c>
    </row>
    <row r="77" ht="15" customHeight="1" s="63">
      <c r="A77" s="35">
        <f>B77&amp;"|"&amp;C77&amp;"|"&amp;D77</f>
        <v/>
      </c>
      <c r="B77" s="9" t="inlineStr">
        <is>
          <t>Equity</t>
        </is>
      </c>
      <c r="C77" s="35" t="inlineStr">
        <is>
          <t>META</t>
        </is>
      </c>
      <c r="D77" s="35" t="inlineStr">
        <is>
          <t>SCB SG</t>
        </is>
      </c>
      <c r="E77" s="33" t="n">
        <v>632.51</v>
      </c>
      <c r="F77" s="34" t="inlineStr">
        <is>
          <t>USD</t>
        </is>
      </c>
      <c r="G77" s="28" t="n">
        <v>46173</v>
      </c>
      <c r="H77" s="34" t="inlineStr">
        <is>
          <t>OK</t>
        </is>
      </c>
    </row>
    <row r="78" ht="15" customHeight="1" s="63">
      <c r="A78" s="35">
        <f>B78&amp;"|"&amp;C78&amp;"|"&amp;D78</f>
        <v/>
      </c>
      <c r="B78" s="9" t="inlineStr">
        <is>
          <t>Equity</t>
        </is>
      </c>
      <c r="C78" s="35" t="inlineStr">
        <is>
          <t>VCX</t>
        </is>
      </c>
      <c r="D78" s="35" t="inlineStr">
        <is>
          <t>SCB SG</t>
        </is>
      </c>
      <c r="E78" s="33" t="n">
        <v>211</v>
      </c>
      <c r="F78" s="34" t="inlineStr">
        <is>
          <t>USD</t>
        </is>
      </c>
      <c r="G78" s="28" t="n">
        <v>46173</v>
      </c>
      <c r="H78" s="34" t="inlineStr">
        <is>
          <t>OK</t>
        </is>
      </c>
    </row>
    <row r="79" ht="15" customHeight="1" s="63">
      <c r="A79" s="35">
        <f>B79&amp;"|"&amp;C79&amp;"|"&amp;D79</f>
        <v/>
      </c>
      <c r="B79" s="9" t="inlineStr">
        <is>
          <t>Crypto</t>
        </is>
      </c>
      <c r="C79" s="35" t="inlineStr">
        <is>
          <t>AAVE</t>
        </is>
      </c>
      <c r="D79" s="35" t="inlineStr">
        <is>
          <t>Binance</t>
        </is>
      </c>
      <c r="E79" s="33" t="n">
        <v>81.84999999999999</v>
      </c>
      <c r="F79" s="34" t="inlineStr">
        <is>
          <t>USD</t>
        </is>
      </c>
      <c r="G79" s="28" t="n">
        <v>46173</v>
      </c>
      <c r="H79" s="34" t="inlineStr">
        <is>
          <t>OK</t>
        </is>
      </c>
    </row>
    <row r="80" ht="15" customHeight="1" s="63">
      <c r="A80" s="35">
        <f>B80&amp;"|"&amp;C80&amp;"|"&amp;D80</f>
        <v/>
      </c>
      <c r="B80" s="9" t="inlineStr">
        <is>
          <t>Crypto</t>
        </is>
      </c>
      <c r="C80" s="35" t="inlineStr">
        <is>
          <t>BNB</t>
        </is>
      </c>
      <c r="D80" s="35" t="inlineStr">
        <is>
          <t>Binance</t>
        </is>
      </c>
      <c r="E80" s="33" t="n">
        <v>719.8200000000001</v>
      </c>
      <c r="F80" s="34" t="inlineStr">
        <is>
          <t>USD</t>
        </is>
      </c>
      <c r="G80" s="28" t="n">
        <v>46173</v>
      </c>
      <c r="H80" s="34" t="inlineStr">
        <is>
          <t>OK</t>
        </is>
      </c>
    </row>
    <row r="81" ht="15" customHeight="1" s="63">
      <c r="A81" s="35">
        <f>B81&amp;"|"&amp;C81&amp;"|"&amp;D81</f>
        <v/>
      </c>
      <c r="B81" s="9" t="inlineStr">
        <is>
          <t>Crypto</t>
        </is>
      </c>
      <c r="C81" s="35" t="inlineStr">
        <is>
          <t>BTC</t>
        </is>
      </c>
      <c r="D81" s="35" t="inlineStr">
        <is>
          <t>Binance</t>
        </is>
      </c>
      <c r="E81" s="33" t="n">
        <v>73546</v>
      </c>
      <c r="F81" s="34" t="inlineStr">
        <is>
          <t>USD</t>
        </is>
      </c>
      <c r="G81" s="28" t="n">
        <v>46173</v>
      </c>
      <c r="H81" s="34" t="inlineStr">
        <is>
          <t>OK</t>
        </is>
      </c>
    </row>
    <row r="82" ht="15" customHeight="1" s="63">
      <c r="A82" s="35">
        <f>B82&amp;"|"&amp;C82&amp;"|"&amp;D82</f>
        <v/>
      </c>
      <c r="B82" s="9" t="inlineStr">
        <is>
          <t>Crypto</t>
        </is>
      </c>
      <c r="C82" s="35" t="inlineStr">
        <is>
          <t>PENGU</t>
        </is>
      </c>
      <c r="D82" s="35" t="inlineStr">
        <is>
          <t>Binance</t>
        </is>
      </c>
      <c r="E82" s="33" t="n">
        <v>0.00787</v>
      </c>
      <c r="F82" s="34" t="inlineStr">
        <is>
          <t>USD</t>
        </is>
      </c>
      <c r="G82" s="28" t="n">
        <v>46173</v>
      </c>
      <c r="H82" s="34" t="inlineStr">
        <is>
          <t>OK</t>
        </is>
      </c>
    </row>
    <row r="83" ht="15" customHeight="1" s="63">
      <c r="A83" s="35">
        <f>B83&amp;"|"&amp;C83&amp;"|"&amp;D83</f>
        <v/>
      </c>
      <c r="B83" s="9" t="inlineStr">
        <is>
          <t>Crypto</t>
        </is>
      </c>
      <c r="C83" s="35" t="inlineStr">
        <is>
          <t>PLUME</t>
        </is>
      </c>
      <c r="D83" s="35" t="inlineStr">
        <is>
          <t>Binance</t>
        </is>
      </c>
      <c r="E83" s="33" t="n">
        <v>0.012685</v>
      </c>
      <c r="F83" s="34" t="inlineStr">
        <is>
          <t>USD</t>
        </is>
      </c>
      <c r="G83" s="28" t="n">
        <v>46173</v>
      </c>
      <c r="H83" s="34" t="inlineStr">
        <is>
          <t>OK</t>
        </is>
      </c>
    </row>
    <row r="84" ht="15" customHeight="1" s="63">
      <c r="A84" s="35">
        <f>B84&amp;"|"&amp;C84&amp;"|"&amp;D84</f>
        <v/>
      </c>
      <c r="B84" s="9" t="inlineStr">
        <is>
          <t>Crypto</t>
        </is>
      </c>
      <c r="C84" s="35" t="inlineStr">
        <is>
          <t>SOL</t>
        </is>
      </c>
      <c r="D84" s="35" t="inlineStr">
        <is>
          <t>Binance</t>
        </is>
      </c>
      <c r="E84" s="33" t="n">
        <v>81.92</v>
      </c>
      <c r="F84" s="34" t="inlineStr">
        <is>
          <t>USD</t>
        </is>
      </c>
      <c r="G84" s="28" t="n">
        <v>46173</v>
      </c>
      <c r="H84" s="34" t="inlineStr">
        <is>
          <t>OK</t>
        </is>
      </c>
    </row>
    <row r="85" ht="15" customHeight="1" s="63">
      <c r="A85" s="35">
        <f>B85&amp;"|"&amp;C85&amp;"|"&amp;D85</f>
        <v/>
      </c>
      <c r="B85" s="9" t="inlineStr">
        <is>
          <t>Crypto</t>
        </is>
      </c>
      <c r="C85" s="35" t="inlineStr">
        <is>
          <t>TRUMP</t>
        </is>
      </c>
      <c r="D85" s="35" t="inlineStr">
        <is>
          <t>Binance</t>
        </is>
      </c>
      <c r="E85" s="33" t="n">
        <v>1.99</v>
      </c>
      <c r="F85" s="34" t="inlineStr">
        <is>
          <t>USD</t>
        </is>
      </c>
      <c r="G85" s="28" t="n">
        <v>46173</v>
      </c>
      <c r="H85" s="34" t="inlineStr">
        <is>
          <t>OK</t>
        </is>
      </c>
    </row>
    <row r="86" ht="15" customHeight="1" s="63">
      <c r="A86" s="35">
        <f>B86&amp;"|"&amp;C86&amp;"|"&amp;D86</f>
        <v/>
      </c>
      <c r="B86" s="9" t="inlineStr">
        <is>
          <t>Crypto</t>
        </is>
      </c>
      <c r="C86" s="35" t="inlineStr">
        <is>
          <t>USDT</t>
        </is>
      </c>
      <c r="D86" s="35" t="inlineStr">
        <is>
          <t>Binance</t>
        </is>
      </c>
      <c r="E86" s="33" t="n">
        <v>1</v>
      </c>
      <c r="F86" s="34" t="inlineStr">
        <is>
          <t>USD</t>
        </is>
      </c>
      <c r="G86" s="28" t="n">
        <v>46173</v>
      </c>
      <c r="H86" s="34" t="inlineStr">
        <is>
          <t>OK</t>
        </is>
      </c>
    </row>
    <row r="87" ht="15" customHeight="1" s="63">
      <c r="A87" s="35">
        <f>B87&amp;"|"&amp;C87&amp;"|"&amp;D87</f>
        <v/>
      </c>
      <c r="B87" s="9" t="inlineStr">
        <is>
          <t>Crypto</t>
        </is>
      </c>
      <c r="C87" s="35" t="inlineStr">
        <is>
          <t>VELODROME</t>
        </is>
      </c>
      <c r="D87" s="35" t="inlineStr">
        <is>
          <t>Binance</t>
        </is>
      </c>
      <c r="E87" s="33" t="n">
        <v>0.015659</v>
      </c>
      <c r="F87" s="34" t="inlineStr">
        <is>
          <t>USD</t>
        </is>
      </c>
      <c r="G87" s="28" t="n">
        <v>46173</v>
      </c>
      <c r="H87" s="34" t="inlineStr">
        <is>
          <t>OK</t>
        </is>
      </c>
    </row>
    <row r="88" ht="15" customHeight="1" s="63">
      <c r="A88" s="35">
        <f>B88&amp;"|"&amp;C88&amp;"|"&amp;D88</f>
        <v/>
      </c>
      <c r="B88" s="9" t="inlineStr">
        <is>
          <t>Crypto</t>
        </is>
      </c>
      <c r="C88" s="35" t="inlineStr">
        <is>
          <t>ARB</t>
        </is>
      </c>
      <c r="D88" s="35" t="inlineStr">
        <is>
          <t>Bitazza</t>
        </is>
      </c>
      <c r="E88" s="33" t="n">
        <v>3.287462</v>
      </c>
      <c r="F88" s="34" t="inlineStr">
        <is>
          <t>THB</t>
        </is>
      </c>
      <c r="G88" s="28" t="n">
        <v>46173</v>
      </c>
      <c r="H88" s="34" t="inlineStr">
        <is>
          <t>OK</t>
        </is>
      </c>
    </row>
    <row r="89" ht="15" customHeight="1" s="63">
      <c r="A89" s="35">
        <f>B89&amp;"|"&amp;C89&amp;"|"&amp;D89</f>
        <v/>
      </c>
      <c r="B89" s="9" t="inlineStr">
        <is>
          <t>Crypto</t>
        </is>
      </c>
      <c r="C89" s="35" t="inlineStr">
        <is>
          <t>SUI</t>
        </is>
      </c>
      <c r="D89" s="35" t="inlineStr">
        <is>
          <t>Bitazza</t>
        </is>
      </c>
      <c r="E89" s="33" t="n">
        <v>28.53827</v>
      </c>
      <c r="F89" s="34" t="inlineStr">
        <is>
          <t>THB</t>
        </is>
      </c>
      <c r="G89" s="28" t="n">
        <v>46173</v>
      </c>
      <c r="H89" s="34" t="inlineStr">
        <is>
          <t>OK</t>
        </is>
      </c>
    </row>
    <row r="90" ht="15" customHeight="1" s="63">
      <c r="A90" s="35">
        <f>B90&amp;"|"&amp;C90&amp;"|"&amp;D90</f>
        <v/>
      </c>
      <c r="B90" s="9" t="inlineStr">
        <is>
          <t>Crypto</t>
        </is>
      </c>
      <c r="C90" s="35" t="inlineStr">
        <is>
          <t>VELO</t>
        </is>
      </c>
      <c r="D90" s="35" t="inlineStr">
        <is>
          <t>Bitazza</t>
        </is>
      </c>
      <c r="E90" s="33" t="n">
        <v>0.132164</v>
      </c>
      <c r="F90" s="34" t="inlineStr">
        <is>
          <t>THB</t>
        </is>
      </c>
      <c r="G90" s="28" t="n">
        <v>46173</v>
      </c>
      <c r="H90" s="34" t="inlineStr">
        <is>
          <t>OK</t>
        </is>
      </c>
    </row>
    <row r="91" ht="15" customHeight="1" s="63">
      <c r="A91" s="35">
        <f>B91&amp;"|"&amp;C91&amp;"|"&amp;D91</f>
        <v/>
      </c>
      <c r="B91" s="9" t="inlineStr">
        <is>
          <t>Crypto</t>
        </is>
      </c>
      <c r="C91" s="35" t="inlineStr">
        <is>
          <t>BNB</t>
        </is>
      </c>
      <c r="D91" s="35" t="inlineStr">
        <is>
          <t>Bitkub</t>
        </is>
      </c>
      <c r="E91" s="33" t="n">
        <v>23343.7626</v>
      </c>
      <c r="F91" s="34" t="inlineStr">
        <is>
          <t>THB</t>
        </is>
      </c>
      <c r="G91" s="28" t="n">
        <v>46173</v>
      </c>
      <c r="H91" s="34" t="inlineStr">
        <is>
          <t>OK</t>
        </is>
      </c>
    </row>
    <row r="92" ht="15" customHeight="1" s="63">
      <c r="A92" s="35">
        <f>B92&amp;"|"&amp;C92&amp;"|"&amp;D92</f>
        <v/>
      </c>
      <c r="B92" s="9" t="inlineStr">
        <is>
          <t>Crypto</t>
        </is>
      </c>
      <c r="C92" s="35" t="inlineStr">
        <is>
          <t>BTC</t>
        </is>
      </c>
      <c r="D92" s="35" t="inlineStr">
        <is>
          <t>Bitkub</t>
        </is>
      </c>
      <c r="E92" s="33" t="n">
        <v>2385096.78</v>
      </c>
      <c r="F92" s="34" t="inlineStr">
        <is>
          <t>THB</t>
        </is>
      </c>
      <c r="G92" s="28" t="n">
        <v>46173</v>
      </c>
      <c r="H92" s="34" t="inlineStr">
        <is>
          <t>OK</t>
        </is>
      </c>
    </row>
    <row r="93" ht="15" customHeight="1" s="63">
      <c r="A93" s="35">
        <f>B93&amp;"|"&amp;C93&amp;"|"&amp;D93</f>
        <v/>
      </c>
      <c r="B93" s="9" t="inlineStr">
        <is>
          <t>Crypto</t>
        </is>
      </c>
      <c r="C93" s="35" t="inlineStr">
        <is>
          <t>DOGE</t>
        </is>
      </c>
      <c r="D93" s="35" t="inlineStr">
        <is>
          <t>Bitkub</t>
        </is>
      </c>
      <c r="E93" s="33" t="n">
        <v>3.242968</v>
      </c>
      <c r="F93" s="34" t="inlineStr">
        <is>
          <t>THB</t>
        </is>
      </c>
      <c r="G93" s="28" t="n">
        <v>46173</v>
      </c>
      <c r="H93" s="34" t="inlineStr">
        <is>
          <t>OK</t>
        </is>
      </c>
    </row>
    <row r="94" ht="15" customHeight="1" s="63">
      <c r="A94" s="35">
        <f>B94&amp;"|"&amp;C94&amp;"|"&amp;D94</f>
        <v/>
      </c>
      <c r="B94" s="9" t="inlineStr">
        <is>
          <t>Crypto</t>
        </is>
      </c>
      <c r="C94" s="35" t="inlineStr">
        <is>
          <t>ETH</t>
        </is>
      </c>
      <c r="D94" s="35" t="inlineStr">
        <is>
          <t>Bitkub</t>
        </is>
      </c>
      <c r="E94" s="33" t="n">
        <v>65102.2521</v>
      </c>
      <c r="F94" s="34" t="inlineStr">
        <is>
          <t>THB</t>
        </is>
      </c>
      <c r="G94" s="28" t="n">
        <v>46173</v>
      </c>
      <c r="H94" s="34" t="inlineStr">
        <is>
          <t>OK</t>
        </is>
      </c>
    </row>
    <row r="95" ht="15" customHeight="1" s="63">
      <c r="A95" s="35">
        <f>B95&amp;"|"&amp;C95&amp;"|"&amp;D95</f>
        <v/>
      </c>
      <c r="B95" s="9" t="inlineStr">
        <is>
          <t>Crypto</t>
        </is>
      </c>
      <c r="C95" s="35" t="inlineStr">
        <is>
          <t>KUB</t>
        </is>
      </c>
      <c r="D95" s="35" t="inlineStr">
        <is>
          <t>Bitkub</t>
        </is>
      </c>
      <c r="E95" s="33" t="n">
        <v>26.08773</v>
      </c>
      <c r="F95" s="34" t="inlineStr">
        <is>
          <t>THB</t>
        </is>
      </c>
      <c r="G95" s="28" t="n">
        <v>46173</v>
      </c>
      <c r="H95" s="34" t="inlineStr">
        <is>
          <t>OK</t>
        </is>
      </c>
    </row>
    <row r="96" ht="15" customHeight="1" s="63">
      <c r="A96" s="35">
        <f>B96&amp;"|"&amp;C96&amp;"|"&amp;D96</f>
        <v/>
      </c>
      <c r="B96" s="9" t="inlineStr">
        <is>
          <t>Crypto</t>
        </is>
      </c>
      <c r="C96" s="35" t="inlineStr">
        <is>
          <t>BTC</t>
        </is>
      </c>
      <c r="D96" s="35" t="inlineStr">
        <is>
          <t>OKX</t>
        </is>
      </c>
      <c r="E96" s="33" t="n">
        <v>73546</v>
      </c>
      <c r="F96" s="34" t="inlineStr">
        <is>
          <t>USD</t>
        </is>
      </c>
      <c r="G96" s="28" t="n">
        <v>46173</v>
      </c>
      <c r="H96" s="34" t="inlineStr">
        <is>
          <t>OK</t>
        </is>
      </c>
    </row>
    <row r="97" ht="15" customHeight="1" s="63">
      <c r="A97" s="35">
        <f>B97&amp;"|"&amp;C97&amp;"|"&amp;D97</f>
        <v/>
      </c>
      <c r="B97" s="9" t="inlineStr">
        <is>
          <t>Crypto</t>
        </is>
      </c>
      <c r="C97" s="35" t="inlineStr">
        <is>
          <t>COMP</t>
        </is>
      </c>
      <c r="D97" s="35" t="inlineStr">
        <is>
          <t>OKX</t>
        </is>
      </c>
      <c r="E97" s="33" t="n">
        <v>18.3</v>
      </c>
      <c r="F97" s="34" t="inlineStr">
        <is>
          <t>USD</t>
        </is>
      </c>
      <c r="G97" s="28" t="n">
        <v>46173</v>
      </c>
      <c r="H97" s="34" t="inlineStr">
        <is>
          <t>OK</t>
        </is>
      </c>
    </row>
    <row r="98" ht="15" customHeight="1" s="63">
      <c r="A98" s="35">
        <f>B98&amp;"|"&amp;C98&amp;"|"&amp;D98</f>
        <v/>
      </c>
      <c r="B98" s="9" t="inlineStr">
        <is>
          <t>Crypto</t>
        </is>
      </c>
      <c r="C98" s="35" t="inlineStr">
        <is>
          <t>NIGHT</t>
        </is>
      </c>
      <c r="D98" s="35" t="inlineStr">
        <is>
          <t>OKX</t>
        </is>
      </c>
      <c r="E98" s="33" t="n">
        <v>7.25e-06</v>
      </c>
      <c r="F98" s="34" t="inlineStr">
        <is>
          <t>USD</t>
        </is>
      </c>
      <c r="G98" s="28" t="n">
        <v>46172</v>
      </c>
      <c r="H98" s="34" t="inlineStr">
        <is>
          <t>MANUAL</t>
        </is>
      </c>
    </row>
    <row r="99" ht="15" customHeight="1" s="63">
      <c r="A99" s="35">
        <f>B99&amp;"|"&amp;C99&amp;"|"&amp;D99</f>
        <v/>
      </c>
      <c r="B99" s="9" t="inlineStr">
        <is>
          <t>Crypto</t>
        </is>
      </c>
      <c r="C99" s="35" t="inlineStr">
        <is>
          <t>OKSOL</t>
        </is>
      </c>
      <c r="D99" s="35" t="inlineStr">
        <is>
          <t>OKX</t>
        </is>
      </c>
      <c r="E99" s="33" t="n">
        <v>82.67</v>
      </c>
      <c r="F99" s="34" t="inlineStr">
        <is>
          <t>USD</t>
        </is>
      </c>
      <c r="G99" s="28" t="n">
        <v>46172</v>
      </c>
      <c r="H99" s="34" t="inlineStr">
        <is>
          <t>MANUAL</t>
        </is>
      </c>
    </row>
    <row r="100" ht="15" customHeight="1" s="63">
      <c r="A100" s="35">
        <f>B100&amp;"|"&amp;C100&amp;"|"&amp;D100</f>
        <v/>
      </c>
      <c r="B100" s="9" t="inlineStr">
        <is>
          <t>Crypto</t>
        </is>
      </c>
      <c r="C100" s="35" t="inlineStr">
        <is>
          <t>PENGU</t>
        </is>
      </c>
      <c r="D100" s="35" t="inlineStr">
        <is>
          <t>OKX</t>
        </is>
      </c>
      <c r="E100" s="33" t="n">
        <v>0.00787</v>
      </c>
      <c r="F100" s="34" t="inlineStr">
        <is>
          <t>USD</t>
        </is>
      </c>
      <c r="G100" s="28" t="n">
        <v>46173</v>
      </c>
      <c r="H100" s="34" t="inlineStr">
        <is>
          <t>OK</t>
        </is>
      </c>
    </row>
    <row r="101" ht="15" customHeight="1" s="63">
      <c r="A101" s="35">
        <f>B101&amp;"|"&amp;C101&amp;"|"&amp;D101</f>
        <v/>
      </c>
      <c r="B101" s="9" t="inlineStr">
        <is>
          <t>Crypto</t>
        </is>
      </c>
      <c r="C101" s="35" t="inlineStr">
        <is>
          <t>SOL</t>
        </is>
      </c>
      <c r="D101" s="35" t="inlineStr">
        <is>
          <t>OKX</t>
        </is>
      </c>
      <c r="E101" s="33" t="n">
        <v>81.92</v>
      </c>
      <c r="F101" s="34" t="inlineStr">
        <is>
          <t>USD</t>
        </is>
      </c>
      <c r="G101" s="28" t="n">
        <v>46173</v>
      </c>
      <c r="H101" s="34" t="inlineStr">
        <is>
          <t>OK</t>
        </is>
      </c>
    </row>
    <row r="102" ht="15" customHeight="1" s="63">
      <c r="A102" s="35">
        <f>B102&amp;"|"&amp;C102&amp;"|"&amp;D102</f>
        <v/>
      </c>
      <c r="B102" s="9" t="inlineStr">
        <is>
          <t>Crypto</t>
        </is>
      </c>
      <c r="C102" s="35" t="inlineStr">
        <is>
          <t>USDT</t>
        </is>
      </c>
      <c r="D102" s="35" t="inlineStr">
        <is>
          <t>OKX</t>
        </is>
      </c>
      <c r="E102" s="33" t="n">
        <v>1</v>
      </c>
      <c r="F102" s="34" t="inlineStr">
        <is>
          <t>USD</t>
        </is>
      </c>
      <c r="G102" s="28" t="n">
        <v>46173</v>
      </c>
      <c r="H102" s="34" t="inlineStr">
        <is>
          <t>OK</t>
        </is>
      </c>
    </row>
    <row r="103">
      <c r="A103">
        <f>B103&amp;"|"&amp;C103&amp;"|"&amp;D103</f>
        <v/>
      </c>
      <c r="G103" s="48" t="n"/>
    </row>
    <row r="104">
      <c r="A104">
        <f>B104&amp;"|"&amp;C104&amp;"|"&amp;D104</f>
        <v/>
      </c>
      <c r="G104" s="48" t="n"/>
    </row>
  </sheetData>
  <mergeCells count="1">
    <mergeCell ref="A2:H2"/>
  </mergeCells>
  <conditionalFormatting sqref="H5:H102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G15" sqref="G15"/>
    </sheetView>
  </sheetViews>
  <sheetFormatPr baseColWidth="10" defaultColWidth="8.6640625" defaultRowHeight="15"/>
  <cols>
    <col width="5" customWidth="1" style="63" min="1" max="1"/>
    <col width="14" customWidth="1" style="63" min="2" max="2"/>
    <col width="20" customWidth="1" style="63" min="3" max="3"/>
    <col width="16" customWidth="1" style="63" min="4" max="4"/>
    <col width="22" customWidth="1" style="63" min="5" max="5"/>
    <col width="16" customWidth="1" style="63" min="6" max="6"/>
    <col width="14" customWidth="1" style="63" min="7" max="9"/>
    <col width="10" customWidth="1" style="63" min="10" max="11"/>
    <col width="12" customWidth="1" style="63" min="12" max="13"/>
    <col width="14" customWidth="1" style="63" min="14" max="14"/>
    <col width="16" customWidth="1" style="63" min="15" max="17"/>
    <col width="12" customWidth="1" style="63" min="18" max="18"/>
    <col width="26" customWidth="1" style="63" min="19" max="19"/>
  </cols>
  <sheetData>
    <row r="2" ht="30" customHeight="1" s="63">
      <c r="A2" s="67" t="inlineStr">
        <is>
          <t>MUTUAL FUND HOLDINGS — LOT LEVEL</t>
        </is>
      </c>
    </row>
    <row r="4" ht="42" customHeight="1" s="63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63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63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63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63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63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63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63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63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63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63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63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63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63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63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63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63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63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63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63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63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63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63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63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63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63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63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63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63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63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63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63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63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63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63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63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63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63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63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63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63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63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63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63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63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63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63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63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63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63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63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63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63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63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63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63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63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63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63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63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63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63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63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63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63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63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63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63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63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63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63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63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63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63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63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63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63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63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63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63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63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63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63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63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63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63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63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63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63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63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63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63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63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63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63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63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63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63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63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63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63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63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63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63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63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63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63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63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63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63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63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63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63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63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63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63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63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63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63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63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63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63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63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63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63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63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63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63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63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63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63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63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63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63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63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63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63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63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63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63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63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63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63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63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63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63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63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63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63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63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63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63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63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63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63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63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63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63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63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63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63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63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63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63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63" min="1" max="1"/>
    <col width="22" customWidth="1" style="63" min="2" max="2"/>
    <col width="16" customWidth="1" style="63" min="3" max="3"/>
    <col width="20" customWidth="1" style="63" min="4" max="4"/>
    <col width="26" customWidth="1" style="63" min="5" max="5"/>
    <col width="16" customWidth="1" style="63" min="6" max="6"/>
    <col width="14" customWidth="1" style="63" min="7" max="7"/>
    <col width="12" customWidth="1" style="63" min="8" max="8"/>
    <col width="16" customWidth="1" style="63" min="9" max="11"/>
    <col width="12" customWidth="1" style="63" min="12" max="13"/>
  </cols>
  <sheetData>
    <row r="2" ht="30" customHeight="1" s="63">
      <c r="A2" s="67" t="inlineStr">
        <is>
          <t>MUTUAL FUND — ROLLUP BY FUND</t>
        </is>
      </c>
    </row>
    <row r="4" ht="36" customHeight="1" s="63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63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63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63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63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63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63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63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63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63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63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63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63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63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63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63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63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63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63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63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63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63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63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63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63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63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63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63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63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63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63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63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63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63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63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63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18" activePane="bottomRight" state="frozen"/>
      <selection pane="topRight" activeCell="D1" sqref="D1"/>
      <selection pane="bottomLeft" activeCell="A28" sqref="A28"/>
      <selection pane="bottomRight" activeCell="M18" activeCellId="5" sqref="M51 M45 M44 M24 M23 M18"/>
    </sheetView>
  </sheetViews>
  <sheetFormatPr baseColWidth="10" defaultColWidth="8.6640625" defaultRowHeight="15"/>
  <cols>
    <col width="5" customWidth="1" style="63" min="1" max="1"/>
    <col width="22" customWidth="1" style="63" min="2" max="2"/>
    <col width="14" customWidth="1" style="63" min="3" max="3"/>
    <col width="10" customWidth="1" style="63" min="4" max="4"/>
    <col width="20" customWidth="1" style="63" min="5" max="5"/>
    <col width="18" customWidth="1" style="63" min="6" max="6"/>
    <col width="22" customWidth="1" style="63" min="7" max="7"/>
    <col width="14" customWidth="1" style="63" min="8" max="8"/>
    <col width="16" customWidth="1" style="63" min="9" max="10"/>
    <col width="10" customWidth="1" style="63" min="11" max="11"/>
    <col width="16" customWidth="1" style="63" min="12" max="14"/>
    <col width="10" customWidth="1" style="63" min="15" max="15"/>
    <col width="26" customWidth="1" style="63" min="16" max="16"/>
  </cols>
  <sheetData>
    <row r="2" ht="30" customHeight="1" s="63">
      <c r="A2" s="67" t="inlineStr">
        <is>
          <t>EQUITIES — LOT LEVEL  (Thai + US + ETF)</t>
        </is>
      </c>
    </row>
    <row r="4" ht="42" customHeight="1" s="6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6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6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6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6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6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6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6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6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6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6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6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6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6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6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6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6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6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6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6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63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63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63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63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63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63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63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63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63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63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63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63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63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63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63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63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63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63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63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63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63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63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63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63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63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63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63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63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63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63" min="1" max="1"/>
    <col width="14" customWidth="1" style="63" min="2" max="2"/>
    <col width="22" customWidth="1" style="63" min="3" max="3"/>
    <col width="10" customWidth="1" style="63" min="4" max="4"/>
    <col width="20" customWidth="1" style="63" min="5" max="5"/>
    <col width="18" customWidth="1" style="63" min="6" max="6"/>
    <col width="22" customWidth="1" style="63" min="7" max="7"/>
    <col width="10" customWidth="1" style="63" min="8" max="8"/>
    <col width="14" customWidth="1" style="63" min="9" max="9"/>
    <col width="16" customWidth="1" style="63" min="10" max="12"/>
    <col width="10" customWidth="1" style="63" min="13" max="13"/>
  </cols>
  <sheetData>
    <row r="2" ht="30" customHeight="1" s="63">
      <c r="A2" s="67" t="inlineStr">
        <is>
          <t>EQUITIES — ROLLUP BY TICKER</t>
        </is>
      </c>
    </row>
    <row r="4" ht="36" customHeight="1" s="63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63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63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63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63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63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63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63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63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63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63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63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63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63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63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63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63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63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63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63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63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63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63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63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63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63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63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63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63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63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63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63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63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63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63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63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63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63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63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63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63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63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63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63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63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63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63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63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J32" sqref="J32"/>
    </sheetView>
  </sheetViews>
  <sheetFormatPr baseColWidth="10" defaultColWidth="8.6640625" defaultRowHeight="15"/>
  <cols>
    <col width="5" customWidth="1" style="63" min="1" max="1"/>
    <col width="12" customWidth="1" style="63" min="2" max="2"/>
    <col width="14" customWidth="1" style="63" min="3" max="3"/>
    <col width="10" customWidth="1" style="63" min="4" max="4"/>
    <col width="20" customWidth="1" style="63" min="5" max="5"/>
    <col width="14" customWidth="1" style="63" min="6" max="7"/>
    <col width="16" customWidth="1" style="63" min="8" max="8"/>
    <col width="10" customWidth="1" style="63" min="9" max="9"/>
    <col width="16" customWidth="1" style="63" min="10" max="12"/>
    <col width="10" customWidth="1" style="63" min="13" max="13"/>
    <col width="14" customWidth="1" style="63" min="14" max="14"/>
    <col width="20" customWidth="1" style="63" min="15" max="16"/>
  </cols>
  <sheetData>
    <row r="2" ht="30" customHeight="1" s="63">
      <c r="A2" s="47" t="inlineStr">
        <is>
          <t>CRYPTO — LOT LEVEL  (OKX / Binance / Bitkub / Bitazza)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</row>
    <row r="4" ht="42" customHeight="1" s="6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6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6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6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6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6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6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6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6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6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6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6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6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6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6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6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63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63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63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63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63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63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63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63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63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63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63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63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63" min="1" max="1"/>
    <col width="12" customWidth="1" style="63" min="2" max="2"/>
    <col width="14" customWidth="1" style="63" min="3" max="3"/>
    <col width="10" customWidth="1" style="63" min="4" max="4"/>
    <col width="20" customWidth="1" style="63" min="5" max="5"/>
    <col width="10" customWidth="1" style="63" min="6" max="6"/>
    <col width="14" customWidth="1" style="63" min="7" max="7"/>
    <col width="16" customWidth="1" style="63" min="8" max="10"/>
    <col width="10" customWidth="1" style="63" min="11" max="11"/>
  </cols>
  <sheetData>
    <row r="2" ht="30" customHeight="1" s="63">
      <c r="A2" s="67" t="inlineStr">
        <is>
          <t>CRYPTO — ROLLUP BY EXCHANGE + COIN</t>
        </is>
      </c>
    </row>
    <row r="4" ht="36" customHeight="1" s="63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63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63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63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63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63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63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63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63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63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63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63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63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63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63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63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63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63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63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63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63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63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63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63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63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63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63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Q14"/>
  <sheetViews>
    <sheetView tabSelected="1" workbookViewId="0">
      <pane ySplit="4" topLeftCell="A5" activePane="bottomLeft" state="frozen"/>
      <selection pane="bottomLeft" activeCell="L14" sqref="L14"/>
    </sheetView>
  </sheetViews>
  <sheetFormatPr baseColWidth="10" defaultColWidth="8.83203125" defaultRowHeight="15"/>
  <cols>
    <col width="4" customWidth="1" style="63" min="1" max="1"/>
    <col width="16" customWidth="1" style="63" min="2" max="2"/>
    <col width="30" customWidth="1" style="63" min="3" max="3"/>
    <col width="16" customWidth="1" style="63" min="4" max="5"/>
    <col width="14" customWidth="1" style="63" min="6" max="6"/>
    <col width="12" customWidth="1" style="63" min="7" max="9"/>
    <col width="14" customWidth="1" style="63" min="10" max="10"/>
    <col width="11" customWidth="1" style="63" min="11" max="11"/>
    <col width="14" customWidth="1" style="63" min="12" max="12"/>
    <col width="15" customWidth="1" style="63" min="13" max="13"/>
    <col width="16" customWidth="1" style="63" min="14" max="14"/>
    <col width="8" customWidth="1" style="63" min="15" max="15"/>
    <col width="20" customWidth="1" style="63" min="16" max="16"/>
    <col width="18" customWidth="1" style="63" min="17" max="17"/>
  </cols>
  <sheetData>
    <row r="2" ht="17" customHeight="1" s="63">
      <c r="A2" s="49" t="inlineStr">
        <is>
          <t>UNIT TRUST (SGD) — Input Sheet</t>
        </is>
      </c>
    </row>
    <row r="3">
      <c r="A3" s="50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51" t="inlineStr">
        <is>
          <t>#</t>
        </is>
      </c>
      <c r="B4" s="51" t="inlineStr">
        <is>
          <t>Platform</t>
        </is>
      </c>
      <c r="C4" s="51" t="inlineStr">
        <is>
          <t>Fund Name</t>
        </is>
      </c>
      <c r="D4" s="51" t="inlineStr">
        <is>
          <t>Asset Class</t>
        </is>
      </c>
      <c r="E4" s="51" t="inlineStr">
        <is>
          <t>Theme</t>
        </is>
      </c>
      <c r="F4" s="51" t="inlineStr">
        <is>
          <t>Geography</t>
        </is>
      </c>
      <c r="G4" s="51" t="inlineStr">
        <is>
          <t>Tax Status</t>
        </is>
      </c>
      <c r="H4" s="51" t="inlineStr">
        <is>
          <t>Units</t>
        </is>
      </c>
      <c r="I4" s="51" t="inlineStr">
        <is>
          <t>Avg Cost (S$)</t>
        </is>
      </c>
      <c r="J4" s="51" t="inlineStr">
        <is>
          <t>Current NAV (S$)</t>
        </is>
      </c>
      <c r="K4" s="51" t="inlineStr">
        <is>
          <t>FX (SGD→฿)</t>
        </is>
      </c>
      <c r="L4" s="51" t="inlineStr">
        <is>
          <t>Initial Inv (฿)</t>
        </is>
      </c>
      <c r="M4" s="51" t="inlineStr">
        <is>
          <t>Current Value (฿)</t>
        </is>
      </c>
      <c r="N4" s="51" t="inlineStr">
        <is>
          <t>Unrealized P&amp;L (฿)</t>
        </is>
      </c>
      <c r="O4" s="51" t="inlineStr">
        <is>
          <t>P&amp;L %</t>
        </is>
      </c>
      <c r="P4" s="51" t="inlineStr">
        <is>
          <t>Yahoo Symbol / ISIN</t>
        </is>
      </c>
      <c r="Q4" s="51" t="inlineStr">
        <is>
          <t>Note</t>
        </is>
      </c>
    </row>
    <row r="5">
      <c r="A5" s="52" t="n">
        <v>1</v>
      </c>
      <c r="B5" s="32" t="inlineStr">
        <is>
          <t>SCB SG</t>
        </is>
      </c>
      <c r="C5" s="32" t="inlineStr">
        <is>
          <t>Janus Henderson Horizon Global Property Equities Fund A3 SGD</t>
        </is>
      </c>
      <c r="D5" s="32" t="inlineStr">
        <is>
          <t>Equity</t>
        </is>
      </c>
      <c r="E5" s="32" t="inlineStr">
        <is>
          <t>Global Property</t>
        </is>
      </c>
      <c r="F5" s="32" t="inlineStr">
        <is>
          <t>Global</t>
        </is>
      </c>
      <c r="G5" s="32" t="inlineStr">
        <is>
          <t>Taxable</t>
        </is>
      </c>
      <c r="H5" s="32" t="n">
        <v>477.101</v>
      </c>
      <c r="I5" s="32" t="n">
        <v>27.48</v>
      </c>
      <c r="J5" s="32" t="n">
        <v>22.84</v>
      </c>
      <c r="K5" s="53">
        <f>SGDTHB</f>
        <v/>
      </c>
      <c r="L5" s="54">
        <f>IFERROR(H5*I5*K5,0)</f>
        <v/>
      </c>
      <c r="M5" s="54">
        <f>IFERROR(H5*J5*K5,0)</f>
        <v/>
      </c>
      <c r="N5" s="54">
        <f>M5-L5</f>
        <v/>
      </c>
      <c r="O5" s="55">
        <f>IFERROR(N5/L5,0)</f>
        <v/>
      </c>
      <c r="P5" s="32" t="n"/>
      <c r="Q5" s="32" t="n"/>
    </row>
    <row r="6">
      <c r="A6" s="52" t="n">
        <v>2</v>
      </c>
      <c r="B6" s="32" t="inlineStr">
        <is>
          <t>SCB SG</t>
        </is>
      </c>
      <c r="C6" s="32" t="inlineStr">
        <is>
          <t>Lionglobal Vietnam Fund (SGD)</t>
        </is>
      </c>
      <c r="D6" s="32" t="inlineStr">
        <is>
          <t>Equity</t>
        </is>
      </c>
      <c r="E6" s="32" t="inlineStr">
        <is>
          <t>Vietnam Equity</t>
        </is>
      </c>
      <c r="F6" s="32" t="inlineStr">
        <is>
          <t>Vietnam</t>
        </is>
      </c>
      <c r="G6" s="32" t="inlineStr">
        <is>
          <t>Taxable</t>
        </is>
      </c>
      <c r="H6" s="32" t="n">
        <v>9678.99</v>
      </c>
      <c r="I6" s="32" t="n">
        <v>0.5165999999999999</v>
      </c>
      <c r="J6" s="32" t="n">
        <v>1.112</v>
      </c>
      <c r="K6" s="53">
        <f>SGDTHB</f>
        <v/>
      </c>
      <c r="L6" s="54">
        <f>IFERROR(H6*I6*K6,0)</f>
        <v/>
      </c>
      <c r="M6" s="54">
        <f>IFERROR(H6*J6*K6,0)</f>
        <v/>
      </c>
      <c r="N6" s="54">
        <f>M6-L6</f>
        <v/>
      </c>
      <c r="O6" s="55">
        <f>IFERROR(N6/L6,0)</f>
        <v/>
      </c>
      <c r="P6" s="32" t="n"/>
      <c r="Q6" s="32" t="n"/>
    </row>
    <row r="7">
      <c r="A7" s="52" t="n">
        <v>3</v>
      </c>
      <c r="B7" s="32" t="inlineStr">
        <is>
          <t>SCB SG</t>
        </is>
      </c>
      <c r="C7" s="32" t="inlineStr">
        <is>
          <t>Henderson Horizon Fund - Global Technology Fund A2 (SGD-H)</t>
        </is>
      </c>
      <c r="D7" s="32" t="inlineStr">
        <is>
          <t>Equity</t>
        </is>
      </c>
      <c r="E7" s="32" t="inlineStr">
        <is>
          <t>Global Technology</t>
        </is>
      </c>
      <c r="F7" s="32" t="inlineStr">
        <is>
          <t>Global</t>
        </is>
      </c>
      <c r="G7" s="32" t="inlineStr">
        <is>
          <t>Taxable</t>
        </is>
      </c>
      <c r="H7" s="32" t="n">
        <v>27.562</v>
      </c>
      <c r="I7" s="32" t="n">
        <v>181.4092</v>
      </c>
      <c r="J7" s="32" t="n">
        <v>794.47</v>
      </c>
      <c r="K7" s="53">
        <f>SGDTHB</f>
        <v/>
      </c>
      <c r="L7" s="54">
        <f>IFERROR(H7*I7*K7,0)</f>
        <v/>
      </c>
      <c r="M7" s="54">
        <f>IFERROR(H7*J7*K7,0)</f>
        <v/>
      </c>
      <c r="N7" s="54">
        <f>M7-L7</f>
        <v/>
      </c>
      <c r="O7" s="55">
        <f>IFERROR(N7/L7,0)</f>
        <v/>
      </c>
      <c r="P7" s="32" t="n"/>
      <c r="Q7" s="32" t="n"/>
    </row>
    <row r="8">
      <c r="A8" s="52" t="n">
        <v>4</v>
      </c>
      <c r="B8" s="32" t="inlineStr">
        <is>
          <t>SCB SG</t>
        </is>
      </c>
      <c r="C8" s="32" t="inlineStr">
        <is>
          <t>BGF Asian Growth Leaders Fund A2 (SGD-H) Acc</t>
        </is>
      </c>
      <c r="D8" s="32" t="inlineStr">
        <is>
          <t>Equity</t>
        </is>
      </c>
      <c r="E8" s="32" t="inlineStr">
        <is>
          <t>Asian Equity</t>
        </is>
      </c>
      <c r="F8" s="32" t="inlineStr">
        <is>
          <t>Asian</t>
        </is>
      </c>
      <c r="G8" s="32" t="inlineStr">
        <is>
          <t>Taxable</t>
        </is>
      </c>
      <c r="H8" s="32" t="n">
        <v>340.12</v>
      </c>
      <c r="I8" s="32" t="n">
        <v>14.7007</v>
      </c>
      <c r="J8" s="32" t="n">
        <v>21.7</v>
      </c>
      <c r="K8" s="53">
        <f>SGDTHB</f>
        <v/>
      </c>
      <c r="L8" s="54">
        <f>IFERROR(H8*I8*K8,0)</f>
        <v/>
      </c>
      <c r="M8" s="54">
        <f>IFERROR(H8*J8*K8,0)</f>
        <v/>
      </c>
      <c r="N8" s="54">
        <f>M8-L8</f>
        <v/>
      </c>
      <c r="O8" s="55">
        <f>IFERROR(N8/L8,0)</f>
        <v/>
      </c>
      <c r="P8" s="32" t="n"/>
      <c r="Q8" s="32" t="n"/>
    </row>
    <row r="9">
      <c r="A9" s="52" t="n">
        <v>5</v>
      </c>
      <c r="B9" s="32" t="inlineStr">
        <is>
          <t>SCB SG</t>
        </is>
      </c>
      <c r="C9" s="32" t="inlineStr">
        <is>
          <t>UBS (Lux) China Opportunity P Acc (SGD)</t>
        </is>
      </c>
      <c r="D9" s="32" t="inlineStr">
        <is>
          <t>Equity</t>
        </is>
      </c>
      <c r="E9" s="32" t="inlineStr">
        <is>
          <t>China Equity</t>
        </is>
      </c>
      <c r="F9" s="32" t="inlineStr">
        <is>
          <t>China</t>
        </is>
      </c>
      <c r="G9" s="32" t="inlineStr">
        <is>
          <t>Taxable</t>
        </is>
      </c>
      <c r="H9" s="32" t="n">
        <v>20.014</v>
      </c>
      <c r="I9" s="32" t="n">
        <v>249.8251</v>
      </c>
      <c r="J9" s="32" t="n">
        <v>223.88</v>
      </c>
      <c r="K9" s="53">
        <f>SGDTHB</f>
        <v/>
      </c>
      <c r="L9" s="54">
        <f>IFERROR(H9*I9*K9,0)</f>
        <v/>
      </c>
      <c r="M9" s="54">
        <f>IFERROR(H9*J9*K9,0)</f>
        <v/>
      </c>
      <c r="N9" s="54">
        <f>M9-L9</f>
        <v/>
      </c>
      <c r="O9" s="55">
        <f>IFERROR(N9/L9,0)</f>
        <v/>
      </c>
      <c r="P9" s="32" t="n"/>
      <c r="Q9" s="32" t="n"/>
    </row>
    <row r="10">
      <c r="A10" s="52" t="n">
        <v>6</v>
      </c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53">
        <f>SGDTHB</f>
        <v/>
      </c>
      <c r="L10" s="54">
        <f>IFERROR(H10*I10*K10,0)</f>
        <v/>
      </c>
      <c r="M10" s="54">
        <f>IFERROR(H10*J10*K10,0)</f>
        <v/>
      </c>
      <c r="N10" s="54">
        <f>M10-L10</f>
        <v/>
      </c>
      <c r="O10" s="55">
        <f>IFERROR(N10/L10,0)</f>
        <v/>
      </c>
      <c r="P10" s="32" t="n"/>
      <c r="Q10" s="32" t="n"/>
    </row>
    <row r="11">
      <c r="A11" s="52" t="n">
        <v>7</v>
      </c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53">
        <f>SGDTHB</f>
        <v/>
      </c>
      <c r="L11" s="54">
        <f>IFERROR(H11*I11*K11,0)</f>
        <v/>
      </c>
      <c r="M11" s="54">
        <f>IFERROR(H11*J11*K11,0)</f>
        <v/>
      </c>
      <c r="N11" s="54">
        <f>M11-L11</f>
        <v/>
      </c>
      <c r="O11" s="55">
        <f>IFERROR(N11/L11,0)</f>
        <v/>
      </c>
      <c r="P11" s="32" t="n"/>
      <c r="Q11" s="32" t="n"/>
    </row>
    <row r="12">
      <c r="A12" s="52" t="n">
        <v>8</v>
      </c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53">
        <f>SGDTHB</f>
        <v/>
      </c>
      <c r="L12" s="54">
        <f>IFERROR(H12*I12*K12,0)</f>
        <v/>
      </c>
      <c r="M12" s="54">
        <f>IFERROR(H12*J12*K12,0)</f>
        <v/>
      </c>
      <c r="N12" s="54">
        <f>M12-L12</f>
        <v/>
      </c>
      <c r="O12" s="55">
        <f>IFERROR(N12/L12,0)</f>
        <v/>
      </c>
      <c r="P12" s="32" t="n"/>
      <c r="Q12" s="32" t="n"/>
    </row>
    <row r="13">
      <c r="A13" s="52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53" t="n"/>
      <c r="L13" s="54" t="n"/>
      <c r="M13" s="54" t="n"/>
      <c r="N13" s="54" t="n"/>
      <c r="O13" s="55" t="n"/>
      <c r="P13" s="32" t="n"/>
      <c r="Q13" s="32" t="n"/>
    </row>
    <row r="14">
      <c r="A14" s="56" t="inlineStr">
        <is>
          <t>TOTAL</t>
        </is>
      </c>
      <c r="B14" s="56" t="n"/>
      <c r="C14" s="56" t="n"/>
      <c r="D14" s="56" t="n"/>
      <c r="E14" s="56" t="n"/>
      <c r="F14" s="56" t="n"/>
      <c r="G14" s="56" t="n"/>
      <c r="H14" s="56" t="n"/>
      <c r="I14" s="56" t="n"/>
      <c r="J14" s="56" t="n"/>
      <c r="K14" s="56" t="n"/>
      <c r="L14" s="57">
        <f>SUM(L5:L13)</f>
        <v/>
      </c>
      <c r="M14" s="57">
        <f>SUM(M5:M13)</f>
        <v/>
      </c>
      <c r="N14" s="57">
        <f>SUM(N5:N13)</f>
        <v/>
      </c>
      <c r="O14" s="58">
        <f>IFERROR(N14/L14,0)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Q106"/>
  <sheetViews>
    <sheetView showGridLines="0" zoomScaleNormal="100" workbookViewId="0">
      <pane xSplit="1" ySplit="4" topLeftCell="B5" activePane="bottomRight" state="frozen"/>
      <selection pane="topRight" activeCell="C1" sqref="C1"/>
      <selection pane="bottomLeft" activeCell="A11" sqref="A11"/>
      <selection pane="bottomRight" activeCell="H10" sqref="H10"/>
    </sheetView>
  </sheetViews>
  <sheetFormatPr baseColWidth="10" defaultColWidth="8.6640625" defaultRowHeight="15"/>
  <cols>
    <col width="22" customWidth="1" style="63" min="1" max="1"/>
    <col width="8" customWidth="1" style="63" min="2" max="2"/>
    <col width="22" customWidth="1" style="63" min="3" max="3"/>
    <col width="16" customWidth="1" style="63" min="4" max="4"/>
    <col width="20" customWidth="1" style="63" min="5" max="5"/>
    <col width="22" customWidth="1" style="63" min="6" max="6"/>
    <col width="18" customWidth="1" style="63" min="7" max="7"/>
    <col width="26" customWidth="1" style="63" min="8" max="8"/>
    <col width="14" customWidth="1" style="63" min="9" max="9"/>
    <col width="10" customWidth="1" style="63" min="10" max="10"/>
    <col width="12" customWidth="1" style="63" min="11" max="11"/>
    <col width="8.6640625" customWidth="1" style="63" min="14" max="17"/>
  </cols>
  <sheetData>
    <row r="2" ht="30" customHeight="1" s="63">
      <c r="A2" s="67" t="inlineStr">
        <is>
          <t>REFERENCE — Asset / Geography / Theme / Tax Mapping  (edit yellow cells to reclassify)</t>
        </is>
      </c>
    </row>
    <row r="4" ht="31.5" customHeight="1" s="63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63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Open-Ended</t>
        </is>
      </c>
      <c r="J5" s="32" t="inlineStr">
        <is>
          <t>THB</t>
        </is>
      </c>
      <c r="K5" s="39">
        <f>IF(J5="THB",1,FXRate)</f>
        <v/>
      </c>
      <c r="Q5" s="46" t="n"/>
    </row>
    <row r="6" ht="15" customHeight="1" s="63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Open-Ended</t>
        </is>
      </c>
      <c r="J6" s="32" t="inlineStr">
        <is>
          <t>THB</t>
        </is>
      </c>
      <c r="K6" s="39">
        <f>IF(J6="THB",1,FXRate)</f>
        <v/>
      </c>
      <c r="Q6" s="46" t="n"/>
    </row>
    <row r="7" ht="15" customHeight="1" s="63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Open-Ended</t>
        </is>
      </c>
      <c r="J7" s="32" t="inlineStr">
        <is>
          <t>THB</t>
        </is>
      </c>
      <c r="K7" s="39">
        <f>IF(J7="THB",1,FXRate)</f>
        <v/>
      </c>
      <c r="Q7" s="46" t="n"/>
    </row>
    <row r="8" ht="15" customHeight="1" s="63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Open-Ended</t>
        </is>
      </c>
      <c r="J8" s="32" t="inlineStr">
        <is>
          <t>THB</t>
        </is>
      </c>
      <c r="K8" s="39">
        <f>IF(J8="THB",1,FXRate)</f>
        <v/>
      </c>
      <c r="Q8" s="46" t="n"/>
    </row>
    <row r="9" ht="15" customHeight="1" s="63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Open-Ended</t>
        </is>
      </c>
      <c r="J9" s="32" t="inlineStr">
        <is>
          <t>THB</t>
        </is>
      </c>
      <c r="K9" s="39">
        <f>IF(J9="THB",1,FXRate)</f>
        <v/>
      </c>
      <c r="Q9" s="46" t="n"/>
    </row>
    <row r="10" ht="15" customHeight="1" s="63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Open-Ended</t>
        </is>
      </c>
      <c r="J10" s="32" t="inlineStr">
        <is>
          <t>THB</t>
        </is>
      </c>
      <c r="K10" s="39">
        <f>IF(J10="THB",1,FXRate)</f>
        <v/>
      </c>
      <c r="Q10" s="46" t="n"/>
    </row>
    <row r="11" ht="15" customHeight="1" s="63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Open-Ended</t>
        </is>
      </c>
      <c r="J11" s="32" t="inlineStr">
        <is>
          <t>THB</t>
        </is>
      </c>
      <c r="K11" s="39">
        <f>IF(J11="THB",1,FXRate)</f>
        <v/>
      </c>
      <c r="Q11" s="46" t="n"/>
    </row>
    <row r="12" ht="15" customHeight="1" s="63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Open-Ended</t>
        </is>
      </c>
      <c r="J12" s="32" t="inlineStr">
        <is>
          <t>THB</t>
        </is>
      </c>
      <c r="K12" s="39">
        <f>IF(J12="THB",1,FXRate)</f>
        <v/>
      </c>
      <c r="Q12" s="46" t="n"/>
    </row>
    <row r="13" ht="15" customHeight="1" s="63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Open-Ended</t>
        </is>
      </c>
      <c r="J13" s="32" t="inlineStr">
        <is>
          <t>THB</t>
        </is>
      </c>
      <c r="K13" s="39">
        <f>IF(J13="THB",1,FXRate)</f>
        <v/>
      </c>
      <c r="Q13" s="46" t="n"/>
    </row>
    <row r="14" ht="15" customHeight="1" s="63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Open-Ended</t>
        </is>
      </c>
      <c r="J14" s="32" t="inlineStr">
        <is>
          <t>THB</t>
        </is>
      </c>
      <c r="K14" s="39">
        <f>IF(J14="THB",1,FXRate)</f>
        <v/>
      </c>
      <c r="Q14" s="46" t="n"/>
    </row>
    <row r="15" ht="15" customHeight="1" s="63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Open-Ended</t>
        </is>
      </c>
      <c r="J15" s="32" t="inlineStr">
        <is>
          <t>THB</t>
        </is>
      </c>
      <c r="K15" s="39">
        <f>IF(J15="THB",1,FXRate)</f>
        <v/>
      </c>
      <c r="Q15" s="46" t="n"/>
    </row>
    <row r="16" ht="15" customHeight="1" s="63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Open-Ended</t>
        </is>
      </c>
      <c r="J16" s="32" t="inlineStr">
        <is>
          <t>THB</t>
        </is>
      </c>
      <c r="K16" s="39">
        <f>IF(J16="THB",1,FXRate)</f>
        <v/>
      </c>
      <c r="Q16" s="46" t="n"/>
    </row>
    <row r="17" ht="15" customHeight="1" s="63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Open-Ended</t>
        </is>
      </c>
      <c r="J17" s="32" t="inlineStr">
        <is>
          <t>THB</t>
        </is>
      </c>
      <c r="K17" s="39">
        <f>IF(J17="THB",1,FXRate)</f>
        <v/>
      </c>
      <c r="Q17" s="46" t="n"/>
    </row>
    <row r="18" ht="15" customHeight="1" s="63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Open-Ended</t>
        </is>
      </c>
      <c r="J18" s="32" t="inlineStr">
        <is>
          <t>THB</t>
        </is>
      </c>
      <c r="K18" s="39">
        <f>IF(J18="THB",1,FXRate)</f>
        <v/>
      </c>
      <c r="Q18" s="46" t="n"/>
    </row>
    <row r="19" ht="15" customHeight="1" s="63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Open-Ended</t>
        </is>
      </c>
      <c r="J19" s="32" t="inlineStr">
        <is>
          <t>THB</t>
        </is>
      </c>
      <c r="K19" s="39">
        <f>IF(J19="THB",1,FXRate)</f>
        <v/>
      </c>
      <c r="Q19" s="46" t="n"/>
    </row>
    <row r="20" ht="15" customHeight="1" s="63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Open-Ended</t>
        </is>
      </c>
      <c r="J20" s="32" t="inlineStr">
        <is>
          <t>THB</t>
        </is>
      </c>
      <c r="K20" s="39">
        <f>IF(J20="THB",1,FXRate)</f>
        <v/>
      </c>
      <c r="Q20" s="46" t="n"/>
    </row>
    <row r="21" ht="15" customHeight="1" s="63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IF(J21="THB",1,FXRate)</f>
        <v/>
      </c>
      <c r="Q21" s="46" t="n"/>
    </row>
    <row r="22" ht="15" customHeight="1" s="63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IF(J22="THB",1,FXRate)</f>
        <v/>
      </c>
      <c r="Q22" s="46" t="n"/>
    </row>
    <row r="23" ht="15" customHeight="1" s="63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IF(J23="THB",1,FXRate)</f>
        <v/>
      </c>
      <c r="Q23" s="46" t="n"/>
    </row>
    <row r="24" ht="15" customHeight="1" s="63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IF(J24="THB",1,FXRate)</f>
        <v/>
      </c>
      <c r="Q24" s="46" t="n"/>
    </row>
    <row r="25" ht="15" customHeight="1" s="63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IF(J25="THB",1,FXRate)</f>
        <v/>
      </c>
      <c r="Q25" s="46" t="n"/>
    </row>
    <row r="26" ht="15" customHeight="1" s="63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IF(J26="THB",1,FXRate)</f>
        <v/>
      </c>
      <c r="Q26" s="46" t="n"/>
    </row>
    <row r="27" ht="15" customHeight="1" s="63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IF(J27="THB",1,FXRate)</f>
        <v/>
      </c>
      <c r="Q27" s="46" t="n"/>
    </row>
    <row r="28" ht="15" customHeight="1" s="63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IF(J28="THB",1,FXRate)</f>
        <v/>
      </c>
    </row>
    <row r="29" ht="15" customHeight="1" s="63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IF(J29="THB",1,FXRate)</f>
        <v/>
      </c>
    </row>
    <row r="30" ht="15" customHeight="1" s="63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IF(J30="THB",1,FXRate)</f>
        <v/>
      </c>
    </row>
    <row r="31" ht="15" customHeight="1" s="63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IF(J31="THB",1,FXRate)</f>
        <v/>
      </c>
    </row>
    <row r="32" ht="15" customHeight="1" s="63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IF(J32="THB",1,FXRate)</f>
        <v/>
      </c>
    </row>
    <row r="33" ht="15" customHeight="1" s="63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IF(J33="THB",1,FXRate)</f>
        <v/>
      </c>
    </row>
    <row r="34" ht="15" customHeight="1" s="63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IF(J34="THB",1,FXRate)</f>
        <v/>
      </c>
    </row>
    <row r="35" ht="15" customHeight="1" s="63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IF(J35="THB",1,FXRate)</f>
        <v/>
      </c>
    </row>
    <row r="36" ht="15" customHeight="1" s="63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IF(J36="THB",1,FXRate)</f>
        <v/>
      </c>
    </row>
    <row r="37" ht="15" customHeight="1" s="63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Open-Ended</t>
        </is>
      </c>
      <c r="J37" s="32" t="inlineStr">
        <is>
          <t>THB</t>
        </is>
      </c>
      <c r="K37" s="39">
        <f>IF(J37="THB",1,FXRate)</f>
        <v/>
      </c>
    </row>
    <row r="38" ht="15" customHeight="1" s="63">
      <c r="A38" s="35">
        <f>B38&amp;"|"&amp;C38&amp;"|"&amp;D38</f>
        <v/>
      </c>
      <c r="B38" s="32" t="inlineStr">
        <is>
          <t>Equity</t>
        </is>
      </c>
      <c r="C38" s="32" t="inlineStr">
        <is>
          <t>BANPU</t>
        </is>
      </c>
      <c r="D38" s="32" t="inlineStr">
        <is>
          <t>Asia Plus Securities</t>
        </is>
      </c>
      <c r="E38" s="32" t="inlineStr">
        <is>
          <t>Equity</t>
        </is>
      </c>
      <c r="F38" s="32" t="inlineStr">
        <is>
          <t>Single Stock</t>
        </is>
      </c>
      <c r="G38" s="32" t="inlineStr">
        <is>
          <t>Thailand</t>
        </is>
      </c>
      <c r="H38" s="32" t="inlineStr">
        <is>
          <t>Thai Single Stock</t>
        </is>
      </c>
      <c r="I38" s="32" t="inlineStr">
        <is>
          <t>Taxable</t>
        </is>
      </c>
      <c r="J38" s="32" t="inlineStr">
        <is>
          <t>THB</t>
        </is>
      </c>
      <c r="K38" s="39">
        <f>IF(J38="THB",1,FXRate)</f>
        <v/>
      </c>
    </row>
    <row r="39" ht="15" customHeight="1" s="63">
      <c r="A39" s="35">
        <f>B39&amp;"|"&amp;C39&amp;"|"&amp;D39</f>
        <v/>
      </c>
      <c r="B39" s="32" t="inlineStr">
        <is>
          <t>Equity</t>
        </is>
      </c>
      <c r="C39" s="32" t="inlineStr">
        <is>
          <t>BBL</t>
        </is>
      </c>
      <c r="D39" s="32" t="inlineStr">
        <is>
          <t>Asia Plus Securities</t>
        </is>
      </c>
      <c r="E39" s="32" t="inlineStr">
        <is>
          <t>Equity</t>
        </is>
      </c>
      <c r="F39" s="32" t="inlineStr">
        <is>
          <t>Single Stock</t>
        </is>
      </c>
      <c r="G39" s="32" t="inlineStr">
        <is>
          <t>Thailand</t>
        </is>
      </c>
      <c r="H39" s="32" t="inlineStr">
        <is>
          <t>Thai Single Stock</t>
        </is>
      </c>
      <c r="I39" s="32" t="inlineStr">
        <is>
          <t>Taxable</t>
        </is>
      </c>
      <c r="J39" s="32" t="inlineStr">
        <is>
          <t>THB</t>
        </is>
      </c>
      <c r="K39" s="39">
        <f>IF(J39="THB",1,FXRate)</f>
        <v/>
      </c>
    </row>
    <row r="40" ht="15" customHeight="1" s="63">
      <c r="A40" s="35">
        <f>B40&amp;"|"&amp;C40&amp;"|"&amp;D40</f>
        <v/>
      </c>
      <c r="B40" s="32" t="inlineStr">
        <is>
          <t>Equity</t>
        </is>
      </c>
      <c r="C40" s="32" t="inlineStr">
        <is>
          <t>BLAND</t>
        </is>
      </c>
      <c r="D40" s="32" t="inlineStr">
        <is>
          <t>Asia Plus Securities</t>
        </is>
      </c>
      <c r="E40" s="32" t="inlineStr">
        <is>
          <t>Equity</t>
        </is>
      </c>
      <c r="F40" s="32" t="inlineStr">
        <is>
          <t>Single Stock</t>
        </is>
      </c>
      <c r="G40" s="32" t="inlineStr">
        <is>
          <t>Thailand</t>
        </is>
      </c>
      <c r="H40" s="32" t="inlineStr">
        <is>
          <t>Thai Single Stock</t>
        </is>
      </c>
      <c r="I40" s="32" t="inlineStr">
        <is>
          <t>Taxable</t>
        </is>
      </c>
      <c r="J40" s="32" t="inlineStr">
        <is>
          <t>THB</t>
        </is>
      </c>
      <c r="K40" s="39">
        <f>IF(J40="THB",1,FXRate)</f>
        <v/>
      </c>
    </row>
    <row r="41" ht="15" customHeight="1" s="63">
      <c r="A41" s="35">
        <f>B41&amp;"|"&amp;C41&amp;"|"&amp;D41</f>
        <v/>
      </c>
      <c r="B41" s="32" t="inlineStr">
        <is>
          <t>Equity</t>
        </is>
      </c>
      <c r="C41" s="32" t="inlineStr">
        <is>
          <t>BWG</t>
        </is>
      </c>
      <c r="D41" s="32" t="inlineStr">
        <is>
          <t>Asia Plus Securities</t>
        </is>
      </c>
      <c r="E41" s="32" t="inlineStr">
        <is>
          <t>Equity</t>
        </is>
      </c>
      <c r="F41" s="32" t="inlineStr">
        <is>
          <t>Single Stock</t>
        </is>
      </c>
      <c r="G41" s="32" t="inlineStr">
        <is>
          <t>Thailand</t>
        </is>
      </c>
      <c r="H41" s="32" t="inlineStr">
        <is>
          <t>Thai Single Stock</t>
        </is>
      </c>
      <c r="I41" s="32" t="inlineStr">
        <is>
          <t>Taxable</t>
        </is>
      </c>
      <c r="J41" s="32" t="inlineStr">
        <is>
          <t>THB</t>
        </is>
      </c>
      <c r="K41" s="39">
        <f>IF(J41="THB",1,FXRate)</f>
        <v/>
      </c>
    </row>
    <row r="42" ht="15" customHeight="1" s="63">
      <c r="A42" s="35">
        <f>B42&amp;"|"&amp;C42&amp;"|"&amp;D42</f>
        <v/>
      </c>
      <c r="B42" s="32" t="inlineStr">
        <is>
          <t>Equity</t>
        </is>
      </c>
      <c r="C42" s="32" t="inlineStr">
        <is>
          <t>BWG-W7</t>
        </is>
      </c>
      <c r="D42" s="32" t="inlineStr">
        <is>
          <t>Asia Plus Securities</t>
        </is>
      </c>
      <c r="E42" s="32" t="inlineStr">
        <is>
          <t>Equity</t>
        </is>
      </c>
      <c r="F42" s="32" t="inlineStr">
        <is>
          <t>Single Stock</t>
        </is>
      </c>
      <c r="G42" s="32" t="inlineStr">
        <is>
          <t>Thailand</t>
        </is>
      </c>
      <c r="H42" s="32" t="inlineStr">
        <is>
          <t>Thai Single Stock</t>
        </is>
      </c>
      <c r="I42" s="32" t="inlineStr">
        <is>
          <t>Taxable</t>
        </is>
      </c>
      <c r="J42" s="32" t="inlineStr">
        <is>
          <t>THB</t>
        </is>
      </c>
      <c r="K42" s="39">
        <f>IF(J42="THB",1,FXRate)</f>
        <v/>
      </c>
    </row>
    <row r="43" ht="15" customHeight="1" s="63">
      <c r="A43" s="35">
        <f>B43&amp;"|"&amp;C43&amp;"|"&amp;D43</f>
        <v/>
      </c>
      <c r="B43" s="32" t="inlineStr">
        <is>
          <t>Equity</t>
        </is>
      </c>
      <c r="C43" s="32" t="inlineStr">
        <is>
          <t>GSTEEL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IF(J43="THB",1,FXRate)</f>
        <v/>
      </c>
    </row>
    <row r="44" ht="15" customHeight="1" s="63">
      <c r="A44" s="35">
        <f>B44&amp;"|"&amp;C44&amp;"|"&amp;D44</f>
        <v/>
      </c>
      <c r="B44" s="32" t="inlineStr">
        <is>
          <t>Equity</t>
        </is>
      </c>
      <c r="C44" s="32" t="inlineStr">
        <is>
          <t>GULF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IF(J44="THB",1,FXRate)</f>
        <v/>
      </c>
    </row>
    <row r="45" ht="15" customHeight="1" s="63">
      <c r="A45" s="35">
        <f>B45&amp;"|"&amp;C45&amp;"|"&amp;D45</f>
        <v/>
      </c>
      <c r="B45" s="32" t="inlineStr">
        <is>
          <t>Equity</t>
        </is>
      </c>
      <c r="C45" s="32" t="inlineStr">
        <is>
          <t>NETBAY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IF(J45="THB",1,FXRate)</f>
        <v/>
      </c>
    </row>
    <row r="46" ht="15" customHeight="1" s="63">
      <c r="A46" s="35">
        <f>B46&amp;"|"&amp;C46&amp;"|"&amp;D46</f>
        <v/>
      </c>
      <c r="B46" s="32" t="inlineStr">
        <is>
          <t>Equity</t>
        </is>
      </c>
      <c r="C46" s="32" t="inlineStr">
        <is>
          <t>OSP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IF(J46="THB",1,FXRate)</f>
        <v/>
      </c>
    </row>
    <row r="47" ht="15" customHeight="1" s="63">
      <c r="A47" s="35">
        <f>B47&amp;"|"&amp;C47&amp;"|"&amp;D47</f>
        <v/>
      </c>
      <c r="B47" s="32" t="inlineStr">
        <is>
          <t>Equity</t>
        </is>
      </c>
      <c r="C47" s="32" t="inlineStr">
        <is>
          <t>RJH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IF(J47="THB",1,FXRate)</f>
        <v/>
      </c>
    </row>
    <row r="48" ht="15" customHeight="1" s="63">
      <c r="A48" s="35">
        <f>B48&amp;"|"&amp;C48&amp;"|"&amp;D48</f>
        <v/>
      </c>
      <c r="B48" s="32" t="inlineStr">
        <is>
          <t>Equity</t>
        </is>
      </c>
      <c r="C48" s="32" t="inlineStr">
        <is>
          <t>SAMART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IF(J48="THB",1,FXRate)</f>
        <v/>
      </c>
    </row>
    <row r="49" ht="15" customHeight="1" s="63">
      <c r="A49" s="35">
        <f>B49&amp;"|"&amp;C49&amp;"|"&amp;D49</f>
        <v/>
      </c>
      <c r="B49" s="32" t="inlineStr">
        <is>
          <t>Equity</t>
        </is>
      </c>
      <c r="C49" s="32" t="inlineStr">
        <is>
          <t>SAWAD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IF(J49="THB",1,FXRate)</f>
        <v/>
      </c>
    </row>
    <row r="50" ht="15" customHeight="1" s="63">
      <c r="A50" s="35">
        <f>B50&amp;"|"&amp;C50&amp;"|"&amp;D50</f>
        <v/>
      </c>
      <c r="B50" s="32" t="inlineStr">
        <is>
          <t>Equity</t>
        </is>
      </c>
      <c r="C50" s="32" t="inlineStr">
        <is>
          <t>WORK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IF(J50="THB",1,FXRate)</f>
        <v/>
      </c>
    </row>
    <row r="51" ht="15" customHeight="1" s="63">
      <c r="A51" s="35">
        <f>B51&amp;"|"&amp;C51&amp;"|"&amp;D51</f>
        <v/>
      </c>
      <c r="B51" s="32" t="inlineStr">
        <is>
          <t>Equity</t>
        </is>
      </c>
      <c r="C51" s="32" t="inlineStr">
        <is>
          <t>Cash</t>
        </is>
      </c>
      <c r="D51" s="32" t="inlineStr">
        <is>
          <t>Asia Plus Securities</t>
        </is>
      </c>
      <c r="E51" s="32" t="inlineStr">
        <is>
          <t>Cash &amp; Equivalents</t>
        </is>
      </c>
      <c r="F51" s="32" t="inlineStr">
        <is>
          <t>Cash</t>
        </is>
      </c>
      <c r="G51" s="32" t="inlineStr">
        <is>
          <t>Thailand</t>
        </is>
      </c>
      <c r="H51" s="32" t="inlineStr">
        <is>
          <t>Brokerage Cash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IF(J51="THB",1,FXRate)</f>
        <v/>
      </c>
    </row>
    <row r="52" ht="15" customHeight="1" s="63">
      <c r="A52" s="35">
        <f>B52&amp;"|"&amp;C52&amp;"|"&amp;D52</f>
        <v/>
      </c>
      <c r="B52" s="32" t="inlineStr">
        <is>
          <t>Equity</t>
        </is>
      </c>
      <c r="C52" s="32" t="inlineStr">
        <is>
          <t>NCAP</t>
        </is>
      </c>
      <c r="D52" s="32" t="inlineStr">
        <is>
          <t>DBS Vickers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IF(J52="THB",1,FXRate)</f>
        <v/>
      </c>
    </row>
    <row r="53" ht="15" customHeight="1" s="63">
      <c r="A53" s="35">
        <f>B53&amp;"|"&amp;C53&amp;"|"&amp;D53</f>
        <v/>
      </c>
      <c r="B53" s="32" t="inlineStr">
        <is>
          <t>Equity</t>
        </is>
      </c>
      <c r="C53" s="32" t="inlineStr">
        <is>
          <t>OR</t>
        </is>
      </c>
      <c r="D53" s="32" t="inlineStr">
        <is>
          <t>DBS Vickers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IF(J53="THB",1,FXRate)</f>
        <v/>
      </c>
    </row>
    <row r="54" ht="15" customHeight="1" s="63">
      <c r="A54" s="35">
        <f>B54&amp;"|"&amp;C54&amp;"|"&amp;D54</f>
        <v/>
      </c>
      <c r="B54" s="32" t="inlineStr">
        <is>
          <t>Equity</t>
        </is>
      </c>
      <c r="C54" s="32" t="inlineStr">
        <is>
          <t>TIDLOR</t>
        </is>
      </c>
      <c r="D54" s="32" t="inlineStr">
        <is>
          <t>DBS Vickers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IF(J54="THB",1,FXRate)</f>
        <v/>
      </c>
    </row>
    <row r="55" ht="15" customHeight="1" s="63">
      <c r="A55" s="35">
        <f>B55&amp;"|"&amp;C55&amp;"|"&amp;D55</f>
        <v/>
      </c>
      <c r="B55" s="32" t="inlineStr">
        <is>
          <t>Equity</t>
        </is>
      </c>
      <c r="C55" s="32" t="inlineStr">
        <is>
          <t>HUMAN</t>
        </is>
      </c>
      <c r="D55" s="32" t="inlineStr">
        <is>
          <t>DBS Vickers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IF(J55="THB",1,FXRate)</f>
        <v/>
      </c>
    </row>
    <row r="56" ht="15" customHeight="1" s="63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DBS Vickers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IF(J56="THB",1,FXRate)</f>
        <v/>
      </c>
    </row>
    <row r="57" ht="15" customHeight="1" s="63">
      <c r="A57" s="35">
        <f>B57&amp;"|"&amp;C57&amp;"|"&amp;D57</f>
        <v/>
      </c>
      <c r="B57" s="32" t="inlineStr">
        <is>
          <t>Equity</t>
        </is>
      </c>
      <c r="C57" s="32" t="inlineStr">
        <is>
          <t>ACLS</t>
        </is>
      </c>
      <c r="D57" s="32" t="inlineStr">
        <is>
          <t>Dime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United States</t>
        </is>
      </c>
      <c r="H57" s="32" t="inlineStr">
        <is>
          <t>US Single Stock</t>
        </is>
      </c>
      <c r="I57" s="32" t="inlineStr">
        <is>
          <t>Taxable</t>
        </is>
      </c>
      <c r="J57" s="32" t="inlineStr">
        <is>
          <t>USD</t>
        </is>
      </c>
      <c r="K57" s="39">
        <f>IF(J57="THB",1,FXRate)</f>
        <v/>
      </c>
    </row>
    <row r="58" ht="15" customHeight="1" s="63">
      <c r="A58" s="35">
        <f>B58&amp;"|"&amp;C58&amp;"|"&amp;D58</f>
        <v/>
      </c>
      <c r="B58" s="32" t="inlineStr">
        <is>
          <t>Equity</t>
        </is>
      </c>
      <c r="C58" s="32" t="inlineStr">
        <is>
          <t>ADBE</t>
        </is>
      </c>
      <c r="D58" s="32" t="inlineStr">
        <is>
          <t>Dime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United States</t>
        </is>
      </c>
      <c r="H58" s="32" t="inlineStr">
        <is>
          <t>US Single Stock</t>
        </is>
      </c>
      <c r="I58" s="32" t="inlineStr">
        <is>
          <t>Taxable</t>
        </is>
      </c>
      <c r="J58" s="32" t="inlineStr">
        <is>
          <t>USD</t>
        </is>
      </c>
      <c r="K58" s="39">
        <f>IF(J58="THB",1,FXRate)</f>
        <v/>
      </c>
    </row>
    <row r="59" ht="15" customHeight="1" s="63">
      <c r="A59" s="35">
        <f>B59&amp;"|"&amp;C59&amp;"|"&amp;D59</f>
        <v/>
      </c>
      <c r="B59" s="32" t="inlineStr">
        <is>
          <t>Equity</t>
        </is>
      </c>
      <c r="C59" s="32" t="inlineStr">
        <is>
          <t>AMAT</t>
        </is>
      </c>
      <c r="D59" s="32" t="inlineStr">
        <is>
          <t>Dime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United States</t>
        </is>
      </c>
      <c r="H59" s="32" t="inlineStr">
        <is>
          <t>US Single Stock</t>
        </is>
      </c>
      <c r="I59" s="32" t="inlineStr">
        <is>
          <t>Taxable</t>
        </is>
      </c>
      <c r="J59" s="32" t="inlineStr">
        <is>
          <t>USD</t>
        </is>
      </c>
      <c r="K59" s="39">
        <f>IF(J59="THB",1,FXRate)</f>
        <v/>
      </c>
    </row>
    <row r="60" ht="15" customHeight="1" s="63">
      <c r="A60" s="35">
        <f>B60&amp;"|"&amp;C60&amp;"|"&amp;D60</f>
        <v/>
      </c>
      <c r="B60" s="32" t="inlineStr">
        <is>
          <t>Equity</t>
        </is>
      </c>
      <c r="C60" s="32" t="inlineStr">
        <is>
          <t>CRUS</t>
        </is>
      </c>
      <c r="D60" s="32" t="inlineStr">
        <is>
          <t>Dime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United States</t>
        </is>
      </c>
      <c r="H60" s="32" t="inlineStr">
        <is>
          <t>US Single Stock</t>
        </is>
      </c>
      <c r="I60" s="32" t="inlineStr">
        <is>
          <t>Taxable</t>
        </is>
      </c>
      <c r="J60" s="32" t="inlineStr">
        <is>
          <t>USD</t>
        </is>
      </c>
      <c r="K60" s="39">
        <f>IF(J60="THB",1,FXRate)</f>
        <v/>
      </c>
    </row>
    <row r="61" ht="15" customHeight="1" s="63">
      <c r="A61" s="35">
        <f>B61&amp;"|"&amp;C61&amp;"|"&amp;D61</f>
        <v/>
      </c>
      <c r="B61" s="32" t="inlineStr">
        <is>
          <t>Equity</t>
        </is>
      </c>
      <c r="C61" s="32" t="inlineStr">
        <is>
          <t>ENPH</t>
        </is>
      </c>
      <c r="D61" s="32" t="inlineStr">
        <is>
          <t>Dime</t>
        </is>
      </c>
      <c r="E61" s="32" t="inlineStr">
        <is>
          <t>Equity</t>
        </is>
      </c>
      <c r="F61" s="32" t="inlineStr">
        <is>
          <t>Single Stock</t>
        </is>
      </c>
      <c r="G61" s="32" t="inlineStr">
        <is>
          <t>United States</t>
        </is>
      </c>
      <c r="H61" s="32" t="inlineStr">
        <is>
          <t>US Single Stock</t>
        </is>
      </c>
      <c r="I61" s="32" t="inlineStr">
        <is>
          <t>Taxable</t>
        </is>
      </c>
      <c r="J61" s="32" t="inlineStr">
        <is>
          <t>USD</t>
        </is>
      </c>
      <c r="K61" s="39">
        <f>IF(J61="THB",1,FXRate)</f>
        <v/>
      </c>
    </row>
    <row r="62" ht="15" customHeight="1" s="63">
      <c r="A62" s="35">
        <f>B62&amp;"|"&amp;C62&amp;"|"&amp;D62</f>
        <v/>
      </c>
      <c r="B62" s="32" t="inlineStr">
        <is>
          <t>Equity</t>
        </is>
      </c>
      <c r="C62" s="32" t="inlineStr">
        <is>
          <t>FTNT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IF(J62="THB",1,FXRate)</f>
        <v/>
      </c>
    </row>
    <row r="63" ht="15" customHeight="1" s="63">
      <c r="A63" s="35">
        <f>B63&amp;"|"&amp;C63&amp;"|"&amp;D63</f>
        <v/>
      </c>
      <c r="B63" s="32" t="inlineStr">
        <is>
          <t>Equity</t>
        </is>
      </c>
      <c r="C63" s="32" t="inlineStr">
        <is>
          <t>IT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IF(J63="THB",1,FXRate)</f>
        <v/>
      </c>
    </row>
    <row r="64" ht="15" customHeight="1" s="63">
      <c r="A64" s="35">
        <f>B64&amp;"|"&amp;C64&amp;"|"&amp;D64</f>
        <v/>
      </c>
      <c r="B64" s="32" t="inlineStr">
        <is>
          <t>Equity</t>
        </is>
      </c>
      <c r="C64" s="32" t="inlineStr">
        <is>
          <t>KLAC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IF(J64="THB",1,FXRate)</f>
        <v/>
      </c>
    </row>
    <row r="65" ht="15" customHeight="1" s="63">
      <c r="A65" s="35">
        <f>B65&amp;"|"&amp;C65&amp;"|"&amp;D65</f>
        <v/>
      </c>
      <c r="B65" s="32" t="inlineStr">
        <is>
          <t>Equity</t>
        </is>
      </c>
      <c r="C65" s="32" t="inlineStr">
        <is>
          <t>LLY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IF(J65="THB",1,FXRate)</f>
        <v/>
      </c>
    </row>
    <row r="66" ht="15" customHeight="1" s="63">
      <c r="A66" s="35">
        <f>B66&amp;"|"&amp;C66&amp;"|"&amp;D66</f>
        <v/>
      </c>
      <c r="B66" s="32" t="inlineStr">
        <is>
          <t>Equity</t>
        </is>
      </c>
      <c r="C66" s="32" t="inlineStr">
        <is>
          <t>MCHP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IF(J66="THB",1,FXRate)</f>
        <v/>
      </c>
    </row>
    <row r="67" ht="15" customHeight="1" s="63">
      <c r="A67" s="35">
        <f>B67&amp;"|"&amp;C67&amp;"|"&amp;D67</f>
        <v/>
      </c>
      <c r="B67" s="32" t="inlineStr">
        <is>
          <t>Equity</t>
        </is>
      </c>
      <c r="C67" s="32" t="inlineStr">
        <is>
          <t>MPWR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IF(J67="THB",1,FXRate)</f>
        <v/>
      </c>
    </row>
    <row r="68" ht="15" customHeight="1" s="63">
      <c r="A68" s="35">
        <f>B68&amp;"|"&amp;C68&amp;"|"&amp;D68</f>
        <v/>
      </c>
      <c r="B68" s="32" t="inlineStr">
        <is>
          <t>Equity</t>
        </is>
      </c>
      <c r="C68" s="32" t="inlineStr">
        <is>
          <t>NSIT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IF(J68="THB",1,FXRate)</f>
        <v/>
      </c>
    </row>
    <row r="69" ht="15" customHeight="1" s="63">
      <c r="A69" s="35">
        <f>B69&amp;"|"&amp;C69&amp;"|"&amp;D69</f>
        <v/>
      </c>
      <c r="B69" s="32" t="inlineStr">
        <is>
          <t>Equity</t>
        </is>
      </c>
      <c r="C69" s="32" t="inlineStr">
        <is>
          <t>NVDA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IF(J69="THB",1,FXRate)</f>
        <v/>
      </c>
    </row>
    <row r="70" ht="15" customHeight="1" s="63">
      <c r="A70" s="35">
        <f>B70&amp;"|"&amp;C70&amp;"|"&amp;D70</f>
        <v/>
      </c>
      <c r="B70" s="32" t="inlineStr">
        <is>
          <t>Equity</t>
        </is>
      </c>
      <c r="C70" s="32" t="inlineStr">
        <is>
          <t>OLED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IF(J70="THB",1,FXRate)</f>
        <v/>
      </c>
    </row>
    <row r="71" ht="15" customHeight="1" s="63">
      <c r="A71" s="35">
        <f>B71&amp;"|"&amp;C71&amp;"|"&amp;D71</f>
        <v/>
      </c>
      <c r="B71" s="32" t="inlineStr">
        <is>
          <t>Equity</t>
        </is>
      </c>
      <c r="C71" s="32" t="inlineStr">
        <is>
          <t>QRVO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IF(J71="THB",1,FXRate)</f>
        <v/>
      </c>
    </row>
    <row r="72" ht="15" customHeight="1" s="63">
      <c r="A72" s="35">
        <f>B72&amp;"|"&amp;C72&amp;"|"&amp;D72</f>
        <v/>
      </c>
      <c r="B72" s="32" t="inlineStr">
        <is>
          <t>Equity</t>
        </is>
      </c>
      <c r="C72" s="32" t="inlineStr">
        <is>
          <t>TER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IF(J72="THB",1,FXRate)</f>
        <v/>
      </c>
    </row>
    <row r="73" ht="15" customHeight="1" s="63">
      <c r="A73" s="35">
        <f>B73&amp;"|"&amp;C73&amp;"|"&amp;D73</f>
        <v/>
      </c>
      <c r="B73" s="32" t="inlineStr">
        <is>
          <t>Equity</t>
        </is>
      </c>
      <c r="C73" s="32" t="inlineStr">
        <is>
          <t>TSLA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IF(J73="THB",1,FXRate)</f>
        <v/>
      </c>
    </row>
    <row r="74" ht="15" customHeight="1" s="63">
      <c r="A74" s="35">
        <f>B74&amp;"|"&amp;C74&amp;"|"&amp;D74</f>
        <v/>
      </c>
      <c r="B74" s="32" t="inlineStr">
        <is>
          <t>Equity</t>
        </is>
      </c>
      <c r="C74" s="32" t="inlineStr">
        <is>
          <t>YOU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IF(J74="THB",1,FXRate)</f>
        <v/>
      </c>
    </row>
    <row r="75" ht="15" customHeight="1" s="63">
      <c r="A75" s="35">
        <f>B75&amp;"|"&amp;C75&amp;"|"&amp;D75</f>
        <v/>
      </c>
      <c r="B75" s="32" t="inlineStr">
        <is>
          <t>Equity</t>
        </is>
      </c>
      <c r="C75" s="32" t="inlineStr">
        <is>
          <t>EWY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ETF</t>
        </is>
      </c>
      <c r="G75" s="32" t="inlineStr">
        <is>
          <t>South Korea</t>
        </is>
      </c>
      <c r="H75" s="32" t="inlineStr">
        <is>
          <t>Korea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IF(J75="THB",1,FXRate)</f>
        <v/>
      </c>
    </row>
    <row r="76" ht="15" customHeight="1" s="63">
      <c r="A76" s="35">
        <f>B76&amp;"|"&amp;C76&amp;"|"&amp;D76</f>
        <v/>
      </c>
      <c r="B76" s="32" t="inlineStr">
        <is>
          <t>Equity</t>
        </is>
      </c>
      <c r="C76" s="32" t="inlineStr">
        <is>
          <t>Cash</t>
        </is>
      </c>
      <c r="D76" s="32" t="inlineStr">
        <is>
          <t>Dime</t>
        </is>
      </c>
      <c r="E76" s="32" t="inlineStr">
        <is>
          <t>Cash &amp; Equivalents</t>
        </is>
      </c>
      <c r="F76" s="32" t="inlineStr">
        <is>
          <t>Cash</t>
        </is>
      </c>
      <c r="G76" s="32" t="inlineStr">
        <is>
          <t>United States</t>
        </is>
      </c>
      <c r="H76" s="32" t="inlineStr">
        <is>
          <t>Brokerage Cash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IF(J76="THB",1,FXRate)</f>
        <v/>
      </c>
    </row>
    <row r="77" ht="15" customHeight="1" s="63">
      <c r="A77" s="35">
        <f>B77&amp;"|"&amp;C77&amp;"|"&amp;D77</f>
        <v/>
      </c>
      <c r="B77" s="32" t="inlineStr">
        <is>
          <t>Equity</t>
        </is>
      </c>
      <c r="C77" s="32" t="inlineStr">
        <is>
          <t>REMX</t>
        </is>
      </c>
      <c r="D77" s="32" t="inlineStr">
        <is>
          <t>SCB SG</t>
        </is>
      </c>
      <c r="E77" s="32" t="inlineStr">
        <is>
          <t>Equity</t>
        </is>
      </c>
      <c r="F77" s="32" t="inlineStr">
        <is>
          <t>ETF</t>
        </is>
      </c>
      <c r="G77" s="32" t="inlineStr">
        <is>
          <t>United States</t>
        </is>
      </c>
      <c r="H77" s="32" t="inlineStr">
        <is>
          <t>Rare Earth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IF(J77="THB",1,FXRate)</f>
        <v/>
      </c>
    </row>
    <row r="78" ht="15" customHeight="1" s="63">
      <c r="A78" s="35">
        <f>B78&amp;"|"&amp;C78&amp;"|"&amp;D78</f>
        <v/>
      </c>
      <c r="B78" s="32" t="inlineStr">
        <is>
          <t>Equity</t>
        </is>
      </c>
      <c r="C78" s="32" t="inlineStr">
        <is>
          <t>AAPL</t>
        </is>
      </c>
      <c r="D78" s="32" t="inlineStr">
        <is>
          <t>SCB SG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IF(J78="THB",1,FXRate)</f>
        <v/>
      </c>
    </row>
    <row r="79" ht="15" customHeight="1" s="63">
      <c r="A79" s="35">
        <f>B79&amp;"|"&amp;C79&amp;"|"&amp;D79</f>
        <v/>
      </c>
      <c r="B79" s="32" t="inlineStr">
        <is>
          <t>Equity</t>
        </is>
      </c>
      <c r="C79" s="32" t="inlineStr">
        <is>
          <t>COIN</t>
        </is>
      </c>
      <c r="D79" s="32" t="inlineStr">
        <is>
          <t>SCB SG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IF(J79="THB",1,FXRate)</f>
        <v/>
      </c>
    </row>
    <row r="80" ht="15" customHeight="1" s="63">
      <c r="A80" s="35">
        <f>B80&amp;"|"&amp;C80&amp;"|"&amp;D80</f>
        <v/>
      </c>
      <c r="B80" s="32" t="inlineStr">
        <is>
          <t>Equity</t>
        </is>
      </c>
      <c r="C80" s="32" t="inlineStr">
        <is>
          <t>META</t>
        </is>
      </c>
      <c r="D80" s="32" t="inlineStr">
        <is>
          <t>SCB SG</t>
        </is>
      </c>
      <c r="E80" s="32" t="inlineStr">
        <is>
          <t>Equity</t>
        </is>
      </c>
      <c r="F80" s="32" t="inlineStr">
        <is>
          <t>Single Stock</t>
        </is>
      </c>
      <c r="G80" s="32" t="inlineStr">
        <is>
          <t>United States</t>
        </is>
      </c>
      <c r="H80" s="32" t="inlineStr">
        <is>
          <t>US Single Stock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IF(J80="THB",1,FXRate)</f>
        <v/>
      </c>
    </row>
    <row r="81" ht="15" customHeight="1" s="63">
      <c r="A81" s="35">
        <f>B81&amp;"|"&amp;C81&amp;"|"&amp;D81</f>
        <v/>
      </c>
      <c r="B81" s="32" t="inlineStr">
        <is>
          <t>Equity</t>
        </is>
      </c>
      <c r="C81" s="32" t="inlineStr">
        <is>
          <t>VCX</t>
        </is>
      </c>
      <c r="D81" s="32" t="inlineStr">
        <is>
          <t>SCB SG</t>
        </is>
      </c>
      <c r="E81" s="32" t="inlineStr">
        <is>
          <t>Equity</t>
        </is>
      </c>
      <c r="F81" s="32" t="inlineStr">
        <is>
          <t>Single Stock</t>
        </is>
      </c>
      <c r="G81" s="32" t="inlineStr">
        <is>
          <t>United States</t>
        </is>
      </c>
      <c r="H81" s="32" t="inlineStr">
        <is>
          <t>US Single Stock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IF(J81="THB",1,FXRate)</f>
        <v/>
      </c>
    </row>
    <row r="82" ht="15" customHeight="1" s="63">
      <c r="A82" s="35">
        <f>B82&amp;"|"&amp;C82&amp;"|"&amp;D82</f>
        <v/>
      </c>
      <c r="B82" s="32" t="inlineStr">
        <is>
          <t>Equity</t>
        </is>
      </c>
      <c r="C82" s="32" t="inlineStr">
        <is>
          <t>Cash</t>
        </is>
      </c>
      <c r="D82" s="32" t="inlineStr">
        <is>
          <t>SCB SG</t>
        </is>
      </c>
      <c r="E82" s="32" t="inlineStr">
        <is>
          <t>Cash &amp; Equivalents</t>
        </is>
      </c>
      <c r="F82" s="32" t="inlineStr">
        <is>
          <t>Cash</t>
        </is>
      </c>
      <c r="G82" s="32" t="inlineStr">
        <is>
          <t>United States</t>
        </is>
      </c>
      <c r="H82" s="32" t="inlineStr">
        <is>
          <t>Brokerage Cash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IF(J82="THB",1,FXRate)</f>
        <v/>
      </c>
    </row>
    <row r="83" ht="15" customHeight="1" s="63">
      <c r="A83" s="35">
        <f>B83&amp;"|"&amp;C83&amp;"|"&amp;D83</f>
        <v/>
      </c>
      <c r="B83" s="32" t="inlineStr">
        <is>
          <t>Crypto</t>
        </is>
      </c>
      <c r="C83" s="32" t="inlineStr">
        <is>
          <t>BTC</t>
        </is>
      </c>
      <c r="D83" s="32" t="inlineStr">
        <is>
          <t>OKX</t>
        </is>
      </c>
      <c r="E83" s="32" t="inlineStr">
        <is>
          <t>Digital Assets</t>
        </is>
      </c>
      <c r="F83" s="32" t="inlineStr">
        <is>
          <t>Major Crypto</t>
        </is>
      </c>
      <c r="G83" s="32" t="inlineStr">
        <is>
          <t>Global</t>
        </is>
      </c>
      <c r="H83" s="32" t="inlineStr">
        <is>
          <t>Major Crypto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IF(J83="THB",1,FXRate)</f>
        <v/>
      </c>
    </row>
    <row r="84" ht="15" customHeight="1" s="63">
      <c r="A84" s="35">
        <f>B84&amp;"|"&amp;C84&amp;"|"&amp;D84</f>
        <v/>
      </c>
      <c r="B84" s="32" t="inlineStr">
        <is>
          <t>Crypto</t>
        </is>
      </c>
      <c r="C84" s="32" t="inlineStr">
        <is>
          <t>OKSOL</t>
        </is>
      </c>
      <c r="D84" s="32" t="inlineStr">
        <is>
          <t>OKX</t>
        </is>
      </c>
      <c r="E84" s="32" t="inlineStr">
        <is>
          <t>Digital Assets</t>
        </is>
      </c>
      <c r="F84" s="32" t="inlineStr">
        <is>
          <t>Altcoin</t>
        </is>
      </c>
      <c r="G84" s="32" t="inlineStr">
        <is>
          <t>Global</t>
        </is>
      </c>
      <c r="H84" s="32" t="inlineStr">
        <is>
          <t>Altcoin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IF(J84="THB",1,FXRate)</f>
        <v/>
      </c>
    </row>
    <row r="85" ht="15" customHeight="1" s="63">
      <c r="A85" s="35">
        <f>B85&amp;"|"&amp;C85&amp;"|"&amp;D85</f>
        <v/>
      </c>
      <c r="B85" s="32" t="inlineStr">
        <is>
          <t>Crypto</t>
        </is>
      </c>
      <c r="C85" s="32" t="inlineStr">
        <is>
          <t>PENGU</t>
        </is>
      </c>
      <c r="D85" s="32" t="inlineStr">
        <is>
          <t>OKX</t>
        </is>
      </c>
      <c r="E85" s="32" t="inlineStr">
        <is>
          <t>Digital Assets</t>
        </is>
      </c>
      <c r="F85" s="32" t="inlineStr">
        <is>
          <t>Altcoin</t>
        </is>
      </c>
      <c r="G85" s="32" t="inlineStr">
        <is>
          <t>Global</t>
        </is>
      </c>
      <c r="H85" s="32" t="inlineStr">
        <is>
          <t>Altcoin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IF(J85="THB",1,FXRate)</f>
        <v/>
      </c>
    </row>
    <row r="86" ht="15" customHeight="1" s="63">
      <c r="A86" s="35">
        <f>B86&amp;"|"&amp;C86&amp;"|"&amp;D86</f>
        <v/>
      </c>
      <c r="B86" s="32" t="inlineStr">
        <is>
          <t>Crypto</t>
        </is>
      </c>
      <c r="C86" s="32" t="inlineStr">
        <is>
          <t>COMP</t>
        </is>
      </c>
      <c r="D86" s="32" t="inlineStr">
        <is>
          <t>OKX</t>
        </is>
      </c>
      <c r="E86" s="32" t="inlineStr">
        <is>
          <t>Digital Assets</t>
        </is>
      </c>
      <c r="F86" s="32" t="inlineStr">
        <is>
          <t>Altcoin</t>
        </is>
      </c>
      <c r="G86" s="32" t="inlineStr">
        <is>
          <t>Global</t>
        </is>
      </c>
      <c r="H86" s="32" t="inlineStr">
        <is>
          <t>Altcoin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IF(J86="THB",1,FXRate)</f>
        <v/>
      </c>
    </row>
    <row r="87" ht="15" customHeight="1" s="63">
      <c r="A87" s="35">
        <f>B87&amp;"|"&amp;C87&amp;"|"&amp;D87</f>
        <v/>
      </c>
      <c r="B87" s="32" t="inlineStr">
        <is>
          <t>Crypto</t>
        </is>
      </c>
      <c r="C87" s="32" t="inlineStr">
        <is>
          <t>NIGHT</t>
        </is>
      </c>
      <c r="D87" s="32" t="inlineStr">
        <is>
          <t>OKX</t>
        </is>
      </c>
      <c r="E87" s="32" t="inlineStr">
        <is>
          <t>Digital Assets</t>
        </is>
      </c>
      <c r="F87" s="32" t="inlineStr">
        <is>
          <t>Altcoin</t>
        </is>
      </c>
      <c r="G87" s="32" t="inlineStr">
        <is>
          <t>Global</t>
        </is>
      </c>
      <c r="H87" s="32" t="inlineStr">
        <is>
          <t>Altcoin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IF(J87="THB",1,FXRate)</f>
        <v/>
      </c>
    </row>
    <row r="88" ht="15" customHeight="1" s="63">
      <c r="A88" s="35">
        <f>B88&amp;"|"&amp;C88&amp;"|"&amp;D88</f>
        <v/>
      </c>
      <c r="B88" s="32" t="inlineStr">
        <is>
          <t>Crypto</t>
        </is>
      </c>
      <c r="C88" s="32" t="inlineStr">
        <is>
          <t>SOL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IF(J88="THB",1,FXRate)</f>
        <v/>
      </c>
    </row>
    <row r="89" ht="15" customHeight="1" s="63">
      <c r="A89" s="35">
        <f>B89&amp;"|"&amp;C89&amp;"|"&amp;D89</f>
        <v/>
      </c>
      <c r="B89" s="32" t="inlineStr">
        <is>
          <t>Crypto</t>
        </is>
      </c>
      <c r="C89" s="32" t="inlineStr">
        <is>
          <t>USDT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Stablecoin</t>
        </is>
      </c>
      <c r="G89" s="32" t="inlineStr">
        <is>
          <t>Global</t>
        </is>
      </c>
      <c r="H89" s="32" t="inlineStr">
        <is>
          <t>Stablecoin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IF(J89="THB",1,FXRate)</f>
        <v/>
      </c>
    </row>
    <row r="90" ht="15" customHeight="1" s="63">
      <c r="A90" s="35">
        <f>B90&amp;"|"&amp;C90&amp;"|"&amp;D90</f>
        <v/>
      </c>
      <c r="B90" s="32" t="inlineStr">
        <is>
          <t>Crypto</t>
        </is>
      </c>
      <c r="C90" s="32" t="inlineStr">
        <is>
          <t>BTC</t>
        </is>
      </c>
      <c r="D90" s="32" t="inlineStr">
        <is>
          <t>Binance</t>
        </is>
      </c>
      <c r="E90" s="32" t="inlineStr">
        <is>
          <t>Digital Assets</t>
        </is>
      </c>
      <c r="F90" s="32" t="inlineStr">
        <is>
          <t>Major Crypto</t>
        </is>
      </c>
      <c r="G90" s="32" t="inlineStr">
        <is>
          <t>Global</t>
        </is>
      </c>
      <c r="H90" s="32" t="inlineStr">
        <is>
          <t>Major Crypto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IF(J90="THB",1,FXRate)</f>
        <v/>
      </c>
    </row>
    <row r="91" ht="15" customHeight="1" s="63">
      <c r="A91" s="35">
        <f>B91&amp;"|"&amp;C91&amp;"|"&amp;D91</f>
        <v/>
      </c>
      <c r="B91" s="32" t="inlineStr">
        <is>
          <t>Crypto</t>
        </is>
      </c>
      <c r="C91" s="32" t="inlineStr">
        <is>
          <t>AAVE</t>
        </is>
      </c>
      <c r="D91" s="32" t="inlineStr">
        <is>
          <t>Binance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IF(J91="THB",1,FXRate)</f>
        <v/>
      </c>
    </row>
    <row r="92" ht="15" customHeight="1" s="63">
      <c r="A92" s="35">
        <f>B92&amp;"|"&amp;C92&amp;"|"&amp;D92</f>
        <v/>
      </c>
      <c r="B92" s="32" t="inlineStr">
        <is>
          <t>Crypto</t>
        </is>
      </c>
      <c r="C92" s="32" t="inlineStr">
        <is>
          <t>TRUMP</t>
        </is>
      </c>
      <c r="D92" s="32" t="inlineStr">
        <is>
          <t>Binance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IF(J92="THB",1,FXRate)</f>
        <v/>
      </c>
    </row>
    <row r="93" ht="15" customHeight="1" s="63">
      <c r="A93" s="35">
        <f>B93&amp;"|"&amp;C93&amp;"|"&amp;D93</f>
        <v/>
      </c>
      <c r="B93" s="32" t="inlineStr">
        <is>
          <t>Crypto</t>
        </is>
      </c>
      <c r="C93" s="32" t="inlineStr">
        <is>
          <t>PLUME</t>
        </is>
      </c>
      <c r="D93" s="32" t="inlineStr">
        <is>
          <t>Binance</t>
        </is>
      </c>
      <c r="E93" s="32" t="inlineStr">
        <is>
          <t>Digital Assets</t>
        </is>
      </c>
      <c r="F93" s="32" t="inlineStr">
        <is>
          <t>Altcoin</t>
        </is>
      </c>
      <c r="G93" s="32" t="inlineStr">
        <is>
          <t>Global</t>
        </is>
      </c>
      <c r="H93" s="32" t="inlineStr">
        <is>
          <t>Altcoin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IF(J93="THB",1,FXRate)</f>
        <v/>
      </c>
    </row>
    <row r="94" ht="15" customHeight="1" s="63">
      <c r="A94" s="35">
        <f>B94&amp;"|"&amp;C94&amp;"|"&amp;D94</f>
        <v/>
      </c>
      <c r="B94" s="32" t="inlineStr">
        <is>
          <t>Crypto</t>
        </is>
      </c>
      <c r="C94" s="32" t="inlineStr">
        <is>
          <t>SOL</t>
        </is>
      </c>
      <c r="D94" s="32" t="inlineStr">
        <is>
          <t>Binance</t>
        </is>
      </c>
      <c r="E94" s="32" t="inlineStr">
        <is>
          <t>Digital Assets</t>
        </is>
      </c>
      <c r="F94" s="32" t="inlineStr">
        <is>
          <t>Major Crypto</t>
        </is>
      </c>
      <c r="G94" s="32" t="inlineStr">
        <is>
          <t>Global</t>
        </is>
      </c>
      <c r="H94" s="32" t="inlineStr">
        <is>
          <t>Major Crypto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IF(J94="THB",1,FXRate)</f>
        <v/>
      </c>
    </row>
    <row r="95" ht="15" customHeight="1" s="63">
      <c r="A95" s="35">
        <f>B95&amp;"|"&amp;C95&amp;"|"&amp;D95</f>
        <v/>
      </c>
      <c r="B95" s="32" t="inlineStr">
        <is>
          <t>Crypto</t>
        </is>
      </c>
      <c r="C95" s="32" t="inlineStr">
        <is>
          <t>USDT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Stablecoin</t>
        </is>
      </c>
      <c r="G95" s="32" t="inlineStr">
        <is>
          <t>Global</t>
        </is>
      </c>
      <c r="H95" s="32" t="inlineStr">
        <is>
          <t>Stablecoin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IF(J95="THB",1,FXRate)</f>
        <v/>
      </c>
    </row>
    <row r="96" ht="15" customHeight="1" s="63">
      <c r="A96" s="35">
        <f>B96&amp;"|"&amp;C96&amp;"|"&amp;D96</f>
        <v/>
      </c>
      <c r="B96" s="32" t="inlineStr">
        <is>
          <t>Crypto</t>
        </is>
      </c>
      <c r="C96" s="32" t="inlineStr">
        <is>
          <t>BNB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Major Crypto</t>
        </is>
      </c>
      <c r="G96" s="32" t="inlineStr">
        <is>
          <t>Global</t>
        </is>
      </c>
      <c r="H96" s="32" t="inlineStr">
        <is>
          <t>Major Crypto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IF(J96="THB",1,FXRate)</f>
        <v/>
      </c>
    </row>
    <row r="97" ht="15" customHeight="1" s="63">
      <c r="A97" s="35">
        <f>B97&amp;"|"&amp;C97&amp;"|"&amp;D97</f>
        <v/>
      </c>
      <c r="B97" s="32" t="inlineStr">
        <is>
          <t>Crypto</t>
        </is>
      </c>
      <c r="C97" s="32" t="inlineStr">
        <is>
          <t>PENGU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IF(J97="THB",1,FXRate)</f>
        <v/>
      </c>
    </row>
    <row r="98" ht="15" customHeight="1" s="63">
      <c r="A98" s="35">
        <f>B98&amp;"|"&amp;C98&amp;"|"&amp;D98</f>
        <v/>
      </c>
      <c r="B98" s="32" t="inlineStr">
        <is>
          <t>Crypto</t>
        </is>
      </c>
      <c r="C98" s="32" t="inlineStr">
        <is>
          <t>VELODROME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IF(J98="THB",1,FXRate)</f>
        <v/>
      </c>
    </row>
    <row r="99" ht="15" customHeight="1" s="63">
      <c r="A99" s="35">
        <f>B99&amp;"|"&amp;C99&amp;"|"&amp;D99</f>
        <v/>
      </c>
      <c r="B99" s="32" t="inlineStr">
        <is>
          <t>Crypto</t>
        </is>
      </c>
      <c r="C99" s="32" t="inlineStr">
        <is>
          <t>BTC</t>
        </is>
      </c>
      <c r="D99" s="32" t="inlineStr">
        <is>
          <t>Bitkub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THB</t>
        </is>
      </c>
      <c r="K99" s="39">
        <f>IF(J99="THB",1,FXRate)</f>
        <v/>
      </c>
    </row>
    <row r="100" ht="15" customHeight="1" s="63">
      <c r="A100" s="35">
        <f>B100&amp;"|"&amp;C100&amp;"|"&amp;D100</f>
        <v/>
      </c>
      <c r="B100" s="32" t="inlineStr">
        <is>
          <t>Crypto</t>
        </is>
      </c>
      <c r="C100" s="32" t="inlineStr">
        <is>
          <t>BNB</t>
        </is>
      </c>
      <c r="D100" s="32" t="inlineStr">
        <is>
          <t>Bitkub</t>
        </is>
      </c>
      <c r="E100" s="32" t="inlineStr">
        <is>
          <t>Digital Assets</t>
        </is>
      </c>
      <c r="F100" s="32" t="inlineStr">
        <is>
          <t>Major Crypto</t>
        </is>
      </c>
      <c r="G100" s="32" t="inlineStr">
        <is>
          <t>Global</t>
        </is>
      </c>
      <c r="H100" s="32" t="inlineStr">
        <is>
          <t>Major Crypto</t>
        </is>
      </c>
      <c r="I100" s="32" t="inlineStr">
        <is>
          <t>Taxable</t>
        </is>
      </c>
      <c r="J100" s="32" t="inlineStr">
        <is>
          <t>THB</t>
        </is>
      </c>
      <c r="K100" s="39">
        <f>IF(J100="THB",1,FXRate)</f>
        <v/>
      </c>
    </row>
    <row r="101" ht="15" customHeight="1" s="63">
      <c r="A101" s="35">
        <f>B101&amp;"|"&amp;C101&amp;"|"&amp;D101</f>
        <v/>
      </c>
      <c r="B101" s="32" t="inlineStr">
        <is>
          <t>Crypto</t>
        </is>
      </c>
      <c r="C101" s="32" t="inlineStr">
        <is>
          <t>DOGE</t>
        </is>
      </c>
      <c r="D101" s="32" t="inlineStr">
        <is>
          <t>Bitkub</t>
        </is>
      </c>
      <c r="E101" s="32" t="inlineStr">
        <is>
          <t>Digital Assets</t>
        </is>
      </c>
      <c r="F101" s="32" t="inlineStr">
        <is>
          <t>Altcoin</t>
        </is>
      </c>
      <c r="G101" s="32" t="inlineStr">
        <is>
          <t>Global</t>
        </is>
      </c>
      <c r="H101" s="32" t="inlineStr">
        <is>
          <t>Altcoin</t>
        </is>
      </c>
      <c r="I101" s="32" t="inlineStr">
        <is>
          <t>Taxable</t>
        </is>
      </c>
      <c r="J101" s="32" t="inlineStr">
        <is>
          <t>THB</t>
        </is>
      </c>
      <c r="K101" s="39">
        <f>IF(J101="THB",1,FXRate)</f>
        <v/>
      </c>
    </row>
    <row r="102" ht="15" customHeight="1" s="63">
      <c r="A102" s="35">
        <f>B102&amp;"|"&amp;C102&amp;"|"&amp;D102</f>
        <v/>
      </c>
      <c r="B102" s="32" t="inlineStr">
        <is>
          <t>Crypto</t>
        </is>
      </c>
      <c r="C102" s="32" t="inlineStr">
        <is>
          <t>ETH</t>
        </is>
      </c>
      <c r="D102" s="32" t="inlineStr">
        <is>
          <t>Bitkub</t>
        </is>
      </c>
      <c r="E102" s="32" t="inlineStr">
        <is>
          <t>Digital Assets</t>
        </is>
      </c>
      <c r="F102" s="32" t="inlineStr">
        <is>
          <t>Major Crypto</t>
        </is>
      </c>
      <c r="G102" s="32" t="inlineStr">
        <is>
          <t>Global</t>
        </is>
      </c>
      <c r="H102" s="32" t="inlineStr">
        <is>
          <t>Major Crypto</t>
        </is>
      </c>
      <c r="I102" s="32" t="inlineStr">
        <is>
          <t>Taxable</t>
        </is>
      </c>
      <c r="J102" s="32" t="inlineStr">
        <is>
          <t>THB</t>
        </is>
      </c>
      <c r="K102" s="39">
        <f>IF(J102="THB",1,FXRate)</f>
        <v/>
      </c>
    </row>
    <row r="103" ht="15" customHeight="1" s="63">
      <c r="A103" s="35">
        <f>B103&amp;"|"&amp;C103&amp;"|"&amp;D103</f>
        <v/>
      </c>
      <c r="B103" s="32" t="inlineStr">
        <is>
          <t>Crypto</t>
        </is>
      </c>
      <c r="C103" s="32" t="inlineStr">
        <is>
          <t>KUB</t>
        </is>
      </c>
      <c r="D103" s="32" t="inlineStr">
        <is>
          <t>Bitkub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THB</t>
        </is>
      </c>
      <c r="K103" s="39">
        <f>IF(J103="THB",1,FXRate)</f>
        <v/>
      </c>
    </row>
    <row r="104" ht="15" customHeight="1" s="63">
      <c r="A104" s="35">
        <f>B104&amp;"|"&amp;C104&amp;"|"&amp;D104</f>
        <v/>
      </c>
      <c r="B104" s="32" t="inlineStr">
        <is>
          <t>Crypto</t>
        </is>
      </c>
      <c r="C104" s="32" t="inlineStr">
        <is>
          <t>VELO</t>
        </is>
      </c>
      <c r="D104" s="32" t="inlineStr">
        <is>
          <t>Bitazza</t>
        </is>
      </c>
      <c r="E104" s="32" t="inlineStr">
        <is>
          <t>Digital Assets</t>
        </is>
      </c>
      <c r="F104" s="32" t="inlineStr">
        <is>
          <t>Altcoin</t>
        </is>
      </c>
      <c r="G104" s="32" t="inlineStr">
        <is>
          <t>Global</t>
        </is>
      </c>
      <c r="H104" s="32" t="inlineStr">
        <is>
          <t>Altcoin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IF(J104="THB",1,FXRate)</f>
        <v/>
      </c>
    </row>
    <row r="105" ht="15" customHeight="1" s="63">
      <c r="A105" s="35">
        <f>B105&amp;"|"&amp;C105&amp;"|"&amp;D105</f>
        <v/>
      </c>
      <c r="B105" s="32" t="inlineStr">
        <is>
          <t>Crypto</t>
        </is>
      </c>
      <c r="C105" s="32" t="inlineStr">
        <is>
          <t>SUI</t>
        </is>
      </c>
      <c r="D105" s="32" t="inlineStr">
        <is>
          <t>Bitazza</t>
        </is>
      </c>
      <c r="E105" s="32" t="inlineStr">
        <is>
          <t>Digital Assets</t>
        </is>
      </c>
      <c r="F105" s="32" t="inlineStr">
        <is>
          <t>Altcoin</t>
        </is>
      </c>
      <c r="G105" s="32" t="inlineStr">
        <is>
          <t>Global</t>
        </is>
      </c>
      <c r="H105" s="32" t="inlineStr">
        <is>
          <t>Altcoin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IF(J105="THB",1,FXRate)</f>
        <v/>
      </c>
    </row>
    <row r="106" ht="15" customHeight="1" s="63">
      <c r="A106" s="35">
        <f>B106&amp;"|"&amp;C106&amp;"|"&amp;D106</f>
        <v/>
      </c>
      <c r="B106" s="32" t="inlineStr">
        <is>
          <t>Crypto</t>
        </is>
      </c>
      <c r="C106" s="32" t="inlineStr">
        <is>
          <t>ARB</t>
        </is>
      </c>
      <c r="D106" s="32" t="inlineStr">
        <is>
          <t>Bitazza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2026-05-31T15:45:26Z</dcterms:modified>
  <cp:lastModifiedBy>veerasak supakatitham</cp:lastModifiedBy>
  <cp:revision>3</cp:revision>
</cp:coreProperties>
</file>