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jack/investment-dashboard/"/>
    </mc:Choice>
  </mc:AlternateContent>
  <xr:revisionPtr revIDLastSave="0" documentId="13_ncr:1_{B81FEEDA-3EC6-FC4C-B979-10B7360206B0}" xr6:coauthVersionLast="47" xr6:coauthVersionMax="47" xr10:uidLastSave="{00000000-0000-0000-0000-000000000000}"/>
  <bookViews>
    <workbookView xWindow="-38400" yWindow="-1880" windowWidth="38400" windowHeight="21000" tabRatio="500" activeTab="1" xr2:uid="{00000000-000D-0000-FFFF-FFFF00000000}"/>
  </bookViews>
  <sheets>
    <sheet name="README" sheetId="1" r:id="rId1"/>
    <sheet name="Dashboard" sheetId="2" r:id="rId2"/>
    <sheet name="Weekly Snapshot" sheetId="3" r:id="rId3"/>
    <sheet name="FX &amp; Assumptions" sheetId="4" r:id="rId4"/>
    <sheet name="Prices" sheetId="5" r:id="rId5"/>
    <sheet name="MF - Lots" sheetId="6" r:id="rId6"/>
    <sheet name="MF - by Fund" sheetId="7" r:id="rId7"/>
    <sheet name="Equities - Lots" sheetId="8" r:id="rId8"/>
    <sheet name="Equities - by Ticker" sheetId="9" r:id="rId9"/>
    <sheet name="Crypto - Lots" sheetId="10" r:id="rId10"/>
    <sheet name="Crypto - by Coin" sheetId="11" r:id="rId11"/>
    <sheet name="Reference" sheetId="12" r:id="rId12"/>
  </sheets>
  <definedNames>
    <definedName name="_xlnm._FilterDatabase" localSheetId="10" hidden="1">'Crypto - by Coin'!$A$4:$K$29</definedName>
    <definedName name="_xlnm._FilterDatabase" localSheetId="9" hidden="1">'Crypto - Lots'!$A$4:$O$30</definedName>
    <definedName name="_xlnm._FilterDatabase" localSheetId="8" hidden="1">'Equities - by Ticker'!$A$4:$M$50</definedName>
    <definedName name="_xlnm._FilterDatabase" localSheetId="7" hidden="1">'Equities - Lots'!$A$4:$P$45</definedName>
    <definedName name="_xlnm._FilterDatabase" localSheetId="6" hidden="1">'MF - by Fund'!$A$4:$M$38</definedName>
    <definedName name="_xlnm._FilterDatabase" localSheetId="5" hidden="1">'MF - Lots'!$A$4:$S$166</definedName>
    <definedName name="AsOfDate">'FX &amp; Assumptions'!$C$5</definedName>
    <definedName name="FXRate">'FX &amp; Assumptions'!$C$6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1" l="1"/>
  <c r="H28" i="11"/>
  <c r="G28" i="11"/>
  <c r="F28" i="11"/>
  <c r="E28" i="11"/>
  <c r="J46" i="8"/>
  <c r="J47" i="8"/>
  <c r="J48" i="8"/>
  <c r="J49" i="8"/>
  <c r="J50" i="8"/>
  <c r="K106" i="12"/>
  <c r="A106" i="12"/>
  <c r="K105" i="12"/>
  <c r="A105" i="12"/>
  <c r="K104" i="12"/>
  <c r="A104" i="12"/>
  <c r="K103" i="12"/>
  <c r="A103" i="12"/>
  <c r="K102" i="12"/>
  <c r="A102" i="12"/>
  <c r="K101" i="12"/>
  <c r="A101" i="12"/>
  <c r="K100" i="12"/>
  <c r="A100" i="12"/>
  <c r="K99" i="12"/>
  <c r="A99" i="12"/>
  <c r="K98" i="12"/>
  <c r="A98" i="12"/>
  <c r="K97" i="12"/>
  <c r="A97" i="12"/>
  <c r="K96" i="12"/>
  <c r="A96" i="12"/>
  <c r="K95" i="12"/>
  <c r="A95" i="12"/>
  <c r="K94" i="12"/>
  <c r="A94" i="12"/>
  <c r="K93" i="12"/>
  <c r="A93" i="12"/>
  <c r="K92" i="12"/>
  <c r="A92" i="12"/>
  <c r="K91" i="12"/>
  <c r="A91" i="12"/>
  <c r="K90" i="12"/>
  <c r="A90" i="12"/>
  <c r="K89" i="12"/>
  <c r="A89" i="12"/>
  <c r="K88" i="12"/>
  <c r="A88" i="12"/>
  <c r="K87" i="12"/>
  <c r="A87" i="12"/>
  <c r="K86" i="12"/>
  <c r="A86" i="12"/>
  <c r="K85" i="12"/>
  <c r="A85" i="12"/>
  <c r="K84" i="12"/>
  <c r="A84" i="12"/>
  <c r="K83" i="12"/>
  <c r="A83" i="12"/>
  <c r="K82" i="12"/>
  <c r="A82" i="12"/>
  <c r="K81" i="12"/>
  <c r="A81" i="12"/>
  <c r="K80" i="12"/>
  <c r="A80" i="12"/>
  <c r="K79" i="12"/>
  <c r="A79" i="12"/>
  <c r="K78" i="12"/>
  <c r="A78" i="12"/>
  <c r="K77" i="12"/>
  <c r="A77" i="12"/>
  <c r="K76" i="12"/>
  <c r="A76" i="12"/>
  <c r="K75" i="12"/>
  <c r="A75" i="12"/>
  <c r="K74" i="12"/>
  <c r="A74" i="12"/>
  <c r="K73" i="12"/>
  <c r="A73" i="12"/>
  <c r="K72" i="12"/>
  <c r="A72" i="12"/>
  <c r="K71" i="12"/>
  <c r="A71" i="12"/>
  <c r="K70" i="12"/>
  <c r="A70" i="12"/>
  <c r="K69" i="12"/>
  <c r="A69" i="12"/>
  <c r="K68" i="12"/>
  <c r="A68" i="12"/>
  <c r="K67" i="12"/>
  <c r="A67" i="12"/>
  <c r="K66" i="12"/>
  <c r="A66" i="12"/>
  <c r="K65" i="12"/>
  <c r="A65" i="12"/>
  <c r="K64" i="12"/>
  <c r="A64" i="12"/>
  <c r="K63" i="12"/>
  <c r="A63" i="12"/>
  <c r="K62" i="12"/>
  <c r="A62" i="12"/>
  <c r="K61" i="12"/>
  <c r="A61" i="12"/>
  <c r="K60" i="12"/>
  <c r="A60" i="12"/>
  <c r="K59" i="12"/>
  <c r="A59" i="12"/>
  <c r="K58" i="12"/>
  <c r="A58" i="12"/>
  <c r="K57" i="12"/>
  <c r="A57" i="12"/>
  <c r="K56" i="12"/>
  <c r="A56" i="12"/>
  <c r="K55" i="12"/>
  <c r="A55" i="12"/>
  <c r="K54" i="12"/>
  <c r="A54" i="12"/>
  <c r="K53" i="12"/>
  <c r="A53" i="12"/>
  <c r="K52" i="12"/>
  <c r="A52" i="12"/>
  <c r="K51" i="12"/>
  <c r="A51" i="12"/>
  <c r="K50" i="12"/>
  <c r="A50" i="12"/>
  <c r="K49" i="12"/>
  <c r="A49" i="12"/>
  <c r="K48" i="12"/>
  <c r="A48" i="12"/>
  <c r="K47" i="12"/>
  <c r="A47" i="12"/>
  <c r="K46" i="12"/>
  <c r="A46" i="12"/>
  <c r="K45" i="12"/>
  <c r="A45" i="12"/>
  <c r="K44" i="12"/>
  <c r="A44" i="12"/>
  <c r="K43" i="12"/>
  <c r="A43" i="12"/>
  <c r="K42" i="12"/>
  <c r="A42" i="12"/>
  <c r="K41" i="12"/>
  <c r="A41" i="12"/>
  <c r="K40" i="12"/>
  <c r="A40" i="12"/>
  <c r="K39" i="12"/>
  <c r="A39" i="12"/>
  <c r="K38" i="12"/>
  <c r="A38" i="12"/>
  <c r="K37" i="12"/>
  <c r="A37" i="12"/>
  <c r="K36" i="12"/>
  <c r="A36" i="12"/>
  <c r="K35" i="12"/>
  <c r="A35" i="12"/>
  <c r="K34" i="12"/>
  <c r="A34" i="12"/>
  <c r="K33" i="12"/>
  <c r="A33" i="12"/>
  <c r="K32" i="12"/>
  <c r="A32" i="12"/>
  <c r="K31" i="12"/>
  <c r="A31" i="12"/>
  <c r="K30" i="12"/>
  <c r="A30" i="12"/>
  <c r="K29" i="12"/>
  <c r="A29" i="12"/>
  <c r="K28" i="12"/>
  <c r="A28" i="12"/>
  <c r="K27" i="12"/>
  <c r="A27" i="12"/>
  <c r="K26" i="12"/>
  <c r="A26" i="12"/>
  <c r="K25" i="12"/>
  <c r="A25" i="12"/>
  <c r="K24" i="12"/>
  <c r="A24" i="12"/>
  <c r="K23" i="12"/>
  <c r="A23" i="12"/>
  <c r="K22" i="12"/>
  <c r="A22" i="12"/>
  <c r="K21" i="12"/>
  <c r="A21" i="12"/>
  <c r="K20" i="12"/>
  <c r="A20" i="12"/>
  <c r="K19" i="12"/>
  <c r="A19" i="12"/>
  <c r="K18" i="12"/>
  <c r="A18" i="12"/>
  <c r="K17" i="12"/>
  <c r="A17" i="12"/>
  <c r="K16" i="12"/>
  <c r="A16" i="12"/>
  <c r="K15" i="12"/>
  <c r="A15" i="12"/>
  <c r="K14" i="12"/>
  <c r="A14" i="12"/>
  <c r="K13" i="12"/>
  <c r="A13" i="12"/>
  <c r="K12" i="12"/>
  <c r="A12" i="12"/>
  <c r="K11" i="12"/>
  <c r="A11" i="12"/>
  <c r="K10" i="12"/>
  <c r="A10" i="12"/>
  <c r="K9" i="12"/>
  <c r="A9" i="12"/>
  <c r="K8" i="12"/>
  <c r="A8" i="12"/>
  <c r="K7" i="12"/>
  <c r="A7" i="12"/>
  <c r="K6" i="12"/>
  <c r="A6" i="12"/>
  <c r="K5" i="12"/>
  <c r="A5" i="12"/>
  <c r="G27" i="11"/>
  <c r="F27" i="11"/>
  <c r="E27" i="11"/>
  <c r="G26" i="11"/>
  <c r="F26" i="11"/>
  <c r="E26" i="11"/>
  <c r="G25" i="11"/>
  <c r="F25" i="11"/>
  <c r="E25" i="11"/>
  <c r="G24" i="11"/>
  <c r="F24" i="11"/>
  <c r="E24" i="11"/>
  <c r="G23" i="11"/>
  <c r="F23" i="11"/>
  <c r="E23" i="11"/>
  <c r="G22" i="11"/>
  <c r="F22" i="11"/>
  <c r="E22" i="11"/>
  <c r="G21" i="11"/>
  <c r="F21" i="11"/>
  <c r="E21" i="11"/>
  <c r="G20" i="11"/>
  <c r="F20" i="11"/>
  <c r="E20" i="11"/>
  <c r="G19" i="11"/>
  <c r="F19" i="11"/>
  <c r="E19" i="11"/>
  <c r="G18" i="11"/>
  <c r="F18" i="11"/>
  <c r="E18" i="11"/>
  <c r="G17" i="11"/>
  <c r="F17" i="11"/>
  <c r="E17" i="11"/>
  <c r="G16" i="11"/>
  <c r="F16" i="11"/>
  <c r="E16" i="11"/>
  <c r="G15" i="11"/>
  <c r="F15" i="11"/>
  <c r="E15" i="11"/>
  <c r="G14" i="11"/>
  <c r="F14" i="11"/>
  <c r="E14" i="11"/>
  <c r="G13" i="11"/>
  <c r="F13" i="11"/>
  <c r="E13" i="11"/>
  <c r="G12" i="11"/>
  <c r="F12" i="11"/>
  <c r="E12" i="11"/>
  <c r="G11" i="11"/>
  <c r="F11" i="11"/>
  <c r="E11" i="11"/>
  <c r="G10" i="11"/>
  <c r="F10" i="11"/>
  <c r="E10" i="11"/>
  <c r="G9" i="11"/>
  <c r="F9" i="11"/>
  <c r="E9" i="11"/>
  <c r="G8" i="11"/>
  <c r="F8" i="11"/>
  <c r="E8" i="11"/>
  <c r="G7" i="11"/>
  <c r="F7" i="11"/>
  <c r="E7" i="11"/>
  <c r="G6" i="11"/>
  <c r="F6" i="11"/>
  <c r="E6" i="11"/>
  <c r="G5" i="11"/>
  <c r="F5" i="11"/>
  <c r="E5" i="11"/>
  <c r="I30" i="10"/>
  <c r="H30" i="10"/>
  <c r="E30" i="10"/>
  <c r="I29" i="10"/>
  <c r="H29" i="10"/>
  <c r="E29" i="10"/>
  <c r="I28" i="10"/>
  <c r="H28" i="10"/>
  <c r="E28" i="10"/>
  <c r="I27" i="10"/>
  <c r="H27" i="10"/>
  <c r="E27" i="10"/>
  <c r="I26" i="10"/>
  <c r="H26" i="10"/>
  <c r="E26" i="10"/>
  <c r="I25" i="10"/>
  <c r="H25" i="10"/>
  <c r="E25" i="10"/>
  <c r="I24" i="10"/>
  <c r="H24" i="10"/>
  <c r="E24" i="10"/>
  <c r="I23" i="10"/>
  <c r="H23" i="10"/>
  <c r="E23" i="10"/>
  <c r="I22" i="10"/>
  <c r="H22" i="10"/>
  <c r="E22" i="10"/>
  <c r="I21" i="10"/>
  <c r="H21" i="10"/>
  <c r="E21" i="10"/>
  <c r="I20" i="10"/>
  <c r="H20" i="10"/>
  <c r="E20" i="10"/>
  <c r="I19" i="10"/>
  <c r="H19" i="10"/>
  <c r="E19" i="10"/>
  <c r="I18" i="10"/>
  <c r="H18" i="10"/>
  <c r="E18" i="10"/>
  <c r="I17" i="10"/>
  <c r="E17" i="10"/>
  <c r="I16" i="10"/>
  <c r="E16" i="10"/>
  <c r="I15" i="10"/>
  <c r="E15" i="10"/>
  <c r="I14" i="10"/>
  <c r="E14" i="10"/>
  <c r="I13" i="10"/>
  <c r="E13" i="10"/>
  <c r="I12" i="10"/>
  <c r="E12" i="10"/>
  <c r="I11" i="10"/>
  <c r="E11" i="10"/>
  <c r="I10" i="10"/>
  <c r="E10" i="10"/>
  <c r="I9" i="10"/>
  <c r="E9" i="10"/>
  <c r="I8" i="10"/>
  <c r="E8" i="10"/>
  <c r="I7" i="10"/>
  <c r="E7" i="10"/>
  <c r="I6" i="10"/>
  <c r="E6" i="10"/>
  <c r="I5" i="10"/>
  <c r="E5" i="10"/>
  <c r="I49" i="9"/>
  <c r="H49" i="9"/>
  <c r="G49" i="9"/>
  <c r="F49" i="9"/>
  <c r="E49" i="9"/>
  <c r="I48" i="9"/>
  <c r="H48" i="9"/>
  <c r="G48" i="9"/>
  <c r="F48" i="9"/>
  <c r="E48" i="9"/>
  <c r="I47" i="9"/>
  <c r="H47" i="9"/>
  <c r="G47" i="9"/>
  <c r="F47" i="9"/>
  <c r="E47" i="9"/>
  <c r="I46" i="9"/>
  <c r="H46" i="9"/>
  <c r="G46" i="9"/>
  <c r="F46" i="9"/>
  <c r="E46" i="9"/>
  <c r="I45" i="9"/>
  <c r="H45" i="9"/>
  <c r="G45" i="9"/>
  <c r="F45" i="9"/>
  <c r="E45" i="9"/>
  <c r="I44" i="9"/>
  <c r="H44" i="9"/>
  <c r="G44" i="9"/>
  <c r="F44" i="9"/>
  <c r="E44" i="9"/>
  <c r="I43" i="9"/>
  <c r="H43" i="9"/>
  <c r="G43" i="9"/>
  <c r="F43" i="9"/>
  <c r="E43" i="9"/>
  <c r="I42" i="9"/>
  <c r="H42" i="9"/>
  <c r="G42" i="9"/>
  <c r="F42" i="9"/>
  <c r="E42" i="9"/>
  <c r="I41" i="9"/>
  <c r="H41" i="9"/>
  <c r="G41" i="9"/>
  <c r="F41" i="9"/>
  <c r="E41" i="9"/>
  <c r="I40" i="9"/>
  <c r="H40" i="9"/>
  <c r="G40" i="9"/>
  <c r="F40" i="9"/>
  <c r="E40" i="9"/>
  <c r="I39" i="9"/>
  <c r="H39" i="9"/>
  <c r="G39" i="9"/>
  <c r="F39" i="9"/>
  <c r="E39" i="9"/>
  <c r="I38" i="9"/>
  <c r="H38" i="9"/>
  <c r="G38" i="9"/>
  <c r="F38" i="9"/>
  <c r="E38" i="9"/>
  <c r="I37" i="9"/>
  <c r="H37" i="9"/>
  <c r="G37" i="9"/>
  <c r="F37" i="9"/>
  <c r="E37" i="9"/>
  <c r="I36" i="9"/>
  <c r="H36" i="9"/>
  <c r="G36" i="9"/>
  <c r="F36" i="9"/>
  <c r="E36" i="9"/>
  <c r="I35" i="9"/>
  <c r="H35" i="9"/>
  <c r="G35" i="9"/>
  <c r="F35" i="9"/>
  <c r="E35" i="9"/>
  <c r="I34" i="9"/>
  <c r="H34" i="9"/>
  <c r="G34" i="9"/>
  <c r="F34" i="9"/>
  <c r="E34" i="9"/>
  <c r="I33" i="9"/>
  <c r="H33" i="9"/>
  <c r="G33" i="9"/>
  <c r="F33" i="9"/>
  <c r="E33" i="9"/>
  <c r="I32" i="9"/>
  <c r="H32" i="9"/>
  <c r="G32" i="9"/>
  <c r="F32" i="9"/>
  <c r="E32" i="9"/>
  <c r="I31" i="9"/>
  <c r="H31" i="9"/>
  <c r="G31" i="9"/>
  <c r="F31" i="9"/>
  <c r="E31" i="9"/>
  <c r="I30" i="9"/>
  <c r="H30" i="9"/>
  <c r="G30" i="9"/>
  <c r="F30" i="9"/>
  <c r="E30" i="9"/>
  <c r="I29" i="9"/>
  <c r="H29" i="9"/>
  <c r="G29" i="9"/>
  <c r="F29" i="9"/>
  <c r="E29" i="9"/>
  <c r="I28" i="9"/>
  <c r="H28" i="9"/>
  <c r="G28" i="9"/>
  <c r="F28" i="9"/>
  <c r="E28" i="9"/>
  <c r="I27" i="9"/>
  <c r="H27" i="9"/>
  <c r="G27" i="9"/>
  <c r="F27" i="9"/>
  <c r="E27" i="9"/>
  <c r="I26" i="9"/>
  <c r="H26" i="9"/>
  <c r="G26" i="9"/>
  <c r="F26" i="9"/>
  <c r="E26" i="9"/>
  <c r="I25" i="9"/>
  <c r="H25" i="9"/>
  <c r="G25" i="9"/>
  <c r="F25" i="9"/>
  <c r="E25" i="9"/>
  <c r="I24" i="9"/>
  <c r="H24" i="9"/>
  <c r="G24" i="9"/>
  <c r="F24" i="9"/>
  <c r="E24" i="9"/>
  <c r="I23" i="9"/>
  <c r="H23" i="9"/>
  <c r="G23" i="9"/>
  <c r="F23" i="9"/>
  <c r="E23" i="9"/>
  <c r="I22" i="9"/>
  <c r="H22" i="9"/>
  <c r="G22" i="9"/>
  <c r="F22" i="9"/>
  <c r="E22" i="9"/>
  <c r="I21" i="9"/>
  <c r="H21" i="9"/>
  <c r="G21" i="9"/>
  <c r="F21" i="9"/>
  <c r="E21" i="9"/>
  <c r="I20" i="9"/>
  <c r="H20" i="9"/>
  <c r="G20" i="9"/>
  <c r="F20" i="9"/>
  <c r="E20" i="9"/>
  <c r="I19" i="9"/>
  <c r="H19" i="9"/>
  <c r="G19" i="9"/>
  <c r="F19" i="9"/>
  <c r="E19" i="9"/>
  <c r="I18" i="9"/>
  <c r="H18" i="9"/>
  <c r="G18" i="9"/>
  <c r="F18" i="9"/>
  <c r="E18" i="9"/>
  <c r="I17" i="9"/>
  <c r="H17" i="9"/>
  <c r="G17" i="9"/>
  <c r="F17" i="9"/>
  <c r="E17" i="9"/>
  <c r="I16" i="9"/>
  <c r="H16" i="9"/>
  <c r="G16" i="9"/>
  <c r="F16" i="9"/>
  <c r="E16" i="9"/>
  <c r="I15" i="9"/>
  <c r="H15" i="9"/>
  <c r="G15" i="9"/>
  <c r="F15" i="9"/>
  <c r="E15" i="9"/>
  <c r="I14" i="9"/>
  <c r="H14" i="9"/>
  <c r="G14" i="9"/>
  <c r="F14" i="9"/>
  <c r="E14" i="9"/>
  <c r="I13" i="9"/>
  <c r="H13" i="9"/>
  <c r="G13" i="9"/>
  <c r="F13" i="9"/>
  <c r="E13" i="9"/>
  <c r="I12" i="9"/>
  <c r="H12" i="9"/>
  <c r="G12" i="9"/>
  <c r="F12" i="9"/>
  <c r="E12" i="9"/>
  <c r="I11" i="9"/>
  <c r="H11" i="9"/>
  <c r="G11" i="9"/>
  <c r="F11" i="9"/>
  <c r="E11" i="9"/>
  <c r="I10" i="9"/>
  <c r="H10" i="9"/>
  <c r="G10" i="9"/>
  <c r="F10" i="9"/>
  <c r="E10" i="9"/>
  <c r="I9" i="9"/>
  <c r="H9" i="9"/>
  <c r="G9" i="9"/>
  <c r="F9" i="9"/>
  <c r="E9" i="9"/>
  <c r="I8" i="9"/>
  <c r="H8" i="9"/>
  <c r="G8" i="9"/>
  <c r="F8" i="9"/>
  <c r="E8" i="9"/>
  <c r="I7" i="9"/>
  <c r="H7" i="9"/>
  <c r="G7" i="9"/>
  <c r="F7" i="9"/>
  <c r="E7" i="9"/>
  <c r="I6" i="9"/>
  <c r="H6" i="9"/>
  <c r="G6" i="9"/>
  <c r="F6" i="9"/>
  <c r="E6" i="9"/>
  <c r="I5" i="9"/>
  <c r="H5" i="9"/>
  <c r="G5" i="9"/>
  <c r="F5" i="9"/>
  <c r="E5" i="9"/>
  <c r="K51" i="8"/>
  <c r="G51" i="8"/>
  <c r="F51" i="8"/>
  <c r="E51" i="8"/>
  <c r="K50" i="8"/>
  <c r="G50" i="8"/>
  <c r="F50" i="8"/>
  <c r="E50" i="8"/>
  <c r="K49" i="8"/>
  <c r="G49" i="8"/>
  <c r="F49" i="8"/>
  <c r="E49" i="8"/>
  <c r="K48" i="8"/>
  <c r="G48" i="8"/>
  <c r="F48" i="8"/>
  <c r="E48" i="8"/>
  <c r="K47" i="8"/>
  <c r="G47" i="8"/>
  <c r="F47" i="8"/>
  <c r="E47" i="8"/>
  <c r="K46" i="8"/>
  <c r="G46" i="8"/>
  <c r="F46" i="8"/>
  <c r="E46" i="8"/>
  <c r="K45" i="8"/>
  <c r="H45" i="8"/>
  <c r="G45" i="8"/>
  <c r="F45" i="8"/>
  <c r="E45" i="8"/>
  <c r="K44" i="8"/>
  <c r="G44" i="8"/>
  <c r="F44" i="8"/>
  <c r="E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K39" i="8"/>
  <c r="J39" i="8"/>
  <c r="G39" i="8"/>
  <c r="F39" i="8"/>
  <c r="E39" i="8"/>
  <c r="K38" i="8"/>
  <c r="J38" i="8"/>
  <c r="G38" i="8"/>
  <c r="F38" i="8"/>
  <c r="E38" i="8"/>
  <c r="K37" i="8"/>
  <c r="J37" i="8"/>
  <c r="G37" i="8"/>
  <c r="F37" i="8"/>
  <c r="E37" i="8"/>
  <c r="K36" i="8"/>
  <c r="J36" i="8"/>
  <c r="G36" i="8"/>
  <c r="F36" i="8"/>
  <c r="E36" i="8"/>
  <c r="K35" i="8"/>
  <c r="J35" i="8"/>
  <c r="G35" i="8"/>
  <c r="F35" i="8"/>
  <c r="E35" i="8"/>
  <c r="K34" i="8"/>
  <c r="J34" i="8"/>
  <c r="G34" i="8"/>
  <c r="F34" i="8"/>
  <c r="E34" i="8"/>
  <c r="K33" i="8"/>
  <c r="J33" i="8"/>
  <c r="G33" i="8"/>
  <c r="F33" i="8"/>
  <c r="E33" i="8"/>
  <c r="K32" i="8"/>
  <c r="J32" i="8"/>
  <c r="G32" i="8"/>
  <c r="F32" i="8"/>
  <c r="E32" i="8"/>
  <c r="K31" i="8"/>
  <c r="J31" i="8"/>
  <c r="G31" i="8"/>
  <c r="F31" i="8"/>
  <c r="E31" i="8"/>
  <c r="K30" i="8"/>
  <c r="J30" i="8"/>
  <c r="G30" i="8"/>
  <c r="F30" i="8"/>
  <c r="E30" i="8"/>
  <c r="K29" i="8"/>
  <c r="J29" i="8"/>
  <c r="G29" i="8"/>
  <c r="F29" i="8"/>
  <c r="E29" i="8"/>
  <c r="K28" i="8"/>
  <c r="J28" i="8"/>
  <c r="G28" i="8"/>
  <c r="F28" i="8"/>
  <c r="E28" i="8"/>
  <c r="K27" i="8"/>
  <c r="J27" i="8"/>
  <c r="G27" i="8"/>
  <c r="F27" i="8"/>
  <c r="E27" i="8"/>
  <c r="K26" i="8"/>
  <c r="J26" i="8"/>
  <c r="G26" i="8"/>
  <c r="F26" i="8"/>
  <c r="E26" i="8"/>
  <c r="K25" i="8"/>
  <c r="J25" i="8"/>
  <c r="G25" i="8"/>
  <c r="F25" i="8"/>
  <c r="E25" i="8"/>
  <c r="K24" i="8"/>
  <c r="G24" i="8"/>
  <c r="F24" i="8"/>
  <c r="E24" i="8"/>
  <c r="K23" i="8"/>
  <c r="G23" i="8"/>
  <c r="F23" i="8"/>
  <c r="E23" i="8"/>
  <c r="K22" i="8"/>
  <c r="J22" i="8"/>
  <c r="G22" i="8"/>
  <c r="F22" i="8"/>
  <c r="E22" i="8"/>
  <c r="K21" i="8"/>
  <c r="J21" i="8"/>
  <c r="G21" i="8"/>
  <c r="F21" i="8"/>
  <c r="E21" i="8"/>
  <c r="K20" i="8"/>
  <c r="J20" i="8"/>
  <c r="G20" i="8"/>
  <c r="F20" i="8"/>
  <c r="E20" i="8"/>
  <c r="K19" i="8"/>
  <c r="J19" i="8"/>
  <c r="G19" i="8"/>
  <c r="F19" i="8"/>
  <c r="E19" i="8"/>
  <c r="K18" i="8"/>
  <c r="G18" i="8"/>
  <c r="F18" i="8"/>
  <c r="E18" i="8"/>
  <c r="K17" i="8"/>
  <c r="J17" i="8"/>
  <c r="G17" i="8"/>
  <c r="F17" i="8"/>
  <c r="E17" i="8"/>
  <c r="K16" i="8"/>
  <c r="J16" i="8"/>
  <c r="G16" i="8"/>
  <c r="F16" i="8"/>
  <c r="E16" i="8"/>
  <c r="K15" i="8"/>
  <c r="J15" i="8"/>
  <c r="G15" i="8"/>
  <c r="F15" i="8"/>
  <c r="E15" i="8"/>
  <c r="K14" i="8"/>
  <c r="J14" i="8"/>
  <c r="G14" i="8"/>
  <c r="F14" i="8"/>
  <c r="E14" i="8"/>
  <c r="K13" i="8"/>
  <c r="J13" i="8"/>
  <c r="G13" i="8"/>
  <c r="F13" i="8"/>
  <c r="E13" i="8"/>
  <c r="K12" i="8"/>
  <c r="J12" i="8"/>
  <c r="G12" i="8"/>
  <c r="F12" i="8"/>
  <c r="E12" i="8"/>
  <c r="K11" i="8"/>
  <c r="J11" i="8"/>
  <c r="G11" i="8"/>
  <c r="F11" i="8"/>
  <c r="E11" i="8"/>
  <c r="K10" i="8"/>
  <c r="J10" i="8"/>
  <c r="G10" i="8"/>
  <c r="F10" i="8"/>
  <c r="E10" i="8"/>
  <c r="K9" i="8"/>
  <c r="J9" i="8"/>
  <c r="G9" i="8"/>
  <c r="F9" i="8"/>
  <c r="E9" i="8"/>
  <c r="K8" i="8"/>
  <c r="J8" i="8"/>
  <c r="G8" i="8"/>
  <c r="F8" i="8"/>
  <c r="E8" i="8"/>
  <c r="K7" i="8"/>
  <c r="J7" i="8"/>
  <c r="G7" i="8"/>
  <c r="F7" i="8"/>
  <c r="E7" i="8"/>
  <c r="K6" i="8"/>
  <c r="J6" i="8"/>
  <c r="G6" i="8"/>
  <c r="F6" i="8"/>
  <c r="E6" i="8"/>
  <c r="K5" i="8"/>
  <c r="J5" i="8"/>
  <c r="G5" i="8"/>
  <c r="F5" i="8"/>
  <c r="E5" i="8"/>
  <c r="J37" i="7"/>
  <c r="I37" i="7"/>
  <c r="H37" i="7"/>
  <c r="G37" i="7"/>
  <c r="F37" i="7"/>
  <c r="E37" i="7"/>
  <c r="D37" i="7"/>
  <c r="J36" i="7"/>
  <c r="I36" i="7"/>
  <c r="H36" i="7"/>
  <c r="G36" i="7"/>
  <c r="F36" i="7"/>
  <c r="E36" i="7"/>
  <c r="D36" i="7"/>
  <c r="J35" i="7"/>
  <c r="I35" i="7"/>
  <c r="H35" i="7"/>
  <c r="G35" i="7"/>
  <c r="F35" i="7"/>
  <c r="E35" i="7"/>
  <c r="D35" i="7"/>
  <c r="J34" i="7"/>
  <c r="I34" i="7"/>
  <c r="H34" i="7"/>
  <c r="G34" i="7"/>
  <c r="F34" i="7"/>
  <c r="E34" i="7"/>
  <c r="D34" i="7"/>
  <c r="J33" i="7"/>
  <c r="I33" i="7"/>
  <c r="H33" i="7"/>
  <c r="G33" i="7"/>
  <c r="F33" i="7"/>
  <c r="E33" i="7"/>
  <c r="D33" i="7"/>
  <c r="J32" i="7"/>
  <c r="I32" i="7"/>
  <c r="H32" i="7"/>
  <c r="G32" i="7"/>
  <c r="F32" i="7"/>
  <c r="E32" i="7"/>
  <c r="D32" i="7"/>
  <c r="J31" i="7"/>
  <c r="I31" i="7"/>
  <c r="H31" i="7"/>
  <c r="G31" i="7"/>
  <c r="F31" i="7"/>
  <c r="E31" i="7"/>
  <c r="D31" i="7"/>
  <c r="J30" i="7"/>
  <c r="I30" i="7"/>
  <c r="H30" i="7"/>
  <c r="G30" i="7"/>
  <c r="F30" i="7"/>
  <c r="E30" i="7"/>
  <c r="D30" i="7"/>
  <c r="J29" i="7"/>
  <c r="I29" i="7"/>
  <c r="H29" i="7"/>
  <c r="G29" i="7"/>
  <c r="F29" i="7"/>
  <c r="E29" i="7"/>
  <c r="D29" i="7"/>
  <c r="J28" i="7"/>
  <c r="I28" i="7"/>
  <c r="H28" i="7"/>
  <c r="G28" i="7"/>
  <c r="F28" i="7"/>
  <c r="E28" i="7"/>
  <c r="D28" i="7"/>
  <c r="J27" i="7"/>
  <c r="I27" i="7"/>
  <c r="H27" i="7"/>
  <c r="G27" i="7"/>
  <c r="F27" i="7"/>
  <c r="E27" i="7"/>
  <c r="D27" i="7"/>
  <c r="J26" i="7"/>
  <c r="I26" i="7"/>
  <c r="H26" i="7"/>
  <c r="G26" i="7"/>
  <c r="F26" i="7"/>
  <c r="E26" i="7"/>
  <c r="D26" i="7"/>
  <c r="J25" i="7"/>
  <c r="I25" i="7"/>
  <c r="H25" i="7"/>
  <c r="G25" i="7"/>
  <c r="F25" i="7"/>
  <c r="E25" i="7"/>
  <c r="D25" i="7"/>
  <c r="J24" i="7"/>
  <c r="I24" i="7"/>
  <c r="H24" i="7"/>
  <c r="G24" i="7"/>
  <c r="F24" i="7"/>
  <c r="E24" i="7"/>
  <c r="D24" i="7"/>
  <c r="J23" i="7"/>
  <c r="I23" i="7"/>
  <c r="H23" i="7"/>
  <c r="G23" i="7"/>
  <c r="F23" i="7"/>
  <c r="E23" i="7"/>
  <c r="D23" i="7"/>
  <c r="J22" i="7"/>
  <c r="I22" i="7"/>
  <c r="H22" i="7"/>
  <c r="G22" i="7"/>
  <c r="F22" i="7"/>
  <c r="E22" i="7"/>
  <c r="D22" i="7"/>
  <c r="J21" i="7"/>
  <c r="I21" i="7"/>
  <c r="H21" i="7"/>
  <c r="G21" i="7"/>
  <c r="F21" i="7"/>
  <c r="E21" i="7"/>
  <c r="D21" i="7"/>
  <c r="J20" i="7"/>
  <c r="I20" i="7"/>
  <c r="H20" i="7"/>
  <c r="G20" i="7"/>
  <c r="F20" i="7"/>
  <c r="E20" i="7"/>
  <c r="D20" i="7"/>
  <c r="J19" i="7"/>
  <c r="I19" i="7"/>
  <c r="H19" i="7"/>
  <c r="G19" i="7"/>
  <c r="F19" i="7"/>
  <c r="E19" i="7"/>
  <c r="D19" i="7"/>
  <c r="J18" i="7"/>
  <c r="I18" i="7"/>
  <c r="H18" i="7"/>
  <c r="G18" i="7"/>
  <c r="F18" i="7"/>
  <c r="E18" i="7"/>
  <c r="D18" i="7"/>
  <c r="J17" i="7"/>
  <c r="I17" i="7"/>
  <c r="H17" i="7"/>
  <c r="G17" i="7"/>
  <c r="F17" i="7"/>
  <c r="E17" i="7"/>
  <c r="D17" i="7"/>
  <c r="J16" i="7"/>
  <c r="I16" i="7"/>
  <c r="H16" i="7"/>
  <c r="G16" i="7"/>
  <c r="F16" i="7"/>
  <c r="E16" i="7"/>
  <c r="D16" i="7"/>
  <c r="J15" i="7"/>
  <c r="I15" i="7"/>
  <c r="H15" i="7"/>
  <c r="G15" i="7"/>
  <c r="F15" i="7"/>
  <c r="E15" i="7"/>
  <c r="D15" i="7"/>
  <c r="J14" i="7"/>
  <c r="I14" i="7"/>
  <c r="H14" i="7"/>
  <c r="G14" i="7"/>
  <c r="F14" i="7"/>
  <c r="E14" i="7"/>
  <c r="D14" i="7"/>
  <c r="J13" i="7"/>
  <c r="I13" i="7"/>
  <c r="H13" i="7"/>
  <c r="G13" i="7"/>
  <c r="F13" i="7"/>
  <c r="E13" i="7"/>
  <c r="D13" i="7"/>
  <c r="J12" i="7"/>
  <c r="I12" i="7"/>
  <c r="H12" i="7"/>
  <c r="G12" i="7"/>
  <c r="F12" i="7"/>
  <c r="E12" i="7"/>
  <c r="D12" i="7"/>
  <c r="J11" i="7"/>
  <c r="I11" i="7"/>
  <c r="H11" i="7"/>
  <c r="G11" i="7"/>
  <c r="F11" i="7"/>
  <c r="E11" i="7"/>
  <c r="D11" i="7"/>
  <c r="J10" i="7"/>
  <c r="I10" i="7"/>
  <c r="H10" i="7"/>
  <c r="G10" i="7"/>
  <c r="F10" i="7"/>
  <c r="E10" i="7"/>
  <c r="D10" i="7"/>
  <c r="J9" i="7"/>
  <c r="I9" i="7"/>
  <c r="H9" i="7"/>
  <c r="G9" i="7"/>
  <c r="F9" i="7"/>
  <c r="E9" i="7"/>
  <c r="D9" i="7"/>
  <c r="J8" i="7"/>
  <c r="I8" i="7"/>
  <c r="H8" i="7"/>
  <c r="G8" i="7"/>
  <c r="F8" i="7"/>
  <c r="E8" i="7"/>
  <c r="D8" i="7"/>
  <c r="J7" i="7"/>
  <c r="I7" i="7"/>
  <c r="H7" i="7"/>
  <c r="G7" i="7"/>
  <c r="F7" i="7"/>
  <c r="E7" i="7"/>
  <c r="D7" i="7"/>
  <c r="J6" i="7"/>
  <c r="I6" i="7"/>
  <c r="H6" i="7"/>
  <c r="G6" i="7"/>
  <c r="F6" i="7"/>
  <c r="E6" i="7"/>
  <c r="D6" i="7"/>
  <c r="J5" i="7"/>
  <c r="I5" i="7"/>
  <c r="H5" i="7"/>
  <c r="G5" i="7"/>
  <c r="F5" i="7"/>
  <c r="E5" i="7"/>
  <c r="D5" i="7"/>
  <c r="O167" i="6"/>
  <c r="N165" i="6"/>
  <c r="K165" i="6"/>
  <c r="G165" i="6"/>
  <c r="F165" i="6"/>
  <c r="E165" i="6"/>
  <c r="D165" i="6"/>
  <c r="N164" i="6"/>
  <c r="K164" i="6"/>
  <c r="G164" i="6"/>
  <c r="F164" i="6"/>
  <c r="E164" i="6"/>
  <c r="D164" i="6"/>
  <c r="N163" i="6"/>
  <c r="K163" i="6"/>
  <c r="G163" i="6"/>
  <c r="F163" i="6"/>
  <c r="E163" i="6"/>
  <c r="D163" i="6"/>
  <c r="N162" i="6"/>
  <c r="K162" i="6"/>
  <c r="G162" i="6"/>
  <c r="F162" i="6"/>
  <c r="E162" i="6"/>
  <c r="D162" i="6"/>
  <c r="N161" i="6"/>
  <c r="K161" i="6"/>
  <c r="G161" i="6"/>
  <c r="F161" i="6"/>
  <c r="E161" i="6"/>
  <c r="D161" i="6"/>
  <c r="N160" i="6"/>
  <c r="K160" i="6"/>
  <c r="G160" i="6"/>
  <c r="F160" i="6"/>
  <c r="E160" i="6"/>
  <c r="D160" i="6"/>
  <c r="N159" i="6"/>
  <c r="K159" i="6"/>
  <c r="G159" i="6"/>
  <c r="F159" i="6"/>
  <c r="E159" i="6"/>
  <c r="D159" i="6"/>
  <c r="N158" i="6"/>
  <c r="K158" i="6"/>
  <c r="G158" i="6"/>
  <c r="F158" i="6"/>
  <c r="E158" i="6"/>
  <c r="D158" i="6"/>
  <c r="N157" i="6"/>
  <c r="K157" i="6"/>
  <c r="G157" i="6"/>
  <c r="F157" i="6"/>
  <c r="E157" i="6"/>
  <c r="D157" i="6"/>
  <c r="N156" i="6"/>
  <c r="K156" i="6"/>
  <c r="G156" i="6"/>
  <c r="F156" i="6"/>
  <c r="E156" i="6"/>
  <c r="D156" i="6"/>
  <c r="N155" i="6"/>
  <c r="K155" i="6"/>
  <c r="G155" i="6"/>
  <c r="F155" i="6"/>
  <c r="E155" i="6"/>
  <c r="D155" i="6"/>
  <c r="N154" i="6"/>
  <c r="K154" i="6"/>
  <c r="G154" i="6"/>
  <c r="F154" i="6"/>
  <c r="E154" i="6"/>
  <c r="D154" i="6"/>
  <c r="N153" i="6"/>
  <c r="K153" i="6"/>
  <c r="G153" i="6"/>
  <c r="F153" i="6"/>
  <c r="E153" i="6"/>
  <c r="D153" i="6"/>
  <c r="N152" i="6"/>
  <c r="K152" i="6"/>
  <c r="G152" i="6"/>
  <c r="F152" i="6"/>
  <c r="E152" i="6"/>
  <c r="D152" i="6"/>
  <c r="N151" i="6"/>
  <c r="K151" i="6"/>
  <c r="G151" i="6"/>
  <c r="F151" i="6"/>
  <c r="E151" i="6"/>
  <c r="D151" i="6"/>
  <c r="N150" i="6"/>
  <c r="K150" i="6"/>
  <c r="G150" i="6"/>
  <c r="F150" i="6"/>
  <c r="E150" i="6"/>
  <c r="D150" i="6"/>
  <c r="N149" i="6"/>
  <c r="K149" i="6"/>
  <c r="G149" i="6"/>
  <c r="F149" i="6"/>
  <c r="E149" i="6"/>
  <c r="D149" i="6"/>
  <c r="N148" i="6"/>
  <c r="K148" i="6"/>
  <c r="G148" i="6"/>
  <c r="F148" i="6"/>
  <c r="E148" i="6"/>
  <c r="D148" i="6"/>
  <c r="K147" i="6"/>
  <c r="F147" i="6"/>
  <c r="E147" i="6"/>
  <c r="D147" i="6"/>
  <c r="K146" i="6"/>
  <c r="G146" i="6"/>
  <c r="F146" i="6"/>
  <c r="E146" i="6"/>
  <c r="D146" i="6"/>
  <c r="K145" i="6"/>
  <c r="G145" i="6"/>
  <c r="F145" i="6"/>
  <c r="E145" i="6"/>
  <c r="D145" i="6"/>
  <c r="K144" i="6"/>
  <c r="G144" i="6"/>
  <c r="F144" i="6"/>
  <c r="E144" i="6"/>
  <c r="D144" i="6"/>
  <c r="K143" i="6"/>
  <c r="G143" i="6"/>
  <c r="F143" i="6"/>
  <c r="E143" i="6"/>
  <c r="D143" i="6"/>
  <c r="K142" i="6"/>
  <c r="G142" i="6"/>
  <c r="F142" i="6"/>
  <c r="E142" i="6"/>
  <c r="D142" i="6"/>
  <c r="K141" i="6"/>
  <c r="G141" i="6"/>
  <c r="F141" i="6"/>
  <c r="E141" i="6"/>
  <c r="D141" i="6"/>
  <c r="K140" i="6"/>
  <c r="G140" i="6"/>
  <c r="F140" i="6"/>
  <c r="E140" i="6"/>
  <c r="D140" i="6"/>
  <c r="K139" i="6"/>
  <c r="G139" i="6"/>
  <c r="F139" i="6"/>
  <c r="E139" i="6"/>
  <c r="D139" i="6"/>
  <c r="K138" i="6"/>
  <c r="G138" i="6"/>
  <c r="F138" i="6"/>
  <c r="E138" i="6"/>
  <c r="D138" i="6"/>
  <c r="K137" i="6"/>
  <c r="G137" i="6"/>
  <c r="F137" i="6"/>
  <c r="E137" i="6"/>
  <c r="D137" i="6"/>
  <c r="K136" i="6"/>
  <c r="G136" i="6"/>
  <c r="F136" i="6"/>
  <c r="E136" i="6"/>
  <c r="D136" i="6"/>
  <c r="K135" i="6"/>
  <c r="G135" i="6"/>
  <c r="F135" i="6"/>
  <c r="E135" i="6"/>
  <c r="D135" i="6"/>
  <c r="K134" i="6"/>
  <c r="G134" i="6"/>
  <c r="F134" i="6"/>
  <c r="E134" i="6"/>
  <c r="D134" i="6"/>
  <c r="K133" i="6"/>
  <c r="G133" i="6"/>
  <c r="F133" i="6"/>
  <c r="E133" i="6"/>
  <c r="D133" i="6"/>
  <c r="K132" i="6"/>
  <c r="G132" i="6"/>
  <c r="F132" i="6"/>
  <c r="E132" i="6"/>
  <c r="D132" i="6"/>
  <c r="K131" i="6"/>
  <c r="G131" i="6"/>
  <c r="F131" i="6"/>
  <c r="E131" i="6"/>
  <c r="D131" i="6"/>
  <c r="K130" i="6"/>
  <c r="G130" i="6"/>
  <c r="F130" i="6"/>
  <c r="E130" i="6"/>
  <c r="D130" i="6"/>
  <c r="K129" i="6"/>
  <c r="G129" i="6"/>
  <c r="F129" i="6"/>
  <c r="E129" i="6"/>
  <c r="D129" i="6"/>
  <c r="K128" i="6"/>
  <c r="G128" i="6"/>
  <c r="F128" i="6"/>
  <c r="E128" i="6"/>
  <c r="D128" i="6"/>
  <c r="K127" i="6"/>
  <c r="G127" i="6"/>
  <c r="F127" i="6"/>
  <c r="E127" i="6"/>
  <c r="D127" i="6"/>
  <c r="K126" i="6"/>
  <c r="G126" i="6"/>
  <c r="F126" i="6"/>
  <c r="E126" i="6"/>
  <c r="D126" i="6"/>
  <c r="K125" i="6"/>
  <c r="G125" i="6"/>
  <c r="F125" i="6"/>
  <c r="E125" i="6"/>
  <c r="D125" i="6"/>
  <c r="K124" i="6"/>
  <c r="G124" i="6"/>
  <c r="F124" i="6"/>
  <c r="E124" i="6"/>
  <c r="D124" i="6"/>
  <c r="K123" i="6"/>
  <c r="G123" i="6"/>
  <c r="F123" i="6"/>
  <c r="E123" i="6"/>
  <c r="D123" i="6"/>
  <c r="K122" i="6"/>
  <c r="G122" i="6"/>
  <c r="F122" i="6"/>
  <c r="E122" i="6"/>
  <c r="D122" i="6"/>
  <c r="K121" i="6"/>
  <c r="G121" i="6"/>
  <c r="F121" i="6"/>
  <c r="E121" i="6"/>
  <c r="D121" i="6"/>
  <c r="K120" i="6"/>
  <c r="G120" i="6"/>
  <c r="F120" i="6"/>
  <c r="E120" i="6"/>
  <c r="D120" i="6"/>
  <c r="K119" i="6"/>
  <c r="G119" i="6"/>
  <c r="F119" i="6"/>
  <c r="E119" i="6"/>
  <c r="D119" i="6"/>
  <c r="K118" i="6"/>
  <c r="G118" i="6"/>
  <c r="F118" i="6"/>
  <c r="E118" i="6"/>
  <c r="D118" i="6"/>
  <c r="K117" i="6"/>
  <c r="G117" i="6"/>
  <c r="F117" i="6"/>
  <c r="E117" i="6"/>
  <c r="D117" i="6"/>
  <c r="K116" i="6"/>
  <c r="G116" i="6"/>
  <c r="F116" i="6"/>
  <c r="E116" i="6"/>
  <c r="D116" i="6"/>
  <c r="K115" i="6"/>
  <c r="G115" i="6"/>
  <c r="F115" i="6"/>
  <c r="E115" i="6"/>
  <c r="D115" i="6"/>
  <c r="K114" i="6"/>
  <c r="G114" i="6"/>
  <c r="F114" i="6"/>
  <c r="E114" i="6"/>
  <c r="D114" i="6"/>
  <c r="K113" i="6"/>
  <c r="G113" i="6"/>
  <c r="F113" i="6"/>
  <c r="E113" i="6"/>
  <c r="D113" i="6"/>
  <c r="K112" i="6"/>
  <c r="G112" i="6"/>
  <c r="F112" i="6"/>
  <c r="E112" i="6"/>
  <c r="D112" i="6"/>
  <c r="K111" i="6"/>
  <c r="G111" i="6"/>
  <c r="F111" i="6"/>
  <c r="E111" i="6"/>
  <c r="D111" i="6"/>
  <c r="K110" i="6"/>
  <c r="G110" i="6"/>
  <c r="F110" i="6"/>
  <c r="E110" i="6"/>
  <c r="D110" i="6"/>
  <c r="K109" i="6"/>
  <c r="G109" i="6"/>
  <c r="F109" i="6"/>
  <c r="E109" i="6"/>
  <c r="D109" i="6"/>
  <c r="K108" i="6"/>
  <c r="G108" i="6"/>
  <c r="F108" i="6"/>
  <c r="E108" i="6"/>
  <c r="D108" i="6"/>
  <c r="K107" i="6"/>
  <c r="G107" i="6"/>
  <c r="F107" i="6"/>
  <c r="E107" i="6"/>
  <c r="D107" i="6"/>
  <c r="K106" i="6"/>
  <c r="G106" i="6"/>
  <c r="F106" i="6"/>
  <c r="E106" i="6"/>
  <c r="D106" i="6"/>
  <c r="K105" i="6"/>
  <c r="G105" i="6"/>
  <c r="F105" i="6"/>
  <c r="E105" i="6"/>
  <c r="D105" i="6"/>
  <c r="K104" i="6"/>
  <c r="G104" i="6"/>
  <c r="F104" i="6"/>
  <c r="E104" i="6"/>
  <c r="D104" i="6"/>
  <c r="K103" i="6"/>
  <c r="G103" i="6"/>
  <c r="F103" i="6"/>
  <c r="E103" i="6"/>
  <c r="D103" i="6"/>
  <c r="K102" i="6"/>
  <c r="G102" i="6"/>
  <c r="F102" i="6"/>
  <c r="E102" i="6"/>
  <c r="D102" i="6"/>
  <c r="K101" i="6"/>
  <c r="G101" i="6"/>
  <c r="F101" i="6"/>
  <c r="E101" i="6"/>
  <c r="D101" i="6"/>
  <c r="K100" i="6"/>
  <c r="G100" i="6"/>
  <c r="F100" i="6"/>
  <c r="E100" i="6"/>
  <c r="D100" i="6"/>
  <c r="K99" i="6"/>
  <c r="G99" i="6"/>
  <c r="F99" i="6"/>
  <c r="E99" i="6"/>
  <c r="D99" i="6"/>
  <c r="K98" i="6"/>
  <c r="G98" i="6"/>
  <c r="F98" i="6"/>
  <c r="E98" i="6"/>
  <c r="D98" i="6"/>
  <c r="K97" i="6"/>
  <c r="G97" i="6"/>
  <c r="F97" i="6"/>
  <c r="E97" i="6"/>
  <c r="D97" i="6"/>
  <c r="K96" i="6"/>
  <c r="G96" i="6"/>
  <c r="F96" i="6"/>
  <c r="E96" i="6"/>
  <c r="D96" i="6"/>
  <c r="K95" i="6"/>
  <c r="G95" i="6"/>
  <c r="F95" i="6"/>
  <c r="E95" i="6"/>
  <c r="D95" i="6"/>
  <c r="K94" i="6"/>
  <c r="G94" i="6"/>
  <c r="F94" i="6"/>
  <c r="E94" i="6"/>
  <c r="D94" i="6"/>
  <c r="K93" i="6"/>
  <c r="G93" i="6"/>
  <c r="F93" i="6"/>
  <c r="E93" i="6"/>
  <c r="D93" i="6"/>
  <c r="K92" i="6"/>
  <c r="G92" i="6"/>
  <c r="F92" i="6"/>
  <c r="E92" i="6"/>
  <c r="D92" i="6"/>
  <c r="K91" i="6"/>
  <c r="G91" i="6"/>
  <c r="F91" i="6"/>
  <c r="E91" i="6"/>
  <c r="D91" i="6"/>
  <c r="K90" i="6"/>
  <c r="G90" i="6"/>
  <c r="F90" i="6"/>
  <c r="E90" i="6"/>
  <c r="D90" i="6"/>
  <c r="K89" i="6"/>
  <c r="G89" i="6"/>
  <c r="F89" i="6"/>
  <c r="E89" i="6"/>
  <c r="D89" i="6"/>
  <c r="K88" i="6"/>
  <c r="G88" i="6"/>
  <c r="F88" i="6"/>
  <c r="E88" i="6"/>
  <c r="D88" i="6"/>
  <c r="K87" i="6"/>
  <c r="G87" i="6"/>
  <c r="F87" i="6"/>
  <c r="E87" i="6"/>
  <c r="D87" i="6"/>
  <c r="K86" i="6"/>
  <c r="G86" i="6"/>
  <c r="F86" i="6"/>
  <c r="E86" i="6"/>
  <c r="D86" i="6"/>
  <c r="K85" i="6"/>
  <c r="G85" i="6"/>
  <c r="F85" i="6"/>
  <c r="E85" i="6"/>
  <c r="D85" i="6"/>
  <c r="K84" i="6"/>
  <c r="G84" i="6"/>
  <c r="F84" i="6"/>
  <c r="E84" i="6"/>
  <c r="D84" i="6"/>
  <c r="K83" i="6"/>
  <c r="G83" i="6"/>
  <c r="F83" i="6"/>
  <c r="E83" i="6"/>
  <c r="D83" i="6"/>
  <c r="K82" i="6"/>
  <c r="G82" i="6"/>
  <c r="F82" i="6"/>
  <c r="E82" i="6"/>
  <c r="D82" i="6"/>
  <c r="K81" i="6"/>
  <c r="G81" i="6"/>
  <c r="F81" i="6"/>
  <c r="E81" i="6"/>
  <c r="D81" i="6"/>
  <c r="K80" i="6"/>
  <c r="G80" i="6"/>
  <c r="F80" i="6"/>
  <c r="E80" i="6"/>
  <c r="D80" i="6"/>
  <c r="K79" i="6"/>
  <c r="G79" i="6"/>
  <c r="F79" i="6"/>
  <c r="E79" i="6"/>
  <c r="D79" i="6"/>
  <c r="K78" i="6"/>
  <c r="G78" i="6"/>
  <c r="F78" i="6"/>
  <c r="E78" i="6"/>
  <c r="D78" i="6"/>
  <c r="K77" i="6"/>
  <c r="G77" i="6"/>
  <c r="F77" i="6"/>
  <c r="E77" i="6"/>
  <c r="D77" i="6"/>
  <c r="K76" i="6"/>
  <c r="G76" i="6"/>
  <c r="F76" i="6"/>
  <c r="E76" i="6"/>
  <c r="D76" i="6"/>
  <c r="K75" i="6"/>
  <c r="G75" i="6"/>
  <c r="F75" i="6"/>
  <c r="E75" i="6"/>
  <c r="D75" i="6"/>
  <c r="K74" i="6"/>
  <c r="G74" i="6"/>
  <c r="F74" i="6"/>
  <c r="E74" i="6"/>
  <c r="D74" i="6"/>
  <c r="K73" i="6"/>
  <c r="G73" i="6"/>
  <c r="F73" i="6"/>
  <c r="E73" i="6"/>
  <c r="D73" i="6"/>
  <c r="K72" i="6"/>
  <c r="G72" i="6"/>
  <c r="F72" i="6"/>
  <c r="E72" i="6"/>
  <c r="D72" i="6"/>
  <c r="K71" i="6"/>
  <c r="G71" i="6"/>
  <c r="F71" i="6"/>
  <c r="E71" i="6"/>
  <c r="D71" i="6"/>
  <c r="K70" i="6"/>
  <c r="G70" i="6"/>
  <c r="F70" i="6"/>
  <c r="E70" i="6"/>
  <c r="D70" i="6"/>
  <c r="K69" i="6"/>
  <c r="G69" i="6"/>
  <c r="F69" i="6"/>
  <c r="E69" i="6"/>
  <c r="D69" i="6"/>
  <c r="K68" i="6"/>
  <c r="G68" i="6"/>
  <c r="F68" i="6"/>
  <c r="E68" i="6"/>
  <c r="D68" i="6"/>
  <c r="K67" i="6"/>
  <c r="G67" i="6"/>
  <c r="F67" i="6"/>
  <c r="E67" i="6"/>
  <c r="D67" i="6"/>
  <c r="K66" i="6"/>
  <c r="G66" i="6"/>
  <c r="F66" i="6"/>
  <c r="E66" i="6"/>
  <c r="D66" i="6"/>
  <c r="K65" i="6"/>
  <c r="G65" i="6"/>
  <c r="F65" i="6"/>
  <c r="E65" i="6"/>
  <c r="D65" i="6"/>
  <c r="K64" i="6"/>
  <c r="G64" i="6"/>
  <c r="F64" i="6"/>
  <c r="E64" i="6"/>
  <c r="D64" i="6"/>
  <c r="K63" i="6"/>
  <c r="G63" i="6"/>
  <c r="F63" i="6"/>
  <c r="E63" i="6"/>
  <c r="D63" i="6"/>
  <c r="K62" i="6"/>
  <c r="G62" i="6"/>
  <c r="F62" i="6"/>
  <c r="E62" i="6"/>
  <c r="D62" i="6"/>
  <c r="K61" i="6"/>
  <c r="G61" i="6"/>
  <c r="F61" i="6"/>
  <c r="E61" i="6"/>
  <c r="D61" i="6"/>
  <c r="K60" i="6"/>
  <c r="G60" i="6"/>
  <c r="F60" i="6"/>
  <c r="E60" i="6"/>
  <c r="D60" i="6"/>
  <c r="K59" i="6"/>
  <c r="G59" i="6"/>
  <c r="F59" i="6"/>
  <c r="E59" i="6"/>
  <c r="D59" i="6"/>
  <c r="K58" i="6"/>
  <c r="G58" i="6"/>
  <c r="F58" i="6"/>
  <c r="E58" i="6"/>
  <c r="D58" i="6"/>
  <c r="K57" i="6"/>
  <c r="G57" i="6"/>
  <c r="F57" i="6"/>
  <c r="E57" i="6"/>
  <c r="D57" i="6"/>
  <c r="K56" i="6"/>
  <c r="G56" i="6"/>
  <c r="F56" i="6"/>
  <c r="E56" i="6"/>
  <c r="D56" i="6"/>
  <c r="K55" i="6"/>
  <c r="G55" i="6"/>
  <c r="F55" i="6"/>
  <c r="E55" i="6"/>
  <c r="D55" i="6"/>
  <c r="K54" i="6"/>
  <c r="G54" i="6"/>
  <c r="F54" i="6"/>
  <c r="E54" i="6"/>
  <c r="D54" i="6"/>
  <c r="K53" i="6"/>
  <c r="G53" i="6"/>
  <c r="F53" i="6"/>
  <c r="E53" i="6"/>
  <c r="D53" i="6"/>
  <c r="K52" i="6"/>
  <c r="G52" i="6"/>
  <c r="F52" i="6"/>
  <c r="E52" i="6"/>
  <c r="D52" i="6"/>
  <c r="K51" i="6"/>
  <c r="G51" i="6"/>
  <c r="F51" i="6"/>
  <c r="E51" i="6"/>
  <c r="D51" i="6"/>
  <c r="K50" i="6"/>
  <c r="G50" i="6"/>
  <c r="F50" i="6"/>
  <c r="E50" i="6"/>
  <c r="D50" i="6"/>
  <c r="K49" i="6"/>
  <c r="G49" i="6"/>
  <c r="F49" i="6"/>
  <c r="E49" i="6"/>
  <c r="D49" i="6"/>
  <c r="K48" i="6"/>
  <c r="G48" i="6"/>
  <c r="F48" i="6"/>
  <c r="E48" i="6"/>
  <c r="D48" i="6"/>
  <c r="K47" i="6"/>
  <c r="G47" i="6"/>
  <c r="F47" i="6"/>
  <c r="E47" i="6"/>
  <c r="D47" i="6"/>
  <c r="K46" i="6"/>
  <c r="G46" i="6"/>
  <c r="F46" i="6"/>
  <c r="E46" i="6"/>
  <c r="D46" i="6"/>
  <c r="K45" i="6"/>
  <c r="G45" i="6"/>
  <c r="F45" i="6"/>
  <c r="E45" i="6"/>
  <c r="D45" i="6"/>
  <c r="K44" i="6"/>
  <c r="G44" i="6"/>
  <c r="F44" i="6"/>
  <c r="E44" i="6"/>
  <c r="D44" i="6"/>
  <c r="K43" i="6"/>
  <c r="G43" i="6"/>
  <c r="F43" i="6"/>
  <c r="E43" i="6"/>
  <c r="D43" i="6"/>
  <c r="K42" i="6"/>
  <c r="G42" i="6"/>
  <c r="F42" i="6"/>
  <c r="E42" i="6"/>
  <c r="D42" i="6"/>
  <c r="K41" i="6"/>
  <c r="G41" i="6"/>
  <c r="F41" i="6"/>
  <c r="E41" i="6"/>
  <c r="D41" i="6"/>
  <c r="K40" i="6"/>
  <c r="G40" i="6"/>
  <c r="F40" i="6"/>
  <c r="E40" i="6"/>
  <c r="D40" i="6"/>
  <c r="K39" i="6"/>
  <c r="G39" i="6"/>
  <c r="F39" i="6"/>
  <c r="E39" i="6"/>
  <c r="D39" i="6"/>
  <c r="K38" i="6"/>
  <c r="G38" i="6"/>
  <c r="F38" i="6"/>
  <c r="E38" i="6"/>
  <c r="D38" i="6"/>
  <c r="K37" i="6"/>
  <c r="G37" i="6"/>
  <c r="F37" i="6"/>
  <c r="E37" i="6"/>
  <c r="D37" i="6"/>
  <c r="K36" i="6"/>
  <c r="G36" i="6"/>
  <c r="F36" i="6"/>
  <c r="E36" i="6"/>
  <c r="D36" i="6"/>
  <c r="K35" i="6"/>
  <c r="G35" i="6"/>
  <c r="F35" i="6"/>
  <c r="E35" i="6"/>
  <c r="D35" i="6"/>
  <c r="K34" i="6"/>
  <c r="G34" i="6"/>
  <c r="F34" i="6"/>
  <c r="E34" i="6"/>
  <c r="D34" i="6"/>
  <c r="K33" i="6"/>
  <c r="G33" i="6"/>
  <c r="F33" i="6"/>
  <c r="E33" i="6"/>
  <c r="D33" i="6"/>
  <c r="K32" i="6"/>
  <c r="G32" i="6"/>
  <c r="F32" i="6"/>
  <c r="E32" i="6"/>
  <c r="D32" i="6"/>
  <c r="K31" i="6"/>
  <c r="G31" i="6"/>
  <c r="F31" i="6"/>
  <c r="E31" i="6"/>
  <c r="D31" i="6"/>
  <c r="K30" i="6"/>
  <c r="G30" i="6"/>
  <c r="F30" i="6"/>
  <c r="E30" i="6"/>
  <c r="D30" i="6"/>
  <c r="K29" i="6"/>
  <c r="G29" i="6"/>
  <c r="F29" i="6"/>
  <c r="E29" i="6"/>
  <c r="D29" i="6"/>
  <c r="K28" i="6"/>
  <c r="G28" i="6"/>
  <c r="F28" i="6"/>
  <c r="E28" i="6"/>
  <c r="D28" i="6"/>
  <c r="K27" i="6"/>
  <c r="G27" i="6"/>
  <c r="F27" i="6"/>
  <c r="E27" i="6"/>
  <c r="D27" i="6"/>
  <c r="K26" i="6"/>
  <c r="G26" i="6"/>
  <c r="F26" i="6"/>
  <c r="E26" i="6"/>
  <c r="D26" i="6"/>
  <c r="K25" i="6"/>
  <c r="G25" i="6"/>
  <c r="F25" i="6"/>
  <c r="E25" i="6"/>
  <c r="D25" i="6"/>
  <c r="K24" i="6"/>
  <c r="G24" i="6"/>
  <c r="F24" i="6"/>
  <c r="E24" i="6"/>
  <c r="D24" i="6"/>
  <c r="K23" i="6"/>
  <c r="G23" i="6"/>
  <c r="F23" i="6"/>
  <c r="E23" i="6"/>
  <c r="D23" i="6"/>
  <c r="K22" i="6"/>
  <c r="G22" i="6"/>
  <c r="F22" i="6"/>
  <c r="E22" i="6"/>
  <c r="D22" i="6"/>
  <c r="K21" i="6"/>
  <c r="G21" i="6"/>
  <c r="F21" i="6"/>
  <c r="E21" i="6"/>
  <c r="D21" i="6"/>
  <c r="K20" i="6"/>
  <c r="G20" i="6"/>
  <c r="F20" i="6"/>
  <c r="E20" i="6"/>
  <c r="D20" i="6"/>
  <c r="K19" i="6"/>
  <c r="G19" i="6"/>
  <c r="F19" i="6"/>
  <c r="E19" i="6"/>
  <c r="D19" i="6"/>
  <c r="K18" i="6"/>
  <c r="G18" i="6"/>
  <c r="F18" i="6"/>
  <c r="E18" i="6"/>
  <c r="D18" i="6"/>
  <c r="K17" i="6"/>
  <c r="G17" i="6"/>
  <c r="F17" i="6"/>
  <c r="E17" i="6"/>
  <c r="D17" i="6"/>
  <c r="K16" i="6"/>
  <c r="G16" i="6"/>
  <c r="F16" i="6"/>
  <c r="E16" i="6"/>
  <c r="D16" i="6"/>
  <c r="K15" i="6"/>
  <c r="G15" i="6"/>
  <c r="F15" i="6"/>
  <c r="E15" i="6"/>
  <c r="D15" i="6"/>
  <c r="K14" i="6"/>
  <c r="G14" i="6"/>
  <c r="F14" i="6"/>
  <c r="E14" i="6"/>
  <c r="D14" i="6"/>
  <c r="K13" i="6"/>
  <c r="G13" i="6"/>
  <c r="F13" i="6"/>
  <c r="E13" i="6"/>
  <c r="D13" i="6"/>
  <c r="K12" i="6"/>
  <c r="G12" i="6"/>
  <c r="F12" i="6"/>
  <c r="E12" i="6"/>
  <c r="D12" i="6"/>
  <c r="K11" i="6"/>
  <c r="G11" i="6"/>
  <c r="F11" i="6"/>
  <c r="E11" i="6"/>
  <c r="D11" i="6"/>
  <c r="K10" i="6"/>
  <c r="G10" i="6"/>
  <c r="F10" i="6"/>
  <c r="E10" i="6"/>
  <c r="D10" i="6"/>
  <c r="K9" i="6"/>
  <c r="G9" i="6"/>
  <c r="F9" i="6"/>
  <c r="E9" i="6"/>
  <c r="D9" i="6"/>
  <c r="K8" i="6"/>
  <c r="G8" i="6"/>
  <c r="F8" i="6"/>
  <c r="E8" i="6"/>
  <c r="D8" i="6"/>
  <c r="K7" i="6"/>
  <c r="G7" i="6"/>
  <c r="F7" i="6"/>
  <c r="E7" i="6"/>
  <c r="D7" i="6"/>
  <c r="K6" i="6"/>
  <c r="G6" i="6"/>
  <c r="F6" i="6"/>
  <c r="E6" i="6"/>
  <c r="D6" i="6"/>
  <c r="K5" i="6"/>
  <c r="G5" i="6"/>
  <c r="F5" i="6"/>
  <c r="E5" i="6"/>
  <c r="D5" i="6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J5" i="3"/>
  <c r="B5" i="3"/>
  <c r="O120" i="2"/>
  <c r="N120" i="2"/>
  <c r="O119" i="2"/>
  <c r="N119" i="2"/>
  <c r="O118" i="2"/>
  <c r="N118" i="2"/>
  <c r="O117" i="2"/>
  <c r="N117" i="2"/>
  <c r="O116" i="2"/>
  <c r="N116" i="2"/>
  <c r="O115" i="2"/>
  <c r="N115" i="2"/>
  <c r="O114" i="2"/>
  <c r="N114" i="2"/>
  <c r="O113" i="2"/>
  <c r="N113" i="2"/>
  <c r="O112" i="2"/>
  <c r="N112" i="2"/>
  <c r="O111" i="2"/>
  <c r="N111" i="2"/>
  <c r="O110" i="2"/>
  <c r="N110" i="2"/>
  <c r="O109" i="2"/>
  <c r="N109" i="2"/>
  <c r="O108" i="2"/>
  <c r="N108" i="2"/>
  <c r="O107" i="2"/>
  <c r="N107" i="2"/>
  <c r="O106" i="2"/>
  <c r="N106" i="2"/>
  <c r="O105" i="2"/>
  <c r="N105" i="2"/>
  <c r="O104" i="2"/>
  <c r="N104" i="2"/>
  <c r="O103" i="2"/>
  <c r="N103" i="2"/>
  <c r="O102" i="2"/>
  <c r="N102" i="2"/>
  <c r="O101" i="2"/>
  <c r="N101" i="2"/>
  <c r="O100" i="2"/>
  <c r="N100" i="2"/>
  <c r="O99" i="2"/>
  <c r="N99" i="2"/>
  <c r="O98" i="2"/>
  <c r="N98" i="2"/>
  <c r="O97" i="2"/>
  <c r="N97" i="2"/>
  <c r="P96" i="2"/>
  <c r="O96" i="2"/>
  <c r="N96" i="2"/>
  <c r="O95" i="2"/>
  <c r="N95" i="2"/>
  <c r="O94" i="2"/>
  <c r="N94" i="2"/>
  <c r="O93" i="2"/>
  <c r="N93" i="2"/>
  <c r="O92" i="2"/>
  <c r="N92" i="2"/>
  <c r="O91" i="2"/>
  <c r="N91" i="2"/>
  <c r="O90" i="2"/>
  <c r="N90" i="2"/>
  <c r="O89" i="2"/>
  <c r="N89" i="2"/>
  <c r="O88" i="2"/>
  <c r="N88" i="2"/>
  <c r="O87" i="2"/>
  <c r="N87" i="2"/>
  <c r="O86" i="2"/>
  <c r="N86" i="2"/>
  <c r="O85" i="2"/>
  <c r="N85" i="2"/>
  <c r="O84" i="2"/>
  <c r="N84" i="2"/>
  <c r="O83" i="2"/>
  <c r="N83" i="2"/>
  <c r="O82" i="2"/>
  <c r="N82" i="2"/>
  <c r="O81" i="2"/>
  <c r="N81" i="2"/>
  <c r="O80" i="2"/>
  <c r="N80" i="2"/>
  <c r="O79" i="2"/>
  <c r="N79" i="2"/>
  <c r="O78" i="2"/>
  <c r="N78" i="2"/>
  <c r="O77" i="2"/>
  <c r="N77" i="2"/>
  <c r="O76" i="2"/>
  <c r="N76" i="2"/>
  <c r="O75" i="2"/>
  <c r="N75" i="2"/>
  <c r="O74" i="2"/>
  <c r="N74" i="2"/>
  <c r="O73" i="2"/>
  <c r="N73" i="2"/>
  <c r="O72" i="2"/>
  <c r="N72" i="2"/>
  <c r="O71" i="2"/>
  <c r="N71" i="2"/>
  <c r="O70" i="2"/>
  <c r="N70" i="2"/>
  <c r="O69" i="2"/>
  <c r="N69" i="2"/>
  <c r="O68" i="2"/>
  <c r="N68" i="2"/>
  <c r="O67" i="2"/>
  <c r="N67" i="2"/>
  <c r="O66" i="2"/>
  <c r="N66" i="2"/>
  <c r="O65" i="2"/>
  <c r="N65" i="2"/>
  <c r="O64" i="2"/>
  <c r="N64" i="2"/>
  <c r="O63" i="2"/>
  <c r="N63" i="2"/>
  <c r="O62" i="2"/>
  <c r="N62" i="2"/>
  <c r="O61" i="2"/>
  <c r="N61" i="2"/>
  <c r="O60" i="2"/>
  <c r="N60" i="2"/>
  <c r="O59" i="2"/>
  <c r="N59" i="2"/>
  <c r="O58" i="2"/>
  <c r="N58" i="2"/>
  <c r="O57" i="2"/>
  <c r="N57" i="2"/>
  <c r="O56" i="2"/>
  <c r="N56" i="2"/>
  <c r="O55" i="2"/>
  <c r="N55" i="2"/>
  <c r="O54" i="2"/>
  <c r="N54" i="2"/>
  <c r="O53" i="2"/>
  <c r="N53" i="2"/>
  <c r="O52" i="2"/>
  <c r="N52" i="2"/>
  <c r="O51" i="2"/>
  <c r="N51" i="2"/>
  <c r="O50" i="2"/>
  <c r="N50" i="2"/>
  <c r="O49" i="2"/>
  <c r="N49" i="2"/>
  <c r="O48" i="2"/>
  <c r="N48" i="2"/>
  <c r="O47" i="2"/>
  <c r="N47" i="2"/>
  <c r="O46" i="2"/>
  <c r="N46" i="2"/>
  <c r="O45" i="2"/>
  <c r="N45" i="2"/>
  <c r="O44" i="2"/>
  <c r="N44" i="2"/>
  <c r="O43" i="2"/>
  <c r="N43" i="2"/>
  <c r="O42" i="2"/>
  <c r="N42" i="2"/>
  <c r="O41" i="2"/>
  <c r="N41" i="2"/>
  <c r="O40" i="2"/>
  <c r="N40" i="2"/>
  <c r="O39" i="2"/>
  <c r="N39" i="2"/>
  <c r="O37" i="2"/>
  <c r="N37" i="2"/>
  <c r="O36" i="2"/>
  <c r="N36" i="2"/>
  <c r="O35" i="2"/>
  <c r="N35" i="2"/>
  <c r="O34" i="2"/>
  <c r="N34" i="2"/>
  <c r="O33" i="2"/>
  <c r="N33" i="2"/>
  <c r="O32" i="2"/>
  <c r="N32" i="2"/>
  <c r="O31" i="2"/>
  <c r="N31" i="2"/>
  <c r="O30" i="2"/>
  <c r="N30" i="2"/>
  <c r="O29" i="2"/>
  <c r="N29" i="2"/>
  <c r="O28" i="2"/>
  <c r="N28" i="2"/>
  <c r="J11" i="2"/>
  <c r="F11" i="2"/>
  <c r="C3" i="2"/>
  <c r="J28" i="11" l="1"/>
  <c r="K28" i="11" s="1"/>
  <c r="F30" i="11"/>
  <c r="J17" i="10"/>
  <c r="H17" i="11" s="1"/>
  <c r="H17" i="10"/>
  <c r="K17" i="10" s="1"/>
  <c r="J16" i="10"/>
  <c r="H16" i="10"/>
  <c r="K16" i="10" s="1"/>
  <c r="J15" i="10"/>
  <c r="H15" i="11" s="1"/>
  <c r="H15" i="10"/>
  <c r="K15" i="10" s="1"/>
  <c r="J14" i="10"/>
  <c r="H14" i="11" s="1"/>
  <c r="H14" i="10"/>
  <c r="K14" i="10" s="1"/>
  <c r="J13" i="10"/>
  <c r="H13" i="11" s="1"/>
  <c r="H13" i="10"/>
  <c r="K13" i="10" s="1"/>
  <c r="J12" i="10"/>
  <c r="H12" i="11" s="1"/>
  <c r="H12" i="10"/>
  <c r="K12" i="10" s="1"/>
  <c r="J11" i="10"/>
  <c r="H11" i="11" s="1"/>
  <c r="H11" i="10"/>
  <c r="K11" i="10" s="1"/>
  <c r="J10" i="10"/>
  <c r="H10" i="11" s="1"/>
  <c r="H10" i="10"/>
  <c r="K10" i="10" s="1"/>
  <c r="J9" i="10"/>
  <c r="H9" i="11" s="1"/>
  <c r="H9" i="10"/>
  <c r="K9" i="10" s="1"/>
  <c r="J8" i="10"/>
  <c r="H8" i="11" s="1"/>
  <c r="H8" i="10"/>
  <c r="K8" i="10" s="1"/>
  <c r="J7" i="10"/>
  <c r="H7" i="11" s="1"/>
  <c r="H7" i="10"/>
  <c r="K7" i="10" s="1"/>
  <c r="J6" i="10"/>
  <c r="H6" i="11" s="1"/>
  <c r="H6" i="10"/>
  <c r="K6" i="10" s="1"/>
  <c r="J5" i="10"/>
  <c r="H5" i="10"/>
  <c r="K5" i="10" s="1"/>
  <c r="H51" i="9"/>
  <c r="M51" i="8"/>
  <c r="L51" i="8"/>
  <c r="J49" i="9" s="1"/>
  <c r="M50" i="8"/>
  <c r="L50" i="8"/>
  <c r="J48" i="9" s="1"/>
  <c r="M49" i="8"/>
  <c r="L49" i="8"/>
  <c r="J47" i="9" s="1"/>
  <c r="M48" i="8"/>
  <c r="L48" i="8"/>
  <c r="J46" i="9" s="1"/>
  <c r="M47" i="8"/>
  <c r="L47" i="8"/>
  <c r="J45" i="9" s="1"/>
  <c r="M46" i="8"/>
  <c r="L46" i="8"/>
  <c r="J44" i="9" s="1"/>
  <c r="M45" i="8"/>
  <c r="N45" i="8" s="1"/>
  <c r="O45" i="8" s="1"/>
  <c r="L45" i="8"/>
  <c r="M44" i="8"/>
  <c r="L44" i="8"/>
  <c r="J43" i="9" s="1"/>
  <c r="M43" i="8"/>
  <c r="L43" i="8"/>
  <c r="J42" i="9" s="1"/>
  <c r="M42" i="8"/>
  <c r="L42" i="8"/>
  <c r="J41" i="9" s="1"/>
  <c r="M41" i="8"/>
  <c r="L41" i="8"/>
  <c r="J40" i="9" s="1"/>
  <c r="M40" i="8"/>
  <c r="L40" i="8"/>
  <c r="J39" i="9" s="1"/>
  <c r="M39" i="8"/>
  <c r="L39" i="8"/>
  <c r="J38" i="9" s="1"/>
  <c r="M38" i="8"/>
  <c r="L38" i="8"/>
  <c r="J37" i="9" s="1"/>
  <c r="M37" i="8"/>
  <c r="L37" i="8"/>
  <c r="J36" i="9" s="1"/>
  <c r="M36" i="8"/>
  <c r="L36" i="8"/>
  <c r="J35" i="9" s="1"/>
  <c r="M35" i="8"/>
  <c r="L35" i="8"/>
  <c r="J34" i="9" s="1"/>
  <c r="M34" i="8"/>
  <c r="L34" i="8"/>
  <c r="J33" i="9" s="1"/>
  <c r="M33" i="8"/>
  <c r="L33" i="8"/>
  <c r="J32" i="9" s="1"/>
  <c r="M32" i="8"/>
  <c r="L32" i="8"/>
  <c r="J31" i="9" s="1"/>
  <c r="M31" i="8"/>
  <c r="L31" i="8"/>
  <c r="J30" i="9" s="1"/>
  <c r="M30" i="8"/>
  <c r="L30" i="8"/>
  <c r="J29" i="9" s="1"/>
  <c r="M29" i="8"/>
  <c r="L29" i="8"/>
  <c r="J28" i="9" s="1"/>
  <c r="M28" i="8"/>
  <c r="L28" i="8"/>
  <c r="J27" i="9" s="1"/>
  <c r="M27" i="8"/>
  <c r="L27" i="8"/>
  <c r="J26" i="9" s="1"/>
  <c r="M26" i="8"/>
  <c r="L26" i="8"/>
  <c r="J25" i="9" s="1"/>
  <c r="M25" i="8"/>
  <c r="L25" i="8"/>
  <c r="J24" i="9" s="1"/>
  <c r="M24" i="8"/>
  <c r="L24" i="8"/>
  <c r="M23" i="8"/>
  <c r="L23" i="8"/>
  <c r="J23" i="9" s="1"/>
  <c r="M22" i="8"/>
  <c r="L22" i="8"/>
  <c r="J22" i="9" s="1"/>
  <c r="M21" i="8"/>
  <c r="L21" i="8"/>
  <c r="J21" i="9" s="1"/>
  <c r="M20" i="8"/>
  <c r="L20" i="8"/>
  <c r="J20" i="9" s="1"/>
  <c r="M19" i="8"/>
  <c r="L19" i="8"/>
  <c r="J19" i="9" s="1"/>
  <c r="M18" i="8"/>
  <c r="L18" i="8"/>
  <c r="J18" i="9" s="1"/>
  <c r="M17" i="8"/>
  <c r="L17" i="8"/>
  <c r="J17" i="9" s="1"/>
  <c r="M16" i="8"/>
  <c r="L16" i="8"/>
  <c r="J16" i="9" s="1"/>
  <c r="M15" i="8"/>
  <c r="L15" i="8"/>
  <c r="J15" i="9" s="1"/>
  <c r="M14" i="8"/>
  <c r="L14" i="8"/>
  <c r="J14" i="9" s="1"/>
  <c r="M13" i="8"/>
  <c r="L13" i="8"/>
  <c r="J13" i="9" s="1"/>
  <c r="M12" i="8"/>
  <c r="L12" i="8"/>
  <c r="J12" i="9" s="1"/>
  <c r="M11" i="8"/>
  <c r="L11" i="8"/>
  <c r="J11" i="9" s="1"/>
  <c r="M10" i="8"/>
  <c r="L10" i="8"/>
  <c r="J10" i="9" s="1"/>
  <c r="M9" i="8"/>
  <c r="L9" i="8"/>
  <c r="J9" i="9" s="1"/>
  <c r="M8" i="8"/>
  <c r="L8" i="8"/>
  <c r="J8" i="9" s="1"/>
  <c r="M7" i="8"/>
  <c r="L7" i="8"/>
  <c r="J7" i="9" s="1"/>
  <c r="M6" i="8"/>
  <c r="L6" i="8"/>
  <c r="J6" i="9" s="1"/>
  <c r="M5" i="8"/>
  <c r="L5" i="8"/>
  <c r="J39" i="7"/>
  <c r="H39" i="7"/>
  <c r="P165" i="6"/>
  <c r="Q165" i="6" s="1"/>
  <c r="R165" i="6" s="1"/>
  <c r="P164" i="6"/>
  <c r="Q164" i="6" s="1"/>
  <c r="R164" i="6" s="1"/>
  <c r="P163" i="6"/>
  <c r="Q163" i="6" s="1"/>
  <c r="R163" i="6" s="1"/>
  <c r="P162" i="6"/>
  <c r="Q162" i="6" s="1"/>
  <c r="R162" i="6" s="1"/>
  <c r="P161" i="6"/>
  <c r="Q161" i="6" s="1"/>
  <c r="R161" i="6" s="1"/>
  <c r="P160" i="6"/>
  <c r="Q160" i="6" s="1"/>
  <c r="R160" i="6" s="1"/>
  <c r="P159" i="6"/>
  <c r="Q159" i="6" s="1"/>
  <c r="R159" i="6" s="1"/>
  <c r="P158" i="6"/>
  <c r="Q158" i="6" s="1"/>
  <c r="R158" i="6" s="1"/>
  <c r="P157" i="6"/>
  <c r="Q157" i="6" s="1"/>
  <c r="R157" i="6" s="1"/>
  <c r="P156" i="6"/>
  <c r="P155" i="6"/>
  <c r="Q155" i="6" s="1"/>
  <c r="R155" i="6" s="1"/>
  <c r="P154" i="6"/>
  <c r="Q154" i="6" s="1"/>
  <c r="R154" i="6" s="1"/>
  <c r="P153" i="6"/>
  <c r="Q153" i="6" s="1"/>
  <c r="R153" i="6" s="1"/>
  <c r="P152" i="6"/>
  <c r="Q152" i="6" s="1"/>
  <c r="R152" i="6" s="1"/>
  <c r="P151" i="6"/>
  <c r="Q151" i="6" s="1"/>
  <c r="R151" i="6" s="1"/>
  <c r="P150" i="6"/>
  <c r="Q150" i="6" s="1"/>
  <c r="R150" i="6" s="1"/>
  <c r="P149" i="6"/>
  <c r="Q149" i="6" s="1"/>
  <c r="R149" i="6" s="1"/>
  <c r="P148" i="6"/>
  <c r="Q148" i="6" s="1"/>
  <c r="R148" i="6" s="1"/>
  <c r="K30" i="10"/>
  <c r="J30" i="10"/>
  <c r="K29" i="10"/>
  <c r="J29" i="10"/>
  <c r="H27" i="11" s="1"/>
  <c r="K28" i="10"/>
  <c r="J28" i="10"/>
  <c r="H26" i="11" s="1"/>
  <c r="K27" i="10"/>
  <c r="J27" i="10"/>
  <c r="H25" i="11" s="1"/>
  <c r="K26" i="10"/>
  <c r="J26" i="10"/>
  <c r="H24" i="11" s="1"/>
  <c r="K25" i="10"/>
  <c r="J25" i="10"/>
  <c r="H23" i="11" s="1"/>
  <c r="K24" i="10"/>
  <c r="J24" i="10"/>
  <c r="H22" i="11" s="1"/>
  <c r="K23" i="10"/>
  <c r="J23" i="10"/>
  <c r="K22" i="10"/>
  <c r="J22" i="10"/>
  <c r="H21" i="11" s="1"/>
  <c r="K21" i="10"/>
  <c r="J21" i="10"/>
  <c r="H20" i="11" s="1"/>
  <c r="K20" i="10"/>
  <c r="J20" i="10"/>
  <c r="K19" i="10"/>
  <c r="J19" i="10"/>
  <c r="H19" i="11" s="1"/>
  <c r="K18" i="10"/>
  <c r="J18" i="10"/>
  <c r="H18" i="11" s="1"/>
  <c r="N147" i="6"/>
  <c r="P147" i="6" s="1"/>
  <c r="Q147" i="6" s="1"/>
  <c r="R147" i="6" s="1"/>
  <c r="G147" i="6"/>
  <c r="N146" i="6"/>
  <c r="P146" i="6" s="1"/>
  <c r="Q146" i="6" s="1"/>
  <c r="R146" i="6" s="1"/>
  <c r="N145" i="6"/>
  <c r="P145" i="6" s="1"/>
  <c r="Q145" i="6" s="1"/>
  <c r="R145" i="6" s="1"/>
  <c r="N144" i="6"/>
  <c r="P144" i="6" s="1"/>
  <c r="Q144" i="6" s="1"/>
  <c r="R144" i="6" s="1"/>
  <c r="N143" i="6"/>
  <c r="P143" i="6" s="1"/>
  <c r="Q143" i="6" s="1"/>
  <c r="R143" i="6" s="1"/>
  <c r="N142" i="6"/>
  <c r="P142" i="6" s="1"/>
  <c r="Q142" i="6" s="1"/>
  <c r="R142" i="6" s="1"/>
  <c r="N141" i="6"/>
  <c r="P141" i="6" s="1"/>
  <c r="Q141" i="6" s="1"/>
  <c r="R141" i="6" s="1"/>
  <c r="N140" i="6"/>
  <c r="P140" i="6" s="1"/>
  <c r="Q140" i="6" s="1"/>
  <c r="R140" i="6" s="1"/>
  <c r="N139" i="6"/>
  <c r="P139" i="6" s="1"/>
  <c r="N138" i="6"/>
  <c r="P138" i="6" s="1"/>
  <c r="Q138" i="6" s="1"/>
  <c r="R138" i="6" s="1"/>
  <c r="N137" i="6"/>
  <c r="P137" i="6" s="1"/>
  <c r="Q137" i="6" s="1"/>
  <c r="R137" i="6" s="1"/>
  <c r="N136" i="6"/>
  <c r="P136" i="6" s="1"/>
  <c r="Q136" i="6" s="1"/>
  <c r="R136" i="6" s="1"/>
  <c r="N135" i="6"/>
  <c r="P135" i="6" s="1"/>
  <c r="Q135" i="6" s="1"/>
  <c r="R135" i="6" s="1"/>
  <c r="N134" i="6"/>
  <c r="P134" i="6" s="1"/>
  <c r="Q134" i="6" s="1"/>
  <c r="R134" i="6" s="1"/>
  <c r="N133" i="6"/>
  <c r="P133" i="6" s="1"/>
  <c r="Q133" i="6" s="1"/>
  <c r="R133" i="6" s="1"/>
  <c r="N132" i="6"/>
  <c r="P132" i="6" s="1"/>
  <c r="Q132" i="6" s="1"/>
  <c r="R132" i="6" s="1"/>
  <c r="N131" i="6"/>
  <c r="P131" i="6" s="1"/>
  <c r="Q131" i="6" s="1"/>
  <c r="R131" i="6" s="1"/>
  <c r="N130" i="6"/>
  <c r="P130" i="6" s="1"/>
  <c r="Q130" i="6" s="1"/>
  <c r="R130" i="6" s="1"/>
  <c r="N129" i="6"/>
  <c r="P129" i="6" s="1"/>
  <c r="Q129" i="6" s="1"/>
  <c r="R129" i="6" s="1"/>
  <c r="N128" i="6"/>
  <c r="P128" i="6" s="1"/>
  <c r="Q128" i="6" s="1"/>
  <c r="R128" i="6" s="1"/>
  <c r="N127" i="6"/>
  <c r="P127" i="6" s="1"/>
  <c r="Q127" i="6" s="1"/>
  <c r="R127" i="6" s="1"/>
  <c r="N126" i="6"/>
  <c r="P126" i="6" s="1"/>
  <c r="N125" i="6"/>
  <c r="P125" i="6" s="1"/>
  <c r="Q125" i="6" s="1"/>
  <c r="R125" i="6" s="1"/>
  <c r="N124" i="6"/>
  <c r="P124" i="6" s="1"/>
  <c r="Q124" i="6" s="1"/>
  <c r="R124" i="6" s="1"/>
  <c r="N123" i="6"/>
  <c r="P123" i="6" s="1"/>
  <c r="Q123" i="6" s="1"/>
  <c r="R123" i="6" s="1"/>
  <c r="N122" i="6"/>
  <c r="P122" i="6" s="1"/>
  <c r="Q122" i="6" s="1"/>
  <c r="R122" i="6" s="1"/>
  <c r="N121" i="6"/>
  <c r="P121" i="6" s="1"/>
  <c r="Q121" i="6" s="1"/>
  <c r="R121" i="6" s="1"/>
  <c r="N120" i="6"/>
  <c r="P120" i="6" s="1"/>
  <c r="Q120" i="6" s="1"/>
  <c r="R120" i="6" s="1"/>
  <c r="N119" i="6"/>
  <c r="P119" i="6" s="1"/>
  <c r="Q119" i="6" s="1"/>
  <c r="R119" i="6" s="1"/>
  <c r="N118" i="6"/>
  <c r="P118" i="6" s="1"/>
  <c r="Q118" i="6" s="1"/>
  <c r="R118" i="6" s="1"/>
  <c r="N117" i="6"/>
  <c r="P117" i="6" s="1"/>
  <c r="Q117" i="6" s="1"/>
  <c r="R117" i="6" s="1"/>
  <c r="N116" i="6"/>
  <c r="P116" i="6" s="1"/>
  <c r="Q116" i="6" s="1"/>
  <c r="R116" i="6" s="1"/>
  <c r="N115" i="6"/>
  <c r="P115" i="6" s="1"/>
  <c r="Q115" i="6" s="1"/>
  <c r="R115" i="6" s="1"/>
  <c r="N114" i="6"/>
  <c r="P114" i="6" s="1"/>
  <c r="Q114" i="6" s="1"/>
  <c r="R114" i="6" s="1"/>
  <c r="N113" i="6"/>
  <c r="P113" i="6" s="1"/>
  <c r="Q113" i="6" s="1"/>
  <c r="R113" i="6" s="1"/>
  <c r="N112" i="6"/>
  <c r="P112" i="6" s="1"/>
  <c r="N111" i="6"/>
  <c r="P111" i="6" s="1"/>
  <c r="Q111" i="6" s="1"/>
  <c r="R111" i="6" s="1"/>
  <c r="N110" i="6"/>
  <c r="P110" i="6" s="1"/>
  <c r="Q110" i="6" s="1"/>
  <c r="R110" i="6" s="1"/>
  <c r="N109" i="6"/>
  <c r="P109" i="6" s="1"/>
  <c r="Q109" i="6" s="1"/>
  <c r="R109" i="6" s="1"/>
  <c r="N108" i="6"/>
  <c r="P108" i="6" s="1"/>
  <c r="Q108" i="6" s="1"/>
  <c r="R108" i="6" s="1"/>
  <c r="N107" i="6"/>
  <c r="P107" i="6" s="1"/>
  <c r="Q107" i="6" s="1"/>
  <c r="R107" i="6" s="1"/>
  <c r="N106" i="6"/>
  <c r="P106" i="6" s="1"/>
  <c r="Q106" i="6" s="1"/>
  <c r="R106" i="6" s="1"/>
  <c r="N105" i="6"/>
  <c r="P105" i="6" s="1"/>
  <c r="Q105" i="6" s="1"/>
  <c r="R105" i="6" s="1"/>
  <c r="N104" i="6"/>
  <c r="P104" i="6" s="1"/>
  <c r="Q104" i="6" s="1"/>
  <c r="R104" i="6" s="1"/>
  <c r="N103" i="6"/>
  <c r="P103" i="6" s="1"/>
  <c r="Q103" i="6" s="1"/>
  <c r="R103" i="6" s="1"/>
  <c r="N102" i="6"/>
  <c r="P102" i="6" s="1"/>
  <c r="Q102" i="6" s="1"/>
  <c r="R102" i="6" s="1"/>
  <c r="N101" i="6"/>
  <c r="P101" i="6" s="1"/>
  <c r="Q101" i="6" s="1"/>
  <c r="R101" i="6" s="1"/>
  <c r="N100" i="6"/>
  <c r="P100" i="6" s="1"/>
  <c r="N99" i="6"/>
  <c r="P99" i="6" s="1"/>
  <c r="Q99" i="6" s="1"/>
  <c r="R99" i="6" s="1"/>
  <c r="N98" i="6"/>
  <c r="P98" i="6" s="1"/>
  <c r="Q98" i="6" s="1"/>
  <c r="R98" i="6" s="1"/>
  <c r="N97" i="6"/>
  <c r="P97" i="6" s="1"/>
  <c r="Q97" i="6" s="1"/>
  <c r="R97" i="6" s="1"/>
  <c r="N96" i="6"/>
  <c r="P96" i="6" s="1"/>
  <c r="Q96" i="6" s="1"/>
  <c r="R96" i="6" s="1"/>
  <c r="N95" i="6"/>
  <c r="P95" i="6" s="1"/>
  <c r="Q95" i="6" s="1"/>
  <c r="R95" i="6" s="1"/>
  <c r="N76" i="6"/>
  <c r="P76" i="6" s="1"/>
  <c r="Q76" i="6" s="1"/>
  <c r="R76" i="6" s="1"/>
  <c r="N75" i="6"/>
  <c r="P75" i="6" s="1"/>
  <c r="Q75" i="6" s="1"/>
  <c r="R75" i="6" s="1"/>
  <c r="N74" i="6"/>
  <c r="P74" i="6" s="1"/>
  <c r="Q74" i="6" s="1"/>
  <c r="R74" i="6" s="1"/>
  <c r="N72" i="6"/>
  <c r="P72" i="6" s="1"/>
  <c r="N71" i="6"/>
  <c r="P71" i="6" s="1"/>
  <c r="Q71" i="6" s="1"/>
  <c r="R71" i="6" s="1"/>
  <c r="N70" i="6"/>
  <c r="P70" i="6" s="1"/>
  <c r="Q70" i="6" s="1"/>
  <c r="R70" i="6" s="1"/>
  <c r="N69" i="6"/>
  <c r="P69" i="6" s="1"/>
  <c r="Q69" i="6" s="1"/>
  <c r="R69" i="6" s="1"/>
  <c r="N68" i="6"/>
  <c r="P68" i="6" s="1"/>
  <c r="N67" i="6"/>
  <c r="P67" i="6" s="1"/>
  <c r="Q67" i="6" s="1"/>
  <c r="R67" i="6" s="1"/>
  <c r="N65" i="6"/>
  <c r="P65" i="6" s="1"/>
  <c r="Q65" i="6" s="1"/>
  <c r="R65" i="6" s="1"/>
  <c r="N64" i="6"/>
  <c r="P64" i="6" s="1"/>
  <c r="N63" i="6"/>
  <c r="P63" i="6" s="1"/>
  <c r="Q63" i="6" s="1"/>
  <c r="R63" i="6" s="1"/>
  <c r="N59" i="6"/>
  <c r="P59" i="6" s="1"/>
  <c r="N58" i="6"/>
  <c r="P58" i="6" s="1"/>
  <c r="N55" i="6"/>
  <c r="P55" i="6" s="1"/>
  <c r="Q55" i="6" s="1"/>
  <c r="R55" i="6" s="1"/>
  <c r="N54" i="6"/>
  <c r="P54" i="6" s="1"/>
  <c r="Q54" i="6" s="1"/>
  <c r="R54" i="6" s="1"/>
  <c r="N50" i="6"/>
  <c r="P50" i="6" s="1"/>
  <c r="N49" i="6"/>
  <c r="P49" i="6" s="1"/>
  <c r="Q49" i="6" s="1"/>
  <c r="R49" i="6" s="1"/>
  <c r="N48" i="6"/>
  <c r="P48" i="6" s="1"/>
  <c r="N47" i="6"/>
  <c r="P47" i="6" s="1"/>
  <c r="Q47" i="6" s="1"/>
  <c r="R47" i="6" s="1"/>
  <c r="N46" i="6"/>
  <c r="P46" i="6" s="1"/>
  <c r="Q46" i="6" s="1"/>
  <c r="N45" i="6"/>
  <c r="P45" i="6" s="1"/>
  <c r="Q45" i="6" s="1"/>
  <c r="R45" i="6" s="1"/>
  <c r="N44" i="6"/>
  <c r="P44" i="6" s="1"/>
  <c r="N94" i="6"/>
  <c r="P94" i="6" s="1"/>
  <c r="Q94" i="6" s="1"/>
  <c r="R94" i="6" s="1"/>
  <c r="N93" i="6"/>
  <c r="P93" i="6" s="1"/>
  <c r="Q93" i="6" s="1"/>
  <c r="R93" i="6" s="1"/>
  <c r="N92" i="6"/>
  <c r="P92" i="6" s="1"/>
  <c r="Q92" i="6" s="1"/>
  <c r="R92" i="6" s="1"/>
  <c r="N91" i="6"/>
  <c r="P91" i="6" s="1"/>
  <c r="Q91" i="6" s="1"/>
  <c r="R91" i="6" s="1"/>
  <c r="N90" i="6"/>
  <c r="P90" i="6" s="1"/>
  <c r="Q90" i="6" s="1"/>
  <c r="R90" i="6" s="1"/>
  <c r="N89" i="6"/>
  <c r="P89" i="6" s="1"/>
  <c r="Q89" i="6" s="1"/>
  <c r="R89" i="6" s="1"/>
  <c r="N88" i="6"/>
  <c r="P88" i="6" s="1"/>
  <c r="Q88" i="6" s="1"/>
  <c r="R88" i="6" s="1"/>
  <c r="N87" i="6"/>
  <c r="P87" i="6" s="1"/>
  <c r="Q87" i="6" s="1"/>
  <c r="R87" i="6" s="1"/>
  <c r="N86" i="6"/>
  <c r="P86" i="6" s="1"/>
  <c r="Q86" i="6" s="1"/>
  <c r="R86" i="6" s="1"/>
  <c r="N85" i="6"/>
  <c r="P85" i="6" s="1"/>
  <c r="Q85" i="6" s="1"/>
  <c r="R85" i="6" s="1"/>
  <c r="N84" i="6"/>
  <c r="P84" i="6" s="1"/>
  <c r="Q84" i="6" s="1"/>
  <c r="R84" i="6" s="1"/>
  <c r="N83" i="6"/>
  <c r="P83" i="6" s="1"/>
  <c r="Q83" i="6" s="1"/>
  <c r="R83" i="6" s="1"/>
  <c r="N82" i="6"/>
  <c r="P82" i="6" s="1"/>
  <c r="Q82" i="6" s="1"/>
  <c r="R82" i="6" s="1"/>
  <c r="N81" i="6"/>
  <c r="P81" i="6" s="1"/>
  <c r="Q81" i="6" s="1"/>
  <c r="R81" i="6" s="1"/>
  <c r="N80" i="6"/>
  <c r="P80" i="6" s="1"/>
  <c r="Q80" i="6" s="1"/>
  <c r="R80" i="6" s="1"/>
  <c r="N79" i="6"/>
  <c r="P79" i="6" s="1"/>
  <c r="N78" i="6"/>
  <c r="P78" i="6" s="1"/>
  <c r="Q78" i="6" s="1"/>
  <c r="R78" i="6" s="1"/>
  <c r="N77" i="6"/>
  <c r="P77" i="6" s="1"/>
  <c r="Q77" i="6" s="1"/>
  <c r="R77" i="6" s="1"/>
  <c r="N73" i="6"/>
  <c r="P73" i="6" s="1"/>
  <c r="Q73" i="6" s="1"/>
  <c r="R73" i="6" s="1"/>
  <c r="Q72" i="6"/>
  <c r="R72" i="6" s="1"/>
  <c r="Q68" i="6"/>
  <c r="R68" i="6" s="1"/>
  <c r="N66" i="6"/>
  <c r="P66" i="6" s="1"/>
  <c r="N62" i="6"/>
  <c r="P62" i="6" s="1"/>
  <c r="N61" i="6"/>
  <c r="P61" i="6" s="1"/>
  <c r="Q61" i="6" s="1"/>
  <c r="R61" i="6" s="1"/>
  <c r="N60" i="6"/>
  <c r="P60" i="6" s="1"/>
  <c r="Q60" i="6" s="1"/>
  <c r="R60" i="6" s="1"/>
  <c r="N57" i="6"/>
  <c r="P57" i="6" s="1"/>
  <c r="Q57" i="6" s="1"/>
  <c r="R57" i="6" s="1"/>
  <c r="N56" i="6"/>
  <c r="P56" i="6" s="1"/>
  <c r="N53" i="6"/>
  <c r="P53" i="6" s="1"/>
  <c r="N52" i="6"/>
  <c r="P52" i="6" s="1"/>
  <c r="Q52" i="6" s="1"/>
  <c r="R52" i="6" s="1"/>
  <c r="N51" i="6"/>
  <c r="P51" i="6" s="1"/>
  <c r="Q51" i="6" s="1"/>
  <c r="R51" i="6" s="1"/>
  <c r="N43" i="6"/>
  <c r="P43" i="6" s="1"/>
  <c r="Q43" i="6" s="1"/>
  <c r="R43" i="6" s="1"/>
  <c r="N42" i="6"/>
  <c r="P42" i="6" s="1"/>
  <c r="N41" i="6"/>
  <c r="P41" i="6" s="1"/>
  <c r="Q41" i="6" s="1"/>
  <c r="R41" i="6" s="1"/>
  <c r="N40" i="6"/>
  <c r="P40" i="6" s="1"/>
  <c r="Q40" i="6" s="1"/>
  <c r="R40" i="6" s="1"/>
  <c r="N39" i="6"/>
  <c r="P39" i="6" s="1"/>
  <c r="Q39" i="6" s="1"/>
  <c r="R39" i="6" s="1"/>
  <c r="N38" i="6"/>
  <c r="P38" i="6" s="1"/>
  <c r="Q38" i="6" s="1"/>
  <c r="R38" i="6" s="1"/>
  <c r="N37" i="6"/>
  <c r="P37" i="6" s="1"/>
  <c r="N36" i="6"/>
  <c r="P36" i="6" s="1"/>
  <c r="Q36" i="6" s="1"/>
  <c r="R36" i="6" s="1"/>
  <c r="N35" i="6"/>
  <c r="P35" i="6" s="1"/>
  <c r="Q35" i="6" s="1"/>
  <c r="R35" i="6" s="1"/>
  <c r="N34" i="6"/>
  <c r="P34" i="6" s="1"/>
  <c r="Q34" i="6" s="1"/>
  <c r="R34" i="6" s="1"/>
  <c r="N33" i="6"/>
  <c r="P33" i="6" s="1"/>
  <c r="Q33" i="6" s="1"/>
  <c r="R33" i="6" s="1"/>
  <c r="N32" i="6"/>
  <c r="P32" i="6" s="1"/>
  <c r="N31" i="6"/>
  <c r="P31" i="6" s="1"/>
  <c r="Q31" i="6" s="1"/>
  <c r="R31" i="6" s="1"/>
  <c r="N30" i="6"/>
  <c r="P30" i="6" s="1"/>
  <c r="Q30" i="6" s="1"/>
  <c r="R30" i="6" s="1"/>
  <c r="N29" i="6"/>
  <c r="P29" i="6" s="1"/>
  <c r="Q29" i="6" s="1"/>
  <c r="R29" i="6" s="1"/>
  <c r="N28" i="6"/>
  <c r="P28" i="6" s="1"/>
  <c r="Q28" i="6" s="1"/>
  <c r="R28" i="6" s="1"/>
  <c r="N27" i="6"/>
  <c r="P27" i="6" s="1"/>
  <c r="Q27" i="6" s="1"/>
  <c r="R27" i="6" s="1"/>
  <c r="N26" i="6"/>
  <c r="P26" i="6" s="1"/>
  <c r="N25" i="6"/>
  <c r="P25" i="6" s="1"/>
  <c r="Q25" i="6" s="1"/>
  <c r="R25" i="6" s="1"/>
  <c r="N24" i="6"/>
  <c r="P24" i="6" s="1"/>
  <c r="N23" i="6"/>
  <c r="P23" i="6" s="1"/>
  <c r="N22" i="6"/>
  <c r="P22" i="6" s="1"/>
  <c r="N21" i="6"/>
  <c r="P21" i="6" s="1"/>
  <c r="N20" i="6"/>
  <c r="P20" i="6" s="1"/>
  <c r="N19" i="6"/>
  <c r="P19" i="6" s="1"/>
  <c r="N18" i="6"/>
  <c r="P18" i="6" s="1"/>
  <c r="N17" i="6"/>
  <c r="P17" i="6" s="1"/>
  <c r="N16" i="6"/>
  <c r="P16" i="6" s="1"/>
  <c r="N15" i="6"/>
  <c r="P15" i="6" s="1"/>
  <c r="N14" i="6"/>
  <c r="P14" i="6" s="1"/>
  <c r="Q14" i="6" s="1"/>
  <c r="R14" i="6" s="1"/>
  <c r="N13" i="6"/>
  <c r="P13" i="6" s="1"/>
  <c r="Q13" i="6" s="1"/>
  <c r="R13" i="6" s="1"/>
  <c r="N12" i="6"/>
  <c r="P12" i="6" s="1"/>
  <c r="N11" i="6"/>
  <c r="P11" i="6" s="1"/>
  <c r="N10" i="6"/>
  <c r="P10" i="6" s="1"/>
  <c r="Q10" i="6" s="1"/>
  <c r="R10" i="6" s="1"/>
  <c r="N9" i="6"/>
  <c r="P9" i="6" s="1"/>
  <c r="N8" i="6"/>
  <c r="P8" i="6" s="1"/>
  <c r="N7" i="6"/>
  <c r="P7" i="6" s="1"/>
  <c r="Q7" i="6" s="1"/>
  <c r="R7" i="6" s="1"/>
  <c r="N6" i="6"/>
  <c r="P6" i="6" s="1"/>
  <c r="Q6" i="6" s="1"/>
  <c r="R6" i="6" s="1"/>
  <c r="N5" i="6"/>
  <c r="P5" i="6" s="1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2" i="2"/>
  <c r="C52" i="2"/>
  <c r="D50" i="2"/>
  <c r="C50" i="2"/>
  <c r="D49" i="2"/>
  <c r="C49" i="2"/>
  <c r="D48" i="2"/>
  <c r="C48" i="2"/>
  <c r="D47" i="2"/>
  <c r="C47" i="2"/>
  <c r="D46" i="2"/>
  <c r="C46" i="2"/>
  <c r="D44" i="2"/>
  <c r="C44" i="2"/>
  <c r="D43" i="2"/>
  <c r="C43" i="2"/>
  <c r="D41" i="2"/>
  <c r="C41" i="2"/>
  <c r="D32" i="2"/>
  <c r="C32" i="2"/>
  <c r="D31" i="2"/>
  <c r="C31" i="2"/>
  <c r="D30" i="2"/>
  <c r="C30" i="2"/>
  <c r="D29" i="2"/>
  <c r="C29" i="2"/>
  <c r="D28" i="2"/>
  <c r="C28" i="2"/>
  <c r="J23" i="2"/>
  <c r="I23" i="2"/>
  <c r="J22" i="2"/>
  <c r="I22" i="2"/>
  <c r="J21" i="2"/>
  <c r="I21" i="2"/>
  <c r="J20" i="2"/>
  <c r="I20" i="2"/>
  <c r="D19" i="2"/>
  <c r="C19" i="2"/>
  <c r="D18" i="2"/>
  <c r="C18" i="2"/>
  <c r="D17" i="2"/>
  <c r="C17" i="2"/>
  <c r="J16" i="2"/>
  <c r="I16" i="2"/>
  <c r="D16" i="2"/>
  <c r="L17" i="10" l="1"/>
  <c r="M17" i="10" s="1"/>
  <c r="I17" i="11"/>
  <c r="L16" i="10"/>
  <c r="M16" i="10" s="1"/>
  <c r="I16" i="11"/>
  <c r="L15" i="10"/>
  <c r="M15" i="10" s="1"/>
  <c r="I15" i="11"/>
  <c r="L14" i="10"/>
  <c r="M14" i="10" s="1"/>
  <c r="I14" i="11"/>
  <c r="L13" i="10"/>
  <c r="M13" i="10" s="1"/>
  <c r="I13" i="11"/>
  <c r="L12" i="10"/>
  <c r="M12" i="10" s="1"/>
  <c r="I12" i="11"/>
  <c r="L11" i="10"/>
  <c r="M11" i="10" s="1"/>
  <c r="I11" i="11"/>
  <c r="L10" i="10"/>
  <c r="M10" i="10" s="1"/>
  <c r="I10" i="11"/>
  <c r="L9" i="10"/>
  <c r="M9" i="10" s="1"/>
  <c r="I9" i="11"/>
  <c r="L8" i="10"/>
  <c r="M8" i="10" s="1"/>
  <c r="I8" i="11"/>
  <c r="L7" i="10"/>
  <c r="M7" i="10" s="1"/>
  <c r="I7" i="11"/>
  <c r="L6" i="10"/>
  <c r="M6" i="10" s="1"/>
  <c r="I6" i="11"/>
  <c r="H5" i="11"/>
  <c r="H30" i="11" s="1"/>
  <c r="J32" i="10"/>
  <c r="L5" i="10"/>
  <c r="I5" i="11"/>
  <c r="K32" i="10"/>
  <c r="N51" i="8"/>
  <c r="O51" i="8" s="1"/>
  <c r="K49" i="9"/>
  <c r="L49" i="9" s="1"/>
  <c r="M49" i="9" s="1"/>
  <c r="N50" i="8"/>
  <c r="O50" i="8" s="1"/>
  <c r="K48" i="9"/>
  <c r="L48" i="9" s="1"/>
  <c r="M48" i="9" s="1"/>
  <c r="N49" i="8"/>
  <c r="O49" i="8" s="1"/>
  <c r="K47" i="9"/>
  <c r="L47" i="9" s="1"/>
  <c r="M47" i="9" s="1"/>
  <c r="N48" i="8"/>
  <c r="O48" i="8" s="1"/>
  <c r="K46" i="9"/>
  <c r="L46" i="9" s="1"/>
  <c r="M46" i="9" s="1"/>
  <c r="N47" i="8"/>
  <c r="O47" i="8" s="1"/>
  <c r="K45" i="9"/>
  <c r="L45" i="9" s="1"/>
  <c r="M45" i="9" s="1"/>
  <c r="N46" i="8"/>
  <c r="O46" i="8" s="1"/>
  <c r="K44" i="9"/>
  <c r="L44" i="9" s="1"/>
  <c r="M44" i="9" s="1"/>
  <c r="N44" i="8"/>
  <c r="O44" i="8" s="1"/>
  <c r="K43" i="9"/>
  <c r="L43" i="9" s="1"/>
  <c r="M43" i="9" s="1"/>
  <c r="N43" i="8"/>
  <c r="O43" i="8" s="1"/>
  <c r="K42" i="9"/>
  <c r="N42" i="8"/>
  <c r="O42" i="8" s="1"/>
  <c r="K41" i="9"/>
  <c r="N41" i="8"/>
  <c r="O41" i="8" s="1"/>
  <c r="K40" i="9"/>
  <c r="N40" i="8"/>
  <c r="O40" i="8" s="1"/>
  <c r="K39" i="9"/>
  <c r="N39" i="8"/>
  <c r="O39" i="8" s="1"/>
  <c r="K38" i="9"/>
  <c r="N38" i="8"/>
  <c r="O38" i="8" s="1"/>
  <c r="K37" i="9"/>
  <c r="N37" i="8"/>
  <c r="O37" i="8" s="1"/>
  <c r="K36" i="9"/>
  <c r="N36" i="8"/>
  <c r="O36" i="8" s="1"/>
  <c r="K35" i="9"/>
  <c r="N35" i="8"/>
  <c r="O35" i="8" s="1"/>
  <c r="K34" i="9"/>
  <c r="N34" i="8"/>
  <c r="O34" i="8" s="1"/>
  <c r="K33" i="9"/>
  <c r="N33" i="8"/>
  <c r="O33" i="8" s="1"/>
  <c r="K32" i="9"/>
  <c r="N32" i="8"/>
  <c r="O32" i="8" s="1"/>
  <c r="K31" i="9"/>
  <c r="N31" i="8"/>
  <c r="O31" i="8" s="1"/>
  <c r="K30" i="9"/>
  <c r="N30" i="8"/>
  <c r="O30" i="8" s="1"/>
  <c r="K29" i="9"/>
  <c r="N29" i="8"/>
  <c r="O29" i="8" s="1"/>
  <c r="K28" i="9"/>
  <c r="N28" i="8"/>
  <c r="O28" i="8" s="1"/>
  <c r="K27" i="9"/>
  <c r="N27" i="8"/>
  <c r="O27" i="8" s="1"/>
  <c r="K26" i="9"/>
  <c r="N26" i="8"/>
  <c r="O26" i="8" s="1"/>
  <c r="K25" i="9"/>
  <c r="N25" i="8"/>
  <c r="O25" i="8" s="1"/>
  <c r="K24" i="9"/>
  <c r="N23" i="8"/>
  <c r="O23" i="8" s="1"/>
  <c r="K23" i="9"/>
  <c r="N22" i="8"/>
  <c r="O22" i="8" s="1"/>
  <c r="K22" i="9"/>
  <c r="N21" i="8"/>
  <c r="O21" i="8" s="1"/>
  <c r="K21" i="9"/>
  <c r="N20" i="8"/>
  <c r="O20" i="8" s="1"/>
  <c r="K20" i="9"/>
  <c r="N19" i="8"/>
  <c r="O19" i="8" s="1"/>
  <c r="K19" i="9"/>
  <c r="N18" i="8"/>
  <c r="O18" i="8" s="1"/>
  <c r="K18" i="9"/>
  <c r="N17" i="8"/>
  <c r="O17" i="8" s="1"/>
  <c r="K17" i="9"/>
  <c r="N16" i="8"/>
  <c r="O16" i="8" s="1"/>
  <c r="K16" i="9"/>
  <c r="N15" i="8"/>
  <c r="O15" i="8" s="1"/>
  <c r="K15" i="9"/>
  <c r="N14" i="8"/>
  <c r="O14" i="8" s="1"/>
  <c r="K14" i="9"/>
  <c r="N13" i="8"/>
  <c r="O13" i="8" s="1"/>
  <c r="K13" i="9"/>
  <c r="N12" i="8"/>
  <c r="O12" i="8" s="1"/>
  <c r="K12" i="9"/>
  <c r="N11" i="8"/>
  <c r="O11" i="8" s="1"/>
  <c r="K11" i="9"/>
  <c r="N10" i="8"/>
  <c r="O10" i="8" s="1"/>
  <c r="K10" i="9"/>
  <c r="N9" i="8"/>
  <c r="O9" i="8" s="1"/>
  <c r="K9" i="9"/>
  <c r="N8" i="8"/>
  <c r="O8" i="8" s="1"/>
  <c r="K8" i="9"/>
  <c r="N7" i="8"/>
  <c r="O7" i="8" s="1"/>
  <c r="K7" i="9"/>
  <c r="N6" i="8"/>
  <c r="O6" i="8" s="1"/>
  <c r="K6" i="9"/>
  <c r="N5" i="8"/>
  <c r="M53" i="8"/>
  <c r="K5" i="9"/>
  <c r="L53" i="8"/>
  <c r="J5" i="9"/>
  <c r="J51" i="9" s="1"/>
  <c r="Q156" i="6"/>
  <c r="R156" i="6" s="1"/>
  <c r="K25" i="7"/>
  <c r="L30" i="10"/>
  <c r="M30" i="10" s="1"/>
  <c r="L29" i="10"/>
  <c r="M29" i="10" s="1"/>
  <c r="I27" i="11"/>
  <c r="L28" i="10"/>
  <c r="M28" i="10" s="1"/>
  <c r="I26" i="11"/>
  <c r="L27" i="10"/>
  <c r="M27" i="10" s="1"/>
  <c r="I25" i="11"/>
  <c r="L26" i="10"/>
  <c r="M26" i="10" s="1"/>
  <c r="I24" i="11"/>
  <c r="L25" i="10"/>
  <c r="M25" i="10" s="1"/>
  <c r="I23" i="11"/>
  <c r="L24" i="10"/>
  <c r="M24" i="10" s="1"/>
  <c r="I22" i="11"/>
  <c r="L22" i="10"/>
  <c r="M22" i="10" s="1"/>
  <c r="I21" i="11"/>
  <c r="L21" i="10"/>
  <c r="M21" i="10" s="1"/>
  <c r="I20" i="11"/>
  <c r="L19" i="10"/>
  <c r="M19" i="10" s="1"/>
  <c r="I19" i="11"/>
  <c r="L18" i="10"/>
  <c r="M18" i="10" s="1"/>
  <c r="I18" i="11"/>
  <c r="Q139" i="6"/>
  <c r="R139" i="6" s="1"/>
  <c r="K22" i="7"/>
  <c r="Q126" i="6"/>
  <c r="R126" i="6" s="1"/>
  <c r="K20" i="7"/>
  <c r="Q112" i="6"/>
  <c r="R112" i="6" s="1"/>
  <c r="K15" i="7"/>
  <c r="Q100" i="6"/>
  <c r="R100" i="6" s="1"/>
  <c r="K16" i="7"/>
  <c r="Q64" i="6"/>
  <c r="R64" i="6" s="1"/>
  <c r="K33" i="7"/>
  <c r="L33" i="7" s="1"/>
  <c r="M33" i="7" s="1"/>
  <c r="K12" i="7"/>
  <c r="Q59" i="6"/>
  <c r="R59" i="6" s="1"/>
  <c r="Q58" i="6"/>
  <c r="R58" i="6" s="1"/>
  <c r="K34" i="7"/>
  <c r="L34" i="7" s="1"/>
  <c r="M34" i="7" s="1"/>
  <c r="Q50" i="6"/>
  <c r="R50" i="6" s="1"/>
  <c r="K23" i="7"/>
  <c r="Q79" i="6"/>
  <c r="R79" i="6" s="1"/>
  <c r="K17" i="7"/>
  <c r="Q66" i="6"/>
  <c r="R66" i="6" s="1"/>
  <c r="K18" i="7"/>
  <c r="Q62" i="6"/>
  <c r="R62" i="6" s="1"/>
  <c r="K31" i="7"/>
  <c r="K36" i="7"/>
  <c r="Q56" i="6"/>
  <c r="R56" i="6" s="1"/>
  <c r="Q53" i="6"/>
  <c r="R53" i="6" s="1"/>
  <c r="K37" i="7"/>
  <c r="L37" i="7" s="1"/>
  <c r="M37" i="7" s="1"/>
  <c r="Q42" i="6"/>
  <c r="R42" i="6" s="1"/>
  <c r="K13" i="7"/>
  <c r="Q37" i="6"/>
  <c r="R37" i="6" s="1"/>
  <c r="K14" i="7"/>
  <c r="Q32" i="6"/>
  <c r="R32" i="6" s="1"/>
  <c r="K27" i="7"/>
  <c r="L27" i="7" s="1"/>
  <c r="M27" i="7" s="1"/>
  <c r="Q26" i="6"/>
  <c r="R26" i="6" s="1"/>
  <c r="K29" i="7"/>
  <c r="Q24" i="6"/>
  <c r="R24" i="6" s="1"/>
  <c r="K30" i="7"/>
  <c r="Q23" i="6"/>
  <c r="R23" i="6" s="1"/>
  <c r="K28" i="7"/>
  <c r="Q22" i="6"/>
  <c r="R22" i="6" s="1"/>
  <c r="K35" i="7"/>
  <c r="Q21" i="6"/>
  <c r="R21" i="6" s="1"/>
  <c r="K26" i="7"/>
  <c r="Q20" i="6"/>
  <c r="R20" i="6" s="1"/>
  <c r="K21" i="7"/>
  <c r="Q19" i="6"/>
  <c r="R19" i="6" s="1"/>
  <c r="K24" i="7"/>
  <c r="Q18" i="6"/>
  <c r="R18" i="6" s="1"/>
  <c r="K8" i="7"/>
  <c r="Q17" i="6"/>
  <c r="R17" i="6" s="1"/>
  <c r="K7" i="7"/>
  <c r="Q16" i="6"/>
  <c r="R16" i="6" s="1"/>
  <c r="K10" i="7"/>
  <c r="Q15" i="6"/>
  <c r="R15" i="6" s="1"/>
  <c r="K5" i="7"/>
  <c r="Q12" i="6"/>
  <c r="R12" i="6" s="1"/>
  <c r="K11" i="7"/>
  <c r="Q11" i="6"/>
  <c r="R11" i="6" s="1"/>
  <c r="K9" i="7"/>
  <c r="Q9" i="6"/>
  <c r="R9" i="6" s="1"/>
  <c r="K6" i="7"/>
  <c r="Q8" i="6"/>
  <c r="R8" i="6" s="1"/>
  <c r="K32" i="7"/>
  <c r="Q5" i="6"/>
  <c r="P167" i="6"/>
  <c r="K19" i="7"/>
  <c r="F59" i="2"/>
  <c r="F58" i="2"/>
  <c r="F57" i="2"/>
  <c r="F56" i="2"/>
  <c r="F55" i="2"/>
  <c r="F54" i="2"/>
  <c r="F52" i="2"/>
  <c r="F50" i="2"/>
  <c r="F49" i="2"/>
  <c r="F48" i="2"/>
  <c r="F47" i="2"/>
  <c r="F46" i="2"/>
  <c r="F44" i="2"/>
  <c r="F43" i="2"/>
  <c r="F41" i="2"/>
  <c r="F32" i="2"/>
  <c r="F31" i="2"/>
  <c r="F30" i="2"/>
  <c r="F29" i="2"/>
  <c r="F28" i="2"/>
  <c r="L23" i="2"/>
  <c r="L22" i="2"/>
  <c r="L21" i="2"/>
  <c r="L20" i="2"/>
  <c r="F19" i="2"/>
  <c r="F18" i="2"/>
  <c r="F17" i="2"/>
  <c r="L16" i="2"/>
  <c r="H16" i="11"/>
  <c r="N24" i="8"/>
  <c r="O24" i="8" s="1"/>
  <c r="L23" i="10"/>
  <c r="M23" i="10" s="1"/>
  <c r="L20" i="10"/>
  <c r="M20" i="10" s="1"/>
  <c r="I19" i="2"/>
  <c r="I17" i="2"/>
  <c r="D20" i="2"/>
  <c r="D60" i="2"/>
  <c r="D53" i="2"/>
  <c r="C53" i="2"/>
  <c r="D51" i="2"/>
  <c r="D42" i="2"/>
  <c r="J19" i="2"/>
  <c r="J17" i="2"/>
  <c r="C16" i="2"/>
  <c r="Q48" i="6"/>
  <c r="R48" i="6" s="1"/>
  <c r="R46" i="6"/>
  <c r="Q44" i="6"/>
  <c r="R44" i="6" s="1"/>
  <c r="C51" i="2"/>
  <c r="C42" i="2"/>
  <c r="C20" i="2"/>
  <c r="J17" i="11" l="1"/>
  <c r="K17" i="11" s="1"/>
  <c r="P109" i="2"/>
  <c r="J16" i="11"/>
  <c r="K16" i="11" s="1"/>
  <c r="P108" i="2"/>
  <c r="J15" i="11"/>
  <c r="K15" i="11" s="1"/>
  <c r="P107" i="2"/>
  <c r="J14" i="11"/>
  <c r="K14" i="11" s="1"/>
  <c r="P106" i="2"/>
  <c r="J13" i="11"/>
  <c r="K13" i="11" s="1"/>
  <c r="P105" i="2"/>
  <c r="J12" i="11"/>
  <c r="K12" i="11" s="1"/>
  <c r="P104" i="2"/>
  <c r="J11" i="11"/>
  <c r="K11" i="11" s="1"/>
  <c r="P103" i="2"/>
  <c r="J10" i="11"/>
  <c r="K10" i="11" s="1"/>
  <c r="P102" i="2"/>
  <c r="J9" i="11"/>
  <c r="K9" i="11" s="1"/>
  <c r="P101" i="2"/>
  <c r="J8" i="11"/>
  <c r="K8" i="11" s="1"/>
  <c r="P100" i="2"/>
  <c r="J7" i="11"/>
  <c r="K7" i="11" s="1"/>
  <c r="P99" i="2"/>
  <c r="J6" i="11"/>
  <c r="K6" i="11" s="1"/>
  <c r="P98" i="2"/>
  <c r="I18" i="2"/>
  <c r="I24" i="2" s="1"/>
  <c r="C21" i="2"/>
  <c r="C45" i="2"/>
  <c r="C61" i="2" s="1"/>
  <c r="M5" i="10"/>
  <c r="L32" i="10"/>
  <c r="M32" i="10" s="1"/>
  <c r="J5" i="11"/>
  <c r="I30" i="11"/>
  <c r="P97" i="2"/>
  <c r="J18" i="2"/>
  <c r="D21" i="2"/>
  <c r="D45" i="2"/>
  <c r="I5" i="3"/>
  <c r="L42" i="9"/>
  <c r="M42" i="9" s="1"/>
  <c r="P95" i="2"/>
  <c r="L41" i="9"/>
  <c r="M41" i="9" s="1"/>
  <c r="P94" i="2"/>
  <c r="L40" i="9"/>
  <c r="M40" i="9" s="1"/>
  <c r="P93" i="2"/>
  <c r="L39" i="9"/>
  <c r="M39" i="9" s="1"/>
  <c r="P92" i="2"/>
  <c r="L38" i="9"/>
  <c r="M38" i="9" s="1"/>
  <c r="P91" i="2"/>
  <c r="L37" i="9"/>
  <c r="M37" i="9" s="1"/>
  <c r="P90" i="2"/>
  <c r="L36" i="9"/>
  <c r="M36" i="9" s="1"/>
  <c r="P89" i="2"/>
  <c r="L35" i="9"/>
  <c r="M35" i="9" s="1"/>
  <c r="P88" i="2"/>
  <c r="L34" i="9"/>
  <c r="M34" i="9" s="1"/>
  <c r="P87" i="2"/>
  <c r="L33" i="9"/>
  <c r="M33" i="9" s="1"/>
  <c r="P86" i="2"/>
  <c r="L32" i="9"/>
  <c r="M32" i="9" s="1"/>
  <c r="P85" i="2"/>
  <c r="L31" i="9"/>
  <c r="M31" i="9" s="1"/>
  <c r="P84" i="2"/>
  <c r="L30" i="9"/>
  <c r="M30" i="9" s="1"/>
  <c r="P83" i="2"/>
  <c r="L29" i="9"/>
  <c r="M29" i="9" s="1"/>
  <c r="P82" i="2"/>
  <c r="L28" i="9"/>
  <c r="M28" i="9" s="1"/>
  <c r="P81" i="2"/>
  <c r="L27" i="9"/>
  <c r="M27" i="9" s="1"/>
  <c r="P80" i="2"/>
  <c r="L26" i="9"/>
  <c r="M26" i="9" s="1"/>
  <c r="P79" i="2"/>
  <c r="L25" i="9"/>
  <c r="M25" i="9" s="1"/>
  <c r="P78" i="2"/>
  <c r="L24" i="9"/>
  <c r="M24" i="9" s="1"/>
  <c r="P77" i="2"/>
  <c r="L23" i="9"/>
  <c r="M23" i="9" s="1"/>
  <c r="P76" i="2"/>
  <c r="L22" i="9"/>
  <c r="M22" i="9" s="1"/>
  <c r="P75" i="2"/>
  <c r="L21" i="9"/>
  <c r="M21" i="9" s="1"/>
  <c r="P74" i="2"/>
  <c r="L20" i="9"/>
  <c r="M20" i="9" s="1"/>
  <c r="P73" i="2"/>
  <c r="L19" i="9"/>
  <c r="M19" i="9" s="1"/>
  <c r="P72" i="2"/>
  <c r="L18" i="9"/>
  <c r="M18" i="9" s="1"/>
  <c r="P71" i="2"/>
  <c r="L17" i="9"/>
  <c r="M17" i="9" s="1"/>
  <c r="P70" i="2"/>
  <c r="L16" i="9"/>
  <c r="M16" i="9" s="1"/>
  <c r="P69" i="2"/>
  <c r="L15" i="9"/>
  <c r="M15" i="9" s="1"/>
  <c r="P68" i="2"/>
  <c r="L14" i="9"/>
  <c r="M14" i="9" s="1"/>
  <c r="P67" i="2"/>
  <c r="L13" i="9"/>
  <c r="M13" i="9" s="1"/>
  <c r="P66" i="2"/>
  <c r="L12" i="9"/>
  <c r="M12" i="9" s="1"/>
  <c r="P65" i="2"/>
  <c r="L11" i="9"/>
  <c r="M11" i="9" s="1"/>
  <c r="P64" i="2"/>
  <c r="L10" i="9"/>
  <c r="M10" i="9" s="1"/>
  <c r="P63" i="2"/>
  <c r="L9" i="9"/>
  <c r="M9" i="9" s="1"/>
  <c r="P62" i="2"/>
  <c r="L8" i="9"/>
  <c r="M8" i="9" s="1"/>
  <c r="P61" i="2"/>
  <c r="L7" i="9"/>
  <c r="M7" i="9" s="1"/>
  <c r="P60" i="2"/>
  <c r="L6" i="9"/>
  <c r="M6" i="9" s="1"/>
  <c r="P59" i="2"/>
  <c r="O5" i="8"/>
  <c r="N53" i="8"/>
  <c r="O53" i="8" s="1"/>
  <c r="D33" i="2"/>
  <c r="H5" i="3"/>
  <c r="L5" i="9"/>
  <c r="K51" i="9"/>
  <c r="P58" i="2"/>
  <c r="D5" i="3"/>
  <c r="C33" i="2"/>
  <c r="C34" i="2" s="1"/>
  <c r="F8" i="2"/>
  <c r="L25" i="7"/>
  <c r="M25" i="7" s="1"/>
  <c r="P49" i="2"/>
  <c r="P120" i="2"/>
  <c r="J27" i="11"/>
  <c r="K27" i="11" s="1"/>
  <c r="P119" i="2"/>
  <c r="J26" i="11"/>
  <c r="K26" i="11" s="1"/>
  <c r="P118" i="2"/>
  <c r="J25" i="11"/>
  <c r="K25" i="11" s="1"/>
  <c r="P117" i="2"/>
  <c r="J24" i="11"/>
  <c r="K24" i="11" s="1"/>
  <c r="P116" i="2"/>
  <c r="J23" i="11"/>
  <c r="K23" i="11" s="1"/>
  <c r="P115" i="2"/>
  <c r="J22" i="11"/>
  <c r="K22" i="11" s="1"/>
  <c r="P114" i="2"/>
  <c r="J21" i="11"/>
  <c r="K21" i="11" s="1"/>
  <c r="P113" i="2"/>
  <c r="J20" i="11"/>
  <c r="K20" i="11" s="1"/>
  <c r="P112" i="2"/>
  <c r="J19" i="11"/>
  <c r="K19" i="11" s="1"/>
  <c r="P111" i="2"/>
  <c r="J18" i="11"/>
  <c r="K18" i="11" s="1"/>
  <c r="P110" i="2"/>
  <c r="L22" i="7"/>
  <c r="M22" i="7" s="1"/>
  <c r="P46" i="2"/>
  <c r="L20" i="7"/>
  <c r="M20" i="7" s="1"/>
  <c r="P44" i="2"/>
  <c r="L15" i="7"/>
  <c r="M15" i="7" s="1"/>
  <c r="P39" i="2"/>
  <c r="L16" i="7"/>
  <c r="M16" i="7" s="1"/>
  <c r="P40" i="2"/>
  <c r="L12" i="7"/>
  <c r="M12" i="7" s="1"/>
  <c r="P35" i="2"/>
  <c r="L23" i="7"/>
  <c r="M23" i="7" s="1"/>
  <c r="P47" i="2"/>
  <c r="L17" i="7"/>
  <c r="M17" i="7" s="1"/>
  <c r="P41" i="2"/>
  <c r="L18" i="7"/>
  <c r="M18" i="7" s="1"/>
  <c r="P42" i="2"/>
  <c r="L31" i="7"/>
  <c r="M31" i="7" s="1"/>
  <c r="P54" i="2"/>
  <c r="L36" i="7"/>
  <c r="M36" i="7" s="1"/>
  <c r="P57" i="2"/>
  <c r="L13" i="7"/>
  <c r="M13" i="7" s="1"/>
  <c r="P36" i="2"/>
  <c r="L14" i="7"/>
  <c r="M14" i="7" s="1"/>
  <c r="P37" i="2"/>
  <c r="L29" i="7"/>
  <c r="M29" i="7" s="1"/>
  <c r="P52" i="2"/>
  <c r="L30" i="7"/>
  <c r="M30" i="7" s="1"/>
  <c r="P53" i="2"/>
  <c r="L28" i="7"/>
  <c r="M28" i="7" s="1"/>
  <c r="P51" i="2"/>
  <c r="L35" i="7"/>
  <c r="M35" i="7" s="1"/>
  <c r="P56" i="2"/>
  <c r="L26" i="7"/>
  <c r="M26" i="7" s="1"/>
  <c r="P50" i="2"/>
  <c r="L21" i="7"/>
  <c r="M21" i="7" s="1"/>
  <c r="P45" i="2"/>
  <c r="L24" i="7"/>
  <c r="M24" i="7" s="1"/>
  <c r="P48" i="2"/>
  <c r="L8" i="7"/>
  <c r="M8" i="7" s="1"/>
  <c r="P31" i="2"/>
  <c r="L7" i="7"/>
  <c r="M7" i="7" s="1"/>
  <c r="P30" i="2"/>
  <c r="L10" i="7"/>
  <c r="M10" i="7" s="1"/>
  <c r="P33" i="2"/>
  <c r="L5" i="7"/>
  <c r="K39" i="7"/>
  <c r="P28" i="2"/>
  <c r="L11" i="7"/>
  <c r="M11" i="7" s="1"/>
  <c r="P34" i="2"/>
  <c r="L9" i="7"/>
  <c r="M9" i="7" s="1"/>
  <c r="P32" i="2"/>
  <c r="L6" i="7"/>
  <c r="M6" i="7" s="1"/>
  <c r="P29" i="2"/>
  <c r="L32" i="7"/>
  <c r="M32" i="7" s="1"/>
  <c r="P55" i="2"/>
  <c r="R5" i="6"/>
  <c r="Q167" i="6"/>
  <c r="B8" i="2"/>
  <c r="C5" i="3"/>
  <c r="G5" i="3"/>
  <c r="L19" i="7"/>
  <c r="M19" i="7" s="1"/>
  <c r="P43" i="2"/>
  <c r="F20" i="2"/>
  <c r="F60" i="2"/>
  <c r="F53" i="2"/>
  <c r="F51" i="2"/>
  <c r="F42" i="2"/>
  <c r="L19" i="2"/>
  <c r="L17" i="2"/>
  <c r="F16" i="2"/>
  <c r="K5" i="11" l="1"/>
  <c r="J30" i="11"/>
  <c r="K30" i="11" s="1"/>
  <c r="L18" i="2"/>
  <c r="L24" i="2" s="1"/>
  <c r="K18" i="2"/>
  <c r="F21" i="2"/>
  <c r="F22" i="2" s="1"/>
  <c r="E21" i="2"/>
  <c r="F45" i="2"/>
  <c r="F61" i="2" s="1"/>
  <c r="D34" i="2"/>
  <c r="E28" i="2"/>
  <c r="E29" i="2"/>
  <c r="E30" i="2"/>
  <c r="E31" i="2"/>
  <c r="E32" i="2"/>
  <c r="F33" i="2"/>
  <c r="F34" i="2" s="1"/>
  <c r="E33" i="2"/>
  <c r="M5" i="9"/>
  <c r="L51" i="9"/>
  <c r="M51" i="9" s="1"/>
  <c r="M5" i="7"/>
  <c r="L39" i="7"/>
  <c r="M39" i="7" s="1"/>
  <c r="I29" i="2"/>
  <c r="J29" i="2"/>
  <c r="K29" i="2"/>
  <c r="L29" i="2" s="1"/>
  <c r="I30" i="2"/>
  <c r="J30" i="2"/>
  <c r="K30" i="2"/>
  <c r="L30" i="2" s="1"/>
  <c r="I31" i="2"/>
  <c r="J31" i="2"/>
  <c r="K31" i="2"/>
  <c r="L31" i="2" s="1"/>
  <c r="I32" i="2"/>
  <c r="J32" i="2"/>
  <c r="K32" i="2"/>
  <c r="L32" i="2" s="1"/>
  <c r="I33" i="2"/>
  <c r="J33" i="2"/>
  <c r="K33" i="2"/>
  <c r="L33" i="2" s="1"/>
  <c r="I34" i="2"/>
  <c r="J34" i="2"/>
  <c r="K34" i="2"/>
  <c r="L34" i="2" s="1"/>
  <c r="I35" i="2"/>
  <c r="J35" i="2"/>
  <c r="K35" i="2"/>
  <c r="L35" i="2" s="1"/>
  <c r="I36" i="2"/>
  <c r="J36" i="2"/>
  <c r="K36" i="2"/>
  <c r="L36" i="2" s="1"/>
  <c r="I37" i="2"/>
  <c r="J37" i="2"/>
  <c r="K37" i="2"/>
  <c r="L37" i="2" s="1"/>
  <c r="I28" i="2"/>
  <c r="J28" i="2"/>
  <c r="K28" i="2"/>
  <c r="L28" i="2" s="1"/>
  <c r="R167" i="6"/>
  <c r="J8" i="2"/>
  <c r="B11" i="2"/>
  <c r="E20" i="2"/>
  <c r="K23" i="2"/>
  <c r="K21" i="2"/>
  <c r="K20" i="2"/>
  <c r="E18" i="2"/>
  <c r="K16" i="2"/>
  <c r="E5" i="3"/>
  <c r="F5" i="3" s="1"/>
  <c r="K19" i="2"/>
  <c r="K17" i="2"/>
  <c r="C22" i="2"/>
  <c r="K22" i="2"/>
  <c r="E19" i="2"/>
  <c r="E17" i="2"/>
  <c r="J24" i="2"/>
  <c r="D22" i="2"/>
  <c r="D61" i="2"/>
  <c r="E16" i="2"/>
  <c r="E45" i="2" l="1"/>
  <c r="E51" i="2"/>
  <c r="E60" i="2"/>
  <c r="E42" i="2"/>
  <c r="E53" i="2"/>
  <c r="E59" i="2"/>
  <c r="E58" i="2"/>
  <c r="E57" i="2"/>
  <c r="E56" i="2"/>
  <c r="E55" i="2"/>
  <c r="E54" i="2"/>
  <c r="E52" i="2"/>
  <c r="E50" i="2"/>
  <c r="E49" i="2"/>
  <c r="E48" i="2"/>
  <c r="E47" i="2"/>
  <c r="E46" i="2"/>
  <c r="E44" i="2"/>
  <c r="E43" i="2"/>
  <c r="E41" i="2"/>
  <c r="K24" i="2"/>
  <c r="E22" i="2"/>
  <c r="E34" i="2"/>
  <c r="E61" i="2" l="1"/>
</calcChain>
</file>

<file path=xl/sharedStrings.xml><?xml version="1.0" encoding="utf-8"?>
<sst xmlns="http://schemas.openxmlformats.org/spreadsheetml/2006/main" count="2542" uniqueCount="294">
  <si>
    <t>FX &amp; ASSUMPTIONS</t>
  </si>
  <si>
    <t>Item</t>
  </si>
  <si>
    <t>Value</t>
  </si>
  <si>
    <t>Notes</t>
  </si>
  <si>
    <t>As-of Date</t>
  </si>
  <si>
    <t>Reporting date — updated weekly.</t>
  </si>
  <si>
    <t>USD / THB Spot</t>
  </si>
  <si>
    <t>Auto-fetched via Yahoo Finance on 2026-05-31</t>
  </si>
  <si>
    <t>Reporting Currency</t>
  </si>
  <si>
    <t>THB</t>
  </si>
  <si>
    <t>Base currency for all totals.</t>
  </si>
  <si>
    <t>Total Lots (MF / EQ / Crypto)</t>
  </si>
  <si>
    <t>160 / 41 / 26</t>
  </si>
  <si>
    <t>Record count from source file.</t>
  </si>
  <si>
    <t>TH INVESTMENT — PRIVATE BANKING SUMMARY</t>
  </si>
  <si>
    <t>Weekly Update Workflow</t>
  </si>
  <si>
    <t>1.  Open "FX &amp; Assumptions" — update the As-of Date and USDTHB spot rate (yellow cells).</t>
  </si>
  <si>
    <t>2.  Open "Prices" — update the yellow "Current Price / NAV" column for every MF, Equity, and Crypto row.</t>
  </si>
  <si>
    <t>3.  All holdings, rollups, and the Dashboard refresh automatically once prices are entered.</t>
  </si>
  <si>
    <t>4.  Open "Weekly Snapshot" — copy the "Current Week" row (values only) into the next empty row to log week-over-week history.</t>
  </si>
  <si>
    <t>5.  To reclassify holdings (asset class / geography / theme / tax status), edit the "Reference" sheet.</t>
  </si>
  <si>
    <t>6.  Color coding: Yellow fill + blue text = user input   |   Black text = formula   |   Green text = cross-sheet link.</t>
  </si>
  <si>
    <t>7.  Never overwrite black or green text — those are live formulas.</t>
  </si>
  <si>
    <t>Sheet Map</t>
  </si>
  <si>
    <t xml:space="preserve">   •  Dashboard — One-page executive summary — total NAV, total P&amp;L, asset-class / geography / tax-status allocation, top 10 holdings, breakdown tables.</t>
  </si>
  <si>
    <t xml:space="preserve">   •  Weekly Snapshot — History log of total portfolio value and P&amp;L per week; append one row per week.</t>
  </si>
  <si>
    <t xml:space="preserve">   •  FX &amp; Assumptions — As-of date and USDTHB rate — the single source of truth for every FX conversion.</t>
  </si>
  <si>
    <t xml:space="preserve">   •  Prices — Weekly price update table. Update yellow prices; all holdings sheets pull values from here.</t>
  </si>
  <si>
    <t xml:space="preserve">   •  MF – Lots — Lot-level mutual fund holdings (one row per purchase transaction). Full granular detail: units, avg cost, current NAV, P&amp;L.</t>
  </si>
  <si>
    <t xml:space="preserve">   •  MF – by Fund — Mutual fund rollup aggregated by fund name across all lots.</t>
  </si>
  <si>
    <t xml:space="preserve">   •  Equities – Lots — Lot-level equity holdings (Thai + US + ETF), with native and THB-converted P&amp;L.</t>
  </si>
  <si>
    <t xml:space="preserve">   •  Equities – by Ticker — Equity rollup aggregated by ticker.</t>
  </si>
  <si>
    <t xml:space="preserve">   •  Crypto – Lots — Lot-level crypto positions across OKX / Binance / Bitkub / Bitazza.</t>
  </si>
  <si>
    <t xml:space="preserve">   •  Crypto – by Coin — Crypto rollup aggregated by coin.</t>
  </si>
  <si>
    <t xml:space="preserve">   •  Reference — Master mapping: asset class, sub-class, geography, theme, tax status, currency, FX multiplier. Edit here to reclassify.</t>
  </si>
  <si>
    <t>Design notes</t>
  </si>
  <si>
    <t>•  Every holding is stored lot-by-lot so cost basis, purchase date, and lock-up (Sellable Year) are preserved for tax/withdrawal planning.</t>
  </si>
  <si>
    <t>•  Currency handling: THB holdings multiply by 1, USD / USDT holdings multiply by the single FXRate cell — change one cell and the entire workbook revalues.</t>
  </si>
  <si>
    <t>•  Missing prices (blank cells on the Prices sheet) are highlighted yellow. The rest of the workbook handles zeros safely via IFERROR — no division-by-zero issues.</t>
  </si>
  <si>
    <t>•  Rollups are SUMIFS-driven, so adding a new lot at the bottom of a Lots sheet (within the pre-built range) is automatically picked up.</t>
  </si>
  <si>
    <t>PORTFOLIO DASHBOARD</t>
  </si>
  <si>
    <t>As of:</t>
  </si>
  <si>
    <t>SUMMARY METRICS</t>
  </si>
  <si>
    <t>TOTAL PORTFOLIO VALUE (THB)</t>
  </si>
  <si>
    <t>TOTAL INVESTED (THB)</t>
  </si>
  <si>
    <t>UNREALIZED P&amp;L (THB)</t>
  </si>
  <si>
    <t>P&amp;L % (CUMULATIVE)</t>
  </si>
  <si>
    <t>MF  |  EQUITIES  |  CRYPTO</t>
  </si>
  <si>
    <t>USD / THB USED</t>
  </si>
  <si>
    <t>ASSET CLASS ALLOCATION (THB)</t>
  </si>
  <si>
    <t>GEOGRAPHY ALLOCATION (THB)</t>
  </si>
  <si>
    <t>Asset Class</t>
  </si>
  <si>
    <t>Invested</t>
  </si>
  <si>
    <t>Current Value</t>
  </si>
  <si>
    <t>% of Port</t>
  </si>
  <si>
    <t>P&amp;L</t>
  </si>
  <si>
    <t>Geography</t>
  </si>
  <si>
    <t>Equity</t>
  </si>
  <si>
    <t>Thailand</t>
  </si>
  <si>
    <t>Fixed Income</t>
  </si>
  <si>
    <t>United States</t>
  </si>
  <si>
    <t>Multi-Asset</t>
  </si>
  <si>
    <t>Global</t>
  </si>
  <si>
    <t>Alternatives</t>
  </si>
  <si>
    <t>South Korea</t>
  </si>
  <si>
    <t>Cash &amp; Equivalents</t>
  </si>
  <si>
    <t>Vietnam</t>
  </si>
  <si>
    <t>Digital Assets</t>
  </si>
  <si>
    <t>China</t>
  </si>
  <si>
    <t>TOTAL</t>
  </si>
  <si>
    <t>Japan</t>
  </si>
  <si>
    <t>Europe</t>
  </si>
  <si>
    <t>TAX STATUS BREAKDOWN</t>
  </si>
  <si>
    <t>TOP 10 HOLDINGS (by Current Value)</t>
  </si>
  <si>
    <t>Tax Status</t>
  </si>
  <si>
    <t>Rank</t>
  </si>
  <si>
    <t>Name</t>
  </si>
  <si>
    <t>Custodian</t>
  </si>
  <si>
    <t>Pool_Name</t>
  </si>
  <si>
    <t>Pool_Custodian</t>
  </si>
  <si>
    <t>Pool_Value</t>
  </si>
  <si>
    <t>Open-Ended</t>
  </si>
  <si>
    <t>RMF</t>
  </si>
  <si>
    <t>SSF</t>
  </si>
  <si>
    <t>Thai ESG</t>
  </si>
  <si>
    <t>LTF</t>
  </si>
  <si>
    <t>Taxable</t>
  </si>
  <si>
    <t>THEME / SECTOR ALLOCATION (top themes)</t>
  </si>
  <si>
    <t>Theme</t>
  </si>
  <si>
    <t>US Large Cap</t>
  </si>
  <si>
    <t>Korea</t>
  </si>
  <si>
    <t>Thai Equity</t>
  </si>
  <si>
    <t>Healthcare</t>
  </si>
  <si>
    <t>Crypto (All)</t>
  </si>
  <si>
    <t>Vietnam Equity</t>
  </si>
  <si>
    <t>Thai Single Stock</t>
  </si>
  <si>
    <t>Thai Balanced</t>
  </si>
  <si>
    <t>TH Gov Bond</t>
  </si>
  <si>
    <t>China Equity</t>
  </si>
  <si>
    <t>US Single Stock</t>
  </si>
  <si>
    <t>Gold</t>
  </si>
  <si>
    <t>Brokerage Cash</t>
  </si>
  <si>
    <t>Thai SET50</t>
  </si>
  <si>
    <t>AI / Innovation</t>
  </si>
  <si>
    <t>Japan Equity</t>
  </si>
  <si>
    <t>Semiconductor</t>
  </si>
  <si>
    <t>Europe Equity</t>
  </si>
  <si>
    <t>TH Short-Term Bond</t>
  </si>
  <si>
    <t>TH Money Market</t>
  </si>
  <si>
    <t>WEEKLY SNAPSHOT LOG</t>
  </si>
  <si>
    <t>Row 5 shows the live current-week snapshot. Each Friday, copy row 5 (values only) into the next empty row below to preserve history.</t>
  </si>
  <si>
    <t>Date</t>
  </si>
  <si>
    <t>Total Value</t>
  </si>
  <si>
    <t>Total Invested</t>
  </si>
  <si>
    <t>Unrealized P&amp;L</t>
  </si>
  <si>
    <t>P&amp;L %</t>
  </si>
  <si>
    <t>MF Value</t>
  </si>
  <si>
    <t>EQ Value</t>
  </si>
  <si>
    <t>Crypto Value</t>
  </si>
  <si>
    <t>USDTHB</t>
  </si>
  <si>
    <t>Live (current workbook state)</t>
  </si>
  <si>
    <t>Auto weekly snapshot</t>
  </si>
  <si>
    <t>PRICES — Weekly Update Sheet  (update yellow "Current Price / NAV" column every week)</t>
  </si>
  <si>
    <t>Key (auto)</t>
  </si>
  <si>
    <t>Type</t>
  </si>
  <si>
    <t>Current Price / NAV</t>
  </si>
  <si>
    <t>Currency</t>
  </si>
  <si>
    <t>Last Update</t>
  </si>
  <si>
    <t>CHECK</t>
  </si>
  <si>
    <t>Mutual Fund</t>
  </si>
  <si>
    <t>ASP-AIEQ</t>
  </si>
  <si>
    <t>Asset Plus</t>
  </si>
  <si>
    <t>OK</t>
  </si>
  <si>
    <t>ASP-DGOV-R</t>
  </si>
  <si>
    <t>ASP-EUG</t>
  </si>
  <si>
    <t>ASP-EVOCHINA</t>
  </si>
  <si>
    <t>ASP-FLEXPLUS</t>
  </si>
  <si>
    <t>ASP-JHC</t>
  </si>
  <si>
    <t>ASP-SME-A</t>
  </si>
  <si>
    <t>ASP-THGEQ-T</t>
  </si>
  <si>
    <t>B-EQUITY</t>
  </si>
  <si>
    <t>BBLAM</t>
  </si>
  <si>
    <t>B-MIXED75</t>
  </si>
  <si>
    <t>BCARERMF</t>
  </si>
  <si>
    <t>BERMF</t>
  </si>
  <si>
    <t>BFLRMF</t>
  </si>
  <si>
    <t>BFRMF</t>
  </si>
  <si>
    <t>ES-MF</t>
  </si>
  <si>
    <t>East Spring</t>
  </si>
  <si>
    <t>ES-US500RMF</t>
  </si>
  <si>
    <t>K-CHX</t>
  </si>
  <si>
    <t>K Asset</t>
  </si>
  <si>
    <t>K-GHRMF</t>
  </si>
  <si>
    <t>K-TNZ-ThaiESG</t>
  </si>
  <si>
    <t>K-USA-A(D)</t>
  </si>
  <si>
    <t>K-VIETNAMRMF</t>
  </si>
  <si>
    <t>K-Vietnam</t>
  </si>
  <si>
    <t>KF-ASET50-L</t>
  </si>
  <si>
    <t>Krungsri AM</t>
  </si>
  <si>
    <t>SCBGOLDH</t>
  </si>
  <si>
    <t>SCBAM</t>
  </si>
  <si>
    <t>SCBKEQTG</t>
  </si>
  <si>
    <t>SCBSEMI(A)</t>
  </si>
  <si>
    <t>SCBSET-SSFX</t>
  </si>
  <si>
    <t>SCBSFF</t>
  </si>
  <si>
    <t>SCBTAPX(25D)</t>
  </si>
  <si>
    <t>TCMF</t>
  </si>
  <si>
    <t>UOBAM</t>
  </si>
  <si>
    <t>UOBSG-N</t>
  </si>
  <si>
    <t>UTSB-THAIESG</t>
  </si>
  <si>
    <t>UVALUE-DIV-LD</t>
  </si>
  <si>
    <t>BANPU</t>
  </si>
  <si>
    <t>Asia Plus Securities</t>
  </si>
  <si>
    <t>BBL</t>
  </si>
  <si>
    <t>BLAND</t>
  </si>
  <si>
    <t>BWG</t>
  </si>
  <si>
    <t>BWG-W7</t>
  </si>
  <si>
    <t>MANUAL</t>
  </si>
  <si>
    <t>GSTEEL</t>
  </si>
  <si>
    <t>GULF</t>
  </si>
  <si>
    <t>NETBAY</t>
  </si>
  <si>
    <t>OSP</t>
  </si>
  <si>
    <t>RJH</t>
  </si>
  <si>
    <t>SAMART</t>
  </si>
  <si>
    <t>SAWAD</t>
  </si>
  <si>
    <t>WORK</t>
  </si>
  <si>
    <t>HUMAN</t>
  </si>
  <si>
    <t>DBS Vickers</t>
  </si>
  <si>
    <t>NCAP</t>
  </si>
  <si>
    <t>OR</t>
  </si>
  <si>
    <t>TIDLOR</t>
  </si>
  <si>
    <t>ACLS</t>
  </si>
  <si>
    <t>Dime</t>
  </si>
  <si>
    <t>USD</t>
  </si>
  <si>
    <t>ADBE</t>
  </si>
  <si>
    <t>AMAT</t>
  </si>
  <si>
    <t>CRUS</t>
  </si>
  <si>
    <t>ENPH</t>
  </si>
  <si>
    <t>EWY</t>
  </si>
  <si>
    <t>FTNT</t>
  </si>
  <si>
    <t>IT</t>
  </si>
  <si>
    <t>KLAC</t>
  </si>
  <si>
    <t>LLY</t>
  </si>
  <si>
    <t>MCHP</t>
  </si>
  <si>
    <t>MPWR</t>
  </si>
  <si>
    <t>NSIT</t>
  </si>
  <si>
    <t>NVDA</t>
  </si>
  <si>
    <t>OLED</t>
  </si>
  <si>
    <t>QRVO</t>
  </si>
  <si>
    <t>TER</t>
  </si>
  <si>
    <t>TSLA</t>
  </si>
  <si>
    <t>YOU</t>
  </si>
  <si>
    <t>REMX</t>
  </si>
  <si>
    <t>SCB SG</t>
  </si>
  <si>
    <t>AAPL</t>
  </si>
  <si>
    <t>COIN</t>
  </si>
  <si>
    <t>META</t>
  </si>
  <si>
    <t>VCX</t>
  </si>
  <si>
    <t>Crypto</t>
  </si>
  <si>
    <t>AAVE</t>
  </si>
  <si>
    <t>Binance</t>
  </si>
  <si>
    <t>BNB</t>
  </si>
  <si>
    <t>BTC</t>
  </si>
  <si>
    <t>PENGU</t>
  </si>
  <si>
    <t>PLUME</t>
  </si>
  <si>
    <t>SOL</t>
  </si>
  <si>
    <t>TRUMP</t>
  </si>
  <si>
    <t>USDT</t>
  </si>
  <si>
    <t>VELODROME</t>
  </si>
  <si>
    <t>ARB</t>
  </si>
  <si>
    <t>Bitazza</t>
  </si>
  <si>
    <t>SUI</t>
  </si>
  <si>
    <t>VELO</t>
  </si>
  <si>
    <t>Bitkub</t>
  </si>
  <si>
    <t>DOGE</t>
  </si>
  <si>
    <t>ETH</t>
  </si>
  <si>
    <t>KUB</t>
  </si>
  <si>
    <t>OKX</t>
  </si>
  <si>
    <t>COMP</t>
  </si>
  <si>
    <t>NIGHT</t>
  </si>
  <si>
    <t>OKSOL</t>
  </si>
  <si>
    <t>MUTUAL FUND HOLDINGS — LOT LEVEL</t>
  </si>
  <si>
    <t>#</t>
  </si>
  <si>
    <t>AMC</t>
  </si>
  <si>
    <t>Fund Name</t>
  </si>
  <si>
    <t>Purchase Date</t>
  </si>
  <si>
    <t>Purch. Yr</t>
  </si>
  <si>
    <t>Sellable Yr</t>
  </si>
  <si>
    <t>Yrs Held</t>
  </si>
  <si>
    <t>Units</t>
  </si>
  <si>
    <t>Avg Cost</t>
  </si>
  <si>
    <t>Current NAV</t>
  </si>
  <si>
    <t>Initial Inv (฿)</t>
  </si>
  <si>
    <t>Current Value (฿)</t>
  </si>
  <si>
    <t>Unrealized P&amp;L (฿)</t>
  </si>
  <si>
    <t>Note</t>
  </si>
  <si>
    <t>N/A</t>
  </si>
  <si>
    <t>For Raywin</t>
  </si>
  <si>
    <t>MUTUAL FUND — ROLLUP BY FUND</t>
  </si>
  <si>
    <t>Lots</t>
  </si>
  <si>
    <t>EQUITIES — LOT LEVEL  (Thai + US + ETF)</t>
  </si>
  <si>
    <t>Broker</t>
  </si>
  <si>
    <t>Ticker</t>
  </si>
  <si>
    <t>Ccy</t>
  </si>
  <si>
    <t>Shares</t>
  </si>
  <si>
    <t>Avg Cost (nat.)</t>
  </si>
  <si>
    <t>Mkt Price (nat.)</t>
  </si>
  <si>
    <t>FX</t>
  </si>
  <si>
    <t>Cash</t>
  </si>
  <si>
    <t>EQUITIES — ROLLUP BY TICKER</t>
  </si>
  <si>
    <t>CRYPTO — LOT LEVEL  (OKX / Binance / Bitkub / Bitazza)</t>
  </si>
  <si>
    <t>Exchange</t>
  </si>
  <si>
    <t>Coin</t>
  </si>
  <si>
    <t>Sub-class</t>
  </si>
  <si>
    <t>Quantity</t>
  </si>
  <si>
    <t>Purch. Date</t>
  </si>
  <si>
    <t>CRYPTO — ROLLUP BY EXCHANGE + COIN</t>
  </si>
  <si>
    <t>REFERENCE — Asset / Geography / Theme / Tax Mapping  (edit yellow cells to reclassify)</t>
  </si>
  <si>
    <t>FX Mult</t>
  </si>
  <si>
    <t>Money Market</t>
  </si>
  <si>
    <t>Money Market / ST Bond</t>
  </si>
  <si>
    <t>Balanced</t>
  </si>
  <si>
    <t>Thematic</t>
  </si>
  <si>
    <t>Developed Mkt Equity</t>
  </si>
  <si>
    <t>Emerging Mkt Equity</t>
  </si>
  <si>
    <t>Frontier Mkt Equity</t>
  </si>
  <si>
    <t>Commodities</t>
  </si>
  <si>
    <t>Government Bond</t>
  </si>
  <si>
    <t>Single Stock</t>
  </si>
  <si>
    <t>ETF</t>
  </si>
  <si>
    <t>Rare Earth</t>
  </si>
  <si>
    <t>Major Crypto</t>
  </si>
  <si>
    <t>Altcoin</t>
  </si>
  <si>
    <t>Stablecoin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</si>
</sst>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</numFmts>
  <fonts count="17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  <charset val="1"/>
    </font>
    <font>
      <b/>
      <sz val="12"/>
      <color rgb="FFFFFFFF"/>
      <name val="Arial"/>
      <family val="2"/>
      <charset val="1"/>
    </font>
    <font>
      <sz val="11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20"/>
      <color rgb="FF1F3864"/>
      <name val="Arial"/>
      <family val="2"/>
      <charset val="1"/>
    </font>
    <font>
      <b/>
      <sz val="16"/>
      <color rgb="FF1F3864"/>
      <name val="Arial"/>
      <family val="2"/>
      <charset val="1"/>
    </font>
    <font>
      <sz val="11"/>
      <color rgb="FF006100"/>
      <name val="Arial"/>
      <family val="2"/>
      <charset val="1"/>
    </font>
    <font>
      <sz val="11"/>
      <color rgb="FF000000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9"/>
      <name val="Arial"/>
      <family val="2"/>
      <charset val="1"/>
    </font>
    <font>
      <sz val="9"/>
      <name val="Arial"/>
      <family val="2"/>
      <charset val="1"/>
    </font>
    <font>
      <i/>
      <sz val="9"/>
      <color rgb="FF595959"/>
      <name val="Arial"/>
      <family val="2"/>
      <charset val="1"/>
    </font>
    <font>
      <sz val="11"/>
      <color rgb="FF0000FF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5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horizontal="right"/>
    </xf>
    <xf numFmtId="164" fontId="6" fillId="0" borderId="0" xfId="0" applyNumberFormat="1" applyFont="1" applyAlignment="1">
      <alignment horizontal="left" indent="1"/>
    </xf>
    <xf numFmtId="0" fontId="7" fillId="2" borderId="2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indent="1"/>
    </xf>
    <xf numFmtId="165" fontId="10" fillId="0" borderId="1" xfId="0" applyNumberFormat="1" applyFont="1" applyBorder="1" applyAlignment="1">
      <alignment horizontal="right"/>
    </xf>
    <xf numFmtId="166" fontId="11" fillId="0" borderId="1" xfId="0" applyNumberFormat="1" applyFont="1" applyBorder="1" applyAlignment="1">
      <alignment horizontal="right"/>
    </xf>
    <xf numFmtId="165" fontId="11" fillId="0" borderId="1" xfId="0" applyNumberFormat="1" applyFont="1" applyBorder="1" applyAlignment="1">
      <alignment horizontal="right"/>
    </xf>
    <xf numFmtId="0" fontId="12" fillId="2" borderId="1" xfId="0" applyFont="1" applyFill="1" applyBorder="1" applyAlignment="1">
      <alignment horizontal="left" indent="1"/>
    </xf>
    <xf numFmtId="165" fontId="12" fillId="2" borderId="1" xfId="0" applyNumberFormat="1" applyFont="1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right"/>
    </xf>
    <xf numFmtId="0" fontId="13" fillId="6" borderId="0" xfId="0" applyFont="1" applyFill="1"/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indent="1"/>
    </xf>
    <xf numFmtId="0" fontId="14" fillId="0" borderId="0" xfId="0" applyFont="1"/>
    <xf numFmtId="165" fontId="14" fillId="0" borderId="0" xfId="0" applyNumberFormat="1" applyFont="1"/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left" indent="1"/>
    </xf>
    <xf numFmtId="165" fontId="10" fillId="0" borderId="0" xfId="0" applyNumberFormat="1" applyFont="1" applyAlignment="1">
      <alignment horizontal="right"/>
    </xf>
    <xf numFmtId="166" fontId="11" fillId="0" borderId="0" xfId="0" applyNumberFormat="1" applyFont="1" applyAlignment="1">
      <alignment horizontal="right"/>
    </xf>
    <xf numFmtId="164" fontId="10" fillId="0" borderId="1" xfId="0" applyNumberFormat="1" applyFont="1" applyBorder="1" applyAlignment="1">
      <alignment horizontal="right"/>
    </xf>
    <xf numFmtId="166" fontId="10" fillId="0" borderId="1" xfId="0" applyNumberFormat="1" applyFont="1" applyBorder="1" applyAlignment="1">
      <alignment horizontal="right"/>
    </xf>
    <xf numFmtId="167" fontId="10" fillId="0" borderId="1" xfId="0" applyNumberFormat="1" applyFont="1" applyBorder="1" applyAlignment="1">
      <alignment horizontal="right"/>
    </xf>
    <xf numFmtId="164" fontId="16" fillId="7" borderId="1" xfId="0" applyNumberFormat="1" applyFont="1" applyFill="1" applyBorder="1" applyAlignment="1">
      <alignment horizontal="right"/>
    </xf>
    <xf numFmtId="165" fontId="16" fillId="7" borderId="1" xfId="0" applyNumberFormat="1" applyFont="1" applyFill="1" applyBorder="1" applyAlignment="1">
      <alignment horizontal="right"/>
    </xf>
    <xf numFmtId="166" fontId="16" fillId="7" borderId="1" xfId="0" applyNumberFormat="1" applyFont="1" applyFill="1" applyBorder="1" applyAlignment="1">
      <alignment horizontal="right"/>
    </xf>
    <xf numFmtId="167" fontId="16" fillId="7" borderId="1" xfId="0" applyNumberFormat="1" applyFont="1" applyFill="1" applyBorder="1" applyAlignment="1">
      <alignment horizontal="right"/>
    </xf>
    <xf numFmtId="0" fontId="16" fillId="7" borderId="1" xfId="0" applyFont="1" applyFill="1" applyBorder="1" applyAlignment="1">
      <alignment horizontal="left" indent="1"/>
    </xf>
    <xf numFmtId="168" fontId="16" fillId="7" borderId="1" xfId="0" applyNumberFormat="1" applyFont="1" applyFill="1" applyBorder="1" applyAlignment="1">
      <alignment horizontal="right"/>
    </xf>
    <xf numFmtId="0" fontId="11" fillId="0" borderId="1" xfId="0" applyFont="1" applyBorder="1" applyAlignment="1">
      <alignment horizontal="right"/>
    </xf>
    <xf numFmtId="0" fontId="11" fillId="0" borderId="1" xfId="0" applyFont="1" applyBorder="1" applyAlignment="1">
      <alignment horizontal="left" indent="1"/>
    </xf>
    <xf numFmtId="164" fontId="11" fillId="0" borderId="1" xfId="0" applyNumberFormat="1" applyFont="1" applyBorder="1" applyAlignment="1">
      <alignment horizontal="right"/>
    </xf>
    <xf numFmtId="169" fontId="11" fillId="0" borderId="1" xfId="0" applyNumberFormat="1" applyFont="1" applyBorder="1" applyAlignment="1">
      <alignment horizontal="right"/>
    </xf>
    <xf numFmtId="49" fontId="11" fillId="0" borderId="1" xfId="0" applyNumberFormat="1" applyFont="1" applyBorder="1" applyAlignment="1">
      <alignment horizontal="right"/>
    </xf>
    <xf numFmtId="167" fontId="11" fillId="0" borderId="1" xfId="0" applyNumberFormat="1" applyFont="1" applyBorder="1" applyAlignment="1">
      <alignment horizontal="right"/>
    </xf>
    <xf numFmtId="168" fontId="11" fillId="0" borderId="1" xfId="0" applyNumberFormat="1" applyFont="1" applyBorder="1" applyAlignment="1">
      <alignment horizontal="right"/>
    </xf>
    <xf numFmtId="168" fontId="10" fillId="0" borderId="1" xfId="0" applyNumberFormat="1" applyFont="1" applyBorder="1" applyAlignment="1">
      <alignment horizontal="right"/>
    </xf>
    <xf numFmtId="170" fontId="11" fillId="0" borderId="1" xfId="0" applyNumberFormat="1" applyFont="1" applyBorder="1" applyAlignment="1">
      <alignment horizontal="right"/>
    </xf>
    <xf numFmtId="0" fontId="12" fillId="2" borderId="1" xfId="0" applyFont="1" applyFill="1" applyBorder="1" applyAlignment="1">
      <alignment horizontal="right"/>
    </xf>
    <xf numFmtId="169" fontId="10" fillId="0" borderId="1" xfId="0" applyNumberFormat="1" applyFont="1" applyBorder="1" applyAlignment="1">
      <alignment horizontal="right"/>
    </xf>
    <xf numFmtId="169" fontId="12" fillId="2" borderId="1" xfId="0" applyNumberFormat="1" applyFont="1" applyFill="1" applyBorder="1" applyAlignment="1">
      <alignment horizontal="right"/>
    </xf>
    <xf numFmtId="0" fontId="6" fillId="0" borderId="0" xfId="0" applyFont="1" applyAlignment="1">
      <alignment horizontal="left" vertical="center" indent="1"/>
    </xf>
    <xf numFmtId="0" fontId="1" fillId="2" borderId="0" xfId="0" applyFont="1" applyFill="1" applyAlignment="1">
      <alignment vertical="center"/>
    </xf>
    <xf numFmtId="171" fontId="0" fillId="0" borderId="0" xfId="0" applyNumberFormat="1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7" fillId="3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0" xfId="0" applyFont="1" applyFill="1" applyAlignment="1">
      <alignment horizontal="left" vertical="center" indent="1"/>
    </xf>
    <xf numFmtId="165" fontId="8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66" fontId="8" fillId="4" borderId="1" xfId="0" applyNumberFormat="1" applyFont="1" applyFill="1" applyBorder="1" applyAlignment="1">
      <alignment horizontal="center" vertical="center"/>
    </xf>
    <xf numFmtId="167" fontId="8" fillId="4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left" vertical="top" wrapText="1"/>
    </xf>
  </cellXfs>
  <cellStyles count="1">
    <cellStyle name="Normal" xfId="0" builtinId="0"/>
  </cellStyles>
  <dxfs count="7">
    <dxf>
      <font>
        <color rgb="FF9C0006"/>
        <name val="Arial"/>
        <charset val="1"/>
      </font>
    </dxf>
    <dxf>
      <font>
        <color rgb="FF9C0006"/>
        <name val="Arial"/>
        <charset val="1"/>
      </font>
    </dxf>
    <dxf>
      <font>
        <color rgb="FF9C0006"/>
        <name val="Arial"/>
        <charset val="1"/>
      </font>
    </dxf>
    <dxf>
      <font>
        <color rgb="FF9C0006"/>
        <name val="Arial"/>
        <charset val="1"/>
      </font>
    </dxf>
    <dxf>
      <font>
        <color rgb="FF9C0006"/>
        <name val="Arial"/>
        <charset val="1"/>
      </font>
    </dxf>
    <dxf>
      <font>
        <color rgb="FF9C0006"/>
        <name val="Arial"/>
        <charset val="1"/>
      </font>
    </dxf>
    <dxf>
      <font>
        <b/>
        <color rgb="FF9C0006"/>
        <name val="Arial"/>
        <charset val="1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Dashboard!$D$15</c:f>
              <c:strCache>
                <c:ptCount val="1"/>
                <c:pt idx="0">
                  <c:v>Current Value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  <a:prstDash val="solid"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062-C648-B414-8818EBFEC335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062-C648-B414-8818EBFEC335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062-C648-B414-8818EBFEC335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062-C648-B414-8818EBFEC335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062-C648-B414-8818EBFEC335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062-C648-B414-8818EBFEC335}"/>
              </c:ext>
            </c:extLst>
          </c:dPt>
          <c:dLbls>
            <c:dLbl>
              <c:idx val="0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D062-C648-B414-8818EBFEC335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D062-C648-B414-8818EBFEC335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D062-C648-B414-8818EBFEC335}"/>
                </c:ext>
              </c:extLst>
            </c:dLbl>
            <c:dLbl>
              <c:idx val="3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D062-C648-B414-8818EBFEC335}"/>
                </c:ext>
              </c:extLst>
            </c:dLbl>
            <c:dLbl>
              <c:idx val="4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D062-C648-B414-8818EBFEC335}"/>
                </c:ext>
              </c:extLst>
            </c:dLbl>
            <c:dLbl>
              <c:idx val="5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D062-C648-B414-8818EBFEC33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TH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Dashboard!$B$16:$B$21</c:f>
              <c:strCache>
                <c:ptCount val="6"/>
                <c:pt idx="0">
                  <c:v>Equity</c:v>
                </c:pt>
                <c:pt idx="1">
                  <c:v>Fixed Income</c:v>
                </c:pt>
                <c:pt idx="2">
                  <c:v>Multi-Asset</c:v>
                </c:pt>
                <c:pt idx="3">
                  <c:v>Alternatives</c:v>
                </c:pt>
                <c:pt idx="4">
                  <c:v>Cash &amp; Equivalents</c:v>
                </c:pt>
                <c:pt idx="5">
                  <c:v>Digital Assets</c:v>
                </c:pt>
              </c:strCache>
            </c:strRef>
          </c:cat>
          <c:val>
            <c:numRef>
              <c:f>Dashboard!$D$16:$D$21</c:f>
              <c:numCache>
                <c:formatCode>\฿#,##0;[Red]"(฿"#,##0\);\-</c:formatCode>
                <c:ptCount val="6"/>
                <c:pt idx="0">
                  <c:v>21255050.278245814</c:v>
                </c:pt>
                <c:pt idx="1">
                  <c:v>939725.70631299994</c:v>
                </c:pt>
                <c:pt idx="2">
                  <c:v>1088786.7868929298</c:v>
                </c:pt>
                <c:pt idx="3">
                  <c:v>522024.44802707992</c:v>
                </c:pt>
                <c:pt idx="4">
                  <c:v>467655.28971721989</c:v>
                </c:pt>
                <c:pt idx="5">
                  <c:v>1339357.6953334464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62-C648-B414-8818EBFEC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TH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Dashboard!$J$15</c:f>
              <c:strCache>
                <c:ptCount val="1"/>
                <c:pt idx="0">
                  <c:v>Current Value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  <a:prstDash val="solid"/>
            </a:ln>
          </c:spPr>
          <c:dPt>
            <c:idx val="0"/>
            <c:bubble3D val="0"/>
            <c:spPr>
              <a:solidFill>
                <a:srgbClr val="4672A8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444-4C48-A559-5A0903A70160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444-4C48-A559-5A0903A70160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444-4C48-A559-5A0903A70160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444-4C48-A559-5A0903A70160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444-4C48-A559-5A0903A70160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444-4C48-A559-5A0903A70160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444-4C48-A559-5A0903A70160}"/>
              </c:ext>
            </c:extLst>
          </c:dPt>
          <c:dPt>
            <c:idx val="7"/>
            <c:bubble3D val="0"/>
            <c:spPr>
              <a:solidFill>
                <a:srgbClr val="D09493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444-4C48-A559-5A0903A70160}"/>
              </c:ext>
            </c:extLst>
          </c:dPt>
          <c:dPt>
            <c:idx val="8"/>
            <c:bubble3D val="0"/>
            <c:spPr>
              <a:solidFill>
                <a:srgbClr val="B8CD97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444-4C48-A559-5A0903A70160}"/>
              </c:ext>
            </c:extLst>
          </c:dPt>
          <c:dLbls>
            <c:dLbl>
              <c:idx val="0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9444-4C48-A559-5A0903A70160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9444-4C48-A559-5A0903A70160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9444-4C48-A559-5A0903A70160}"/>
                </c:ext>
              </c:extLst>
            </c:dLbl>
            <c:dLbl>
              <c:idx val="3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9444-4C48-A559-5A0903A70160}"/>
                </c:ext>
              </c:extLst>
            </c:dLbl>
            <c:dLbl>
              <c:idx val="4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9444-4C48-A559-5A0903A70160}"/>
                </c:ext>
              </c:extLst>
            </c:dLbl>
            <c:dLbl>
              <c:idx val="5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9444-4C48-A559-5A0903A70160}"/>
                </c:ext>
              </c:extLst>
            </c:dLbl>
            <c:dLbl>
              <c:idx val="6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9444-4C48-A559-5A0903A70160}"/>
                </c:ext>
              </c:extLst>
            </c:dLbl>
            <c:dLbl>
              <c:idx val="7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F-9444-4C48-A559-5A0903A70160}"/>
                </c:ext>
              </c:extLst>
            </c:dLbl>
            <c:dLbl>
              <c:idx val="8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1-9444-4C48-A559-5A0903A7016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TH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Dashboard!$H$16:$H$23</c:f>
              <c:strCache>
                <c:ptCount val="8"/>
                <c:pt idx="0">
                  <c:v>Thailand</c:v>
                </c:pt>
                <c:pt idx="1">
                  <c:v>United States</c:v>
                </c:pt>
                <c:pt idx="2">
                  <c:v>Global</c:v>
                </c:pt>
                <c:pt idx="3">
                  <c:v>South Korea</c:v>
                </c:pt>
                <c:pt idx="4">
                  <c:v>Vietnam</c:v>
                </c:pt>
                <c:pt idx="5">
                  <c:v>China</c:v>
                </c:pt>
                <c:pt idx="6">
                  <c:v>Japan</c:v>
                </c:pt>
                <c:pt idx="7">
                  <c:v>Europe</c:v>
                </c:pt>
              </c:strCache>
            </c:strRef>
          </c:cat>
          <c:val>
            <c:numRef>
              <c:f>Dashboard!$J$16:$J$23</c:f>
              <c:numCache>
                <c:formatCode>\฿#,##0;[Red]"(฿"#,##0\);\-</c:formatCode>
                <c:ptCount val="8"/>
                <c:pt idx="0">
                  <c:v>6058812.8093330218</c:v>
                </c:pt>
                <c:pt idx="1">
                  <c:v>7226409.7400204074</c:v>
                </c:pt>
                <c:pt idx="2">
                  <c:v>4018012.2048204057</c:v>
                </c:pt>
                <c:pt idx="3">
                  <c:v>5877663.902051419</c:v>
                </c:pt>
                <c:pt idx="4">
                  <c:v>1306914.7381851997</c:v>
                </c:pt>
                <c:pt idx="5">
                  <c:v>923367.55106119998</c:v>
                </c:pt>
                <c:pt idx="6">
                  <c:v>130615.30851136</c:v>
                </c:pt>
                <c:pt idx="7">
                  <c:v>70803.950546480002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444-4C48-A559-5A0903A70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TH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Dashboard!$D$27</c:f>
              <c:strCache>
                <c:ptCount val="1"/>
                <c:pt idx="0">
                  <c:v>Current Value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TH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Dashboard!$B$28:$B$33</c:f>
              <c:strCache>
                <c:ptCount val="6"/>
                <c:pt idx="0">
                  <c:v>Open-Ended</c:v>
                </c:pt>
                <c:pt idx="1">
                  <c:v>RMF</c:v>
                </c:pt>
                <c:pt idx="2">
                  <c:v>SSF</c:v>
                </c:pt>
                <c:pt idx="3">
                  <c:v>Thai ESG</c:v>
                </c:pt>
                <c:pt idx="4">
                  <c:v>LTF</c:v>
                </c:pt>
                <c:pt idx="5">
                  <c:v>Taxable</c:v>
                </c:pt>
              </c:strCache>
            </c:strRef>
          </c:cat>
          <c:val>
            <c:numRef>
              <c:f>Dashboard!$D$28:$D$33</c:f>
              <c:numCache>
                <c:formatCode>\฿#,##0;[Red]"(฿"#,##0\);\-</c:formatCode>
                <c:ptCount val="6"/>
                <c:pt idx="0">
                  <c:v>8525182.5932602193</c:v>
                </c:pt>
                <c:pt idx="1">
                  <c:v>7885481.0201926939</c:v>
                </c:pt>
                <c:pt idx="2">
                  <c:v>638386.73908923008</c:v>
                </c:pt>
                <c:pt idx="3">
                  <c:v>1040133.0517135599</c:v>
                </c:pt>
                <c:pt idx="4">
                  <c:v>932032.32450615987</c:v>
                </c:pt>
                <c:pt idx="5">
                  <c:v>6591384.4757676329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6-EA47-A0D9-2455D5B0C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64909"/>
        <c:axId val="69538398"/>
      </c:barChart>
      <c:catAx>
        <c:axId val="1756490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TH"/>
          </a:p>
        </c:txPr>
        <c:crossAx val="69538398"/>
        <c:crosses val="autoZero"/>
        <c:auto val="1"/>
        <c:lblAlgn val="ctr"/>
        <c:lblOffset val="100"/>
        <c:noMultiLvlLbl val="0"/>
      </c:catAx>
      <c:valAx>
        <c:axId val="6953839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\฿#,##0;[Red]&quot;(฿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TH"/>
          </a:p>
        </c:txPr>
        <c:crossAx val="1756490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TH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TH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Dashboard!$B$41:$B$60</c:f>
              <c:strCache>
                <c:ptCount val="20"/>
                <c:pt idx="0">
                  <c:v>US Large Cap</c:v>
                </c:pt>
                <c:pt idx="1">
                  <c:v>Korea</c:v>
                </c:pt>
                <c:pt idx="2">
                  <c:v>Thai Equity</c:v>
                </c:pt>
                <c:pt idx="3">
                  <c:v>Healthcare</c:v>
                </c:pt>
                <c:pt idx="4">
                  <c:v>Crypto (All)</c:v>
                </c:pt>
                <c:pt idx="5">
                  <c:v>Vietnam Equity</c:v>
                </c:pt>
                <c:pt idx="6">
                  <c:v>Thai Single Stock</c:v>
                </c:pt>
                <c:pt idx="7">
                  <c:v>Thai Balanced</c:v>
                </c:pt>
                <c:pt idx="8">
                  <c:v>TH Gov Bond</c:v>
                </c:pt>
                <c:pt idx="9">
                  <c:v>China Equity</c:v>
                </c:pt>
                <c:pt idx="10">
                  <c:v>US Single Stock</c:v>
                </c:pt>
                <c:pt idx="11">
                  <c:v>Gold</c:v>
                </c:pt>
                <c:pt idx="12">
                  <c:v>Brokerage Cash</c:v>
                </c:pt>
                <c:pt idx="13">
                  <c:v>Thai SET50</c:v>
                </c:pt>
                <c:pt idx="14">
                  <c:v>AI / Innovation</c:v>
                </c:pt>
                <c:pt idx="15">
                  <c:v>Japan Equity</c:v>
                </c:pt>
                <c:pt idx="16">
                  <c:v>Semiconductor</c:v>
                </c:pt>
                <c:pt idx="17">
                  <c:v>Europe Equity</c:v>
                </c:pt>
                <c:pt idx="18">
                  <c:v>TH Short-Term Bond</c:v>
                </c:pt>
                <c:pt idx="19">
                  <c:v>TH Money Market</c:v>
                </c:pt>
              </c:strCache>
            </c:strRef>
          </c:cat>
          <c:val>
            <c:numRef>
              <c:f>Dashboard!$D$40:$D$60</c:f>
              <c:numCache>
                <c:formatCode>\฿#,##0;[Red]"(฿"#,##0\);\-</c:formatCode>
                <c:ptCount val="21"/>
                <c:pt idx="0" formatCode="General">
                  <c:v>0</c:v>
                </c:pt>
                <c:pt idx="1">
                  <c:v>4270949.2596454807</c:v>
                </c:pt>
                <c:pt idx="2">
                  <c:v>5877663.902051419</c:v>
                </c:pt>
                <c:pt idx="3">
                  <c:v>2181164.0713185901</c:v>
                </c:pt>
                <c:pt idx="4">
                  <c:v>1762560.3476776797</c:v>
                </c:pt>
                <c:pt idx="5">
                  <c:v>1339357.6953334464</c:v>
                </c:pt>
                <c:pt idx="6">
                  <c:v>1306914.7381851997</c:v>
                </c:pt>
                <c:pt idx="7">
                  <c:v>1301012.2</c:v>
                </c:pt>
                <c:pt idx="8">
                  <c:v>1088786.7868929298</c:v>
                </c:pt>
                <c:pt idx="9">
                  <c:v>939725.70631299994</c:v>
                </c:pt>
                <c:pt idx="10">
                  <c:v>923367.55106119998</c:v>
                </c:pt>
                <c:pt idx="11">
                  <c:v>2482570.5011749268</c:v>
                </c:pt>
                <c:pt idx="12">
                  <c:v>522024.44802707992</c:v>
                </c:pt>
                <c:pt idx="13">
                  <c:v>456803.4291999999</c:v>
                </c:pt>
                <c:pt idx="14">
                  <c:v>230258.64429128001</c:v>
                </c:pt>
                <c:pt idx="15">
                  <c:v>248184.15844066005</c:v>
                </c:pt>
                <c:pt idx="16">
                  <c:v>130615.30851136</c:v>
                </c:pt>
                <c:pt idx="17">
                  <c:v>145885.55534153996</c:v>
                </c:pt>
                <c:pt idx="18">
                  <c:v>70803.950546480002</c:v>
                </c:pt>
                <c:pt idx="19">
                  <c:v>9614.8681625999998</c:v>
                </c:pt>
                <c:pt idx="20">
                  <c:v>1236.99235462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5A-C44B-BA95-99DF0ECB4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929617"/>
        <c:axId val="66708846"/>
      </c:barChart>
      <c:catAx>
        <c:axId val="38929617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TH"/>
          </a:p>
        </c:txPr>
        <c:crossAx val="66708846"/>
        <c:crosses val="autoZero"/>
        <c:auto val="1"/>
        <c:lblAlgn val="ctr"/>
        <c:lblOffset val="100"/>
        <c:noMultiLvlLbl val="0"/>
      </c:catAx>
      <c:valAx>
        <c:axId val="6670884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\฿#,##0;[Red]&quot;(฿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TH"/>
          </a:p>
        </c:txPr>
        <c:crossAx val="38929617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TH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62</xdr:row>
      <xdr:rowOff>0</xdr:rowOff>
    </xdr:from>
    <xdr:to>
      <xdr:col>6</xdr:col>
      <xdr:colOff>757800</xdr:colOff>
      <xdr:row>78</xdr:row>
      <xdr:rowOff>188280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62</xdr:row>
      <xdr:rowOff>0</xdr:rowOff>
    </xdr:from>
    <xdr:to>
      <xdr:col>12</xdr:col>
      <xdr:colOff>59400</xdr:colOff>
      <xdr:row>78</xdr:row>
      <xdr:rowOff>188280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82</xdr:row>
      <xdr:rowOff>0</xdr:rowOff>
    </xdr:from>
    <xdr:to>
      <xdr:col>6</xdr:col>
      <xdr:colOff>757800</xdr:colOff>
      <xdr:row>98</xdr:row>
      <xdr:rowOff>187920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82</xdr:row>
      <xdr:rowOff>0</xdr:rowOff>
    </xdr:from>
    <xdr:to>
      <xdr:col>12</xdr:col>
      <xdr:colOff>59400</xdr:colOff>
      <xdr:row>98</xdr:row>
      <xdr:rowOff>187920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3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120" customWidth="1"/>
  </cols>
  <sheetData>
    <row r="2" spans="2:2" ht="31.5" customHeight="1" x14ac:dyDescent="0.2">
      <c r="B2" s="3" t="s">
        <v>14</v>
      </c>
    </row>
    <row r="4" spans="2:2" ht="21.75" customHeight="1" x14ac:dyDescent="0.2">
      <c r="B4" s="2" t="s">
        <v>15</v>
      </c>
    </row>
    <row r="6" spans="2:2" ht="30" customHeight="1" x14ac:dyDescent="0.2">
      <c r="B6" s="4" t="s">
        <v>16</v>
      </c>
    </row>
    <row r="7" spans="2:2" ht="30" customHeight="1" x14ac:dyDescent="0.2">
      <c r="B7" s="4" t="s">
        <v>17</v>
      </c>
    </row>
    <row r="8" spans="2:2" ht="30" customHeight="1" x14ac:dyDescent="0.2">
      <c r="B8" s="4" t="s">
        <v>18</v>
      </c>
    </row>
    <row r="9" spans="2:2" ht="30" customHeight="1" x14ac:dyDescent="0.2">
      <c r="B9" s="4" t="s">
        <v>19</v>
      </c>
    </row>
    <row r="10" spans="2:2" ht="30" customHeight="1" x14ac:dyDescent="0.2">
      <c r="B10" s="4" t="s">
        <v>20</v>
      </c>
    </row>
    <row r="11" spans="2:2" ht="30" customHeight="1" x14ac:dyDescent="0.2">
      <c r="B11" s="4" t="s">
        <v>21</v>
      </c>
    </row>
    <row r="12" spans="2:2" ht="30" customHeight="1" x14ac:dyDescent="0.2">
      <c r="B12" s="4" t="s">
        <v>22</v>
      </c>
    </row>
    <row r="14" spans="2:2" ht="21.75" customHeight="1" x14ac:dyDescent="0.2">
      <c r="B14" s="2" t="s">
        <v>23</v>
      </c>
    </row>
    <row r="16" spans="2:2" ht="21.75" customHeight="1" x14ac:dyDescent="0.2">
      <c r="B16" s="5" t="s">
        <v>24</v>
      </c>
    </row>
    <row r="17" spans="2:2" ht="21.75" customHeight="1" x14ac:dyDescent="0.2">
      <c r="B17" s="5" t="s">
        <v>25</v>
      </c>
    </row>
    <row r="18" spans="2:2" ht="21.75" customHeight="1" x14ac:dyDescent="0.2">
      <c r="B18" s="5" t="s">
        <v>26</v>
      </c>
    </row>
    <row r="19" spans="2:2" ht="21.75" customHeight="1" x14ac:dyDescent="0.2">
      <c r="B19" s="5" t="s">
        <v>27</v>
      </c>
    </row>
    <row r="20" spans="2:2" ht="21.75" customHeight="1" x14ac:dyDescent="0.2">
      <c r="B20" s="5" t="s">
        <v>28</v>
      </c>
    </row>
    <row r="21" spans="2:2" ht="21.75" customHeight="1" x14ac:dyDescent="0.2">
      <c r="B21" s="5" t="s">
        <v>29</v>
      </c>
    </row>
    <row r="22" spans="2:2" ht="21.75" customHeight="1" x14ac:dyDescent="0.2">
      <c r="B22" s="5" t="s">
        <v>30</v>
      </c>
    </row>
    <row r="23" spans="2:2" ht="21.75" customHeight="1" x14ac:dyDescent="0.2">
      <c r="B23" s="5" t="s">
        <v>31</v>
      </c>
    </row>
    <row r="24" spans="2:2" ht="21.75" customHeight="1" x14ac:dyDescent="0.2">
      <c r="B24" s="5" t="s">
        <v>32</v>
      </c>
    </row>
    <row r="25" spans="2:2" ht="21.75" customHeight="1" x14ac:dyDescent="0.2">
      <c r="B25" s="5" t="s">
        <v>33</v>
      </c>
    </row>
    <row r="26" spans="2:2" ht="21.75" customHeight="1" x14ac:dyDescent="0.2">
      <c r="B26" s="5" t="s">
        <v>34</v>
      </c>
    </row>
    <row r="28" spans="2:2" ht="21.75" customHeight="1" x14ac:dyDescent="0.2">
      <c r="B28" s="2" t="s">
        <v>35</v>
      </c>
    </row>
    <row r="30" spans="2:2" ht="21.75" customHeight="1" x14ac:dyDescent="0.2">
      <c r="B30" s="5" t="s">
        <v>36</v>
      </c>
    </row>
    <row r="31" spans="2:2" ht="21.75" customHeight="1" x14ac:dyDescent="0.2">
      <c r="B31" s="5" t="s">
        <v>37</v>
      </c>
    </row>
    <row r="32" spans="2:2" ht="21.75" customHeight="1" x14ac:dyDescent="0.2">
      <c r="B32" s="5" t="s">
        <v>38</v>
      </c>
    </row>
    <row r="33" spans="2:2" ht="21.75" customHeight="1" x14ac:dyDescent="0.2">
      <c r="B33" s="5" t="s">
        <v>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20"/>
  <sheetViews>
    <sheetView showGridLines="0" tabSelected="1" zoomScaleNormal="100" workbookViewId="0">
      <selection activeCell="D20" sqref="D20"/>
    </sheetView>
  </sheetViews>
  <sheetFormatPr baseColWidth="10" defaultColWidth="8.6640625" defaultRowHeight="15" x14ac:dyDescent="0.2"/>
  <cols>
    <col min="1" max="1" width="2" customWidth="1"/>
    <col min="2" max="2" width="18.6640625" customWidth="1"/>
    <col min="3" max="3" width="11.1640625" customWidth="1"/>
    <col min="4" max="4" width="12.33203125" customWidth="1"/>
    <col min="5" max="5" width="8.33203125" customWidth="1"/>
    <col min="6" max="6" width="10.1640625" customWidth="1"/>
    <col min="7" max="7" width="18" customWidth="1"/>
    <col min="8" max="8" width="13" customWidth="1"/>
    <col min="9" max="9" width="16" customWidth="1"/>
    <col min="10" max="10" width="18.33203125" customWidth="1"/>
    <col min="11" max="11" width="12.33203125" customWidth="1"/>
    <col min="12" max="12" width="10.1640625" customWidth="1"/>
    <col min="14" max="16" width="13" hidden="1" customWidth="1"/>
  </cols>
  <sheetData>
    <row r="2" spans="2:12" ht="36" customHeight="1" x14ac:dyDescent="0.2">
      <c r="B2" s="49" t="s">
        <v>40</v>
      </c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2:12" ht="19.5" customHeight="1" x14ac:dyDescent="0.2">
      <c r="B3" s="6" t="s">
        <v>41</v>
      </c>
      <c r="C3" s="7">
        <f>AsOfDate</f>
        <v>46173</v>
      </c>
    </row>
    <row r="5" spans="2:12" ht="21.75" customHeight="1" x14ac:dyDescent="0.2">
      <c r="B5" s="54" t="s">
        <v>42</v>
      </c>
      <c r="C5" s="50"/>
      <c r="D5" s="50"/>
      <c r="E5" s="50"/>
      <c r="F5" s="50"/>
      <c r="G5" s="50"/>
      <c r="H5" s="50"/>
      <c r="I5" s="50"/>
      <c r="J5" s="50"/>
      <c r="K5" s="50"/>
      <c r="L5" s="50"/>
    </row>
    <row r="7" spans="2:12" ht="21.75" customHeight="1" x14ac:dyDescent="0.2">
      <c r="B7" s="51" t="s">
        <v>43</v>
      </c>
      <c r="C7" s="52"/>
      <c r="D7" s="53"/>
      <c r="F7" s="51" t="s">
        <v>44</v>
      </c>
      <c r="G7" s="52"/>
      <c r="H7" s="53"/>
      <c r="J7" s="51" t="s">
        <v>45</v>
      </c>
      <c r="K7" s="52"/>
      <c r="L7" s="53"/>
    </row>
    <row r="8" spans="2:12" ht="42" customHeight="1" x14ac:dyDescent="0.2">
      <c r="B8" s="55">
        <f>'MF - Lots'!P167+'Equities - Lots'!M53+'Crypto - Lots'!K32</f>
        <v>25612600.20452949</v>
      </c>
      <c r="C8" s="52"/>
      <c r="D8" s="53"/>
      <c r="F8" s="55">
        <f>'MF - Lots'!O167+'Equities - Lots'!L53+'Crypto - Lots'!J32</f>
        <v>21788985.148958936</v>
      </c>
      <c r="G8" s="52"/>
      <c r="H8" s="53"/>
      <c r="J8" s="55">
        <f>'MF - Lots'!Q167+'Equities - Lots'!N53+'Crypto - Lots'!L32</f>
        <v>3823615.0555705568</v>
      </c>
      <c r="K8" s="52"/>
      <c r="L8" s="53"/>
    </row>
    <row r="10" spans="2:12" ht="21.75" customHeight="1" x14ac:dyDescent="0.2">
      <c r="B10" s="51" t="s">
        <v>46</v>
      </c>
      <c r="C10" s="52"/>
      <c r="D10" s="53"/>
      <c r="F10" s="51" t="s">
        <v>47</v>
      </c>
      <c r="G10" s="52"/>
      <c r="H10" s="53"/>
      <c r="J10" s="51" t="s">
        <v>48</v>
      </c>
      <c r="K10" s="52"/>
      <c r="L10" s="53"/>
    </row>
    <row r="11" spans="2:12" ht="42" customHeight="1" x14ac:dyDescent="0.2">
      <c r="B11" s="57">
        <f>IFERROR(('MF - Lots'!Q167+'Equities - Lots'!N53+'Crypto - Lots'!L32)/('MF - Lots'!O167+'Equities - Lots'!L53+'Crypto - Lots'!J32),0)</f>
        <v>0.17548385248007967</v>
      </c>
      <c r="C11" s="52"/>
      <c r="D11" s="53"/>
      <c r="F11" s="56" t="str">
        <f>COUNTA('MF - Lots'!C5:C166)&amp;" / "&amp;COUNTA('Equities - Lots'!C5:C45)&amp;" / "&amp;COUNTA('Crypto - Lots'!C5:C30)</f>
        <v>161 / 41 / 26</v>
      </c>
      <c r="G11" s="52"/>
      <c r="H11" s="53"/>
      <c r="J11" s="58">
        <f>FXRate</f>
        <v>32.43</v>
      </c>
      <c r="K11" s="52"/>
      <c r="L11" s="53"/>
    </row>
    <row r="14" spans="2:12" ht="21.75" customHeight="1" x14ac:dyDescent="0.2">
      <c r="B14" s="54" t="s">
        <v>49</v>
      </c>
      <c r="C14" s="50"/>
      <c r="D14" s="50"/>
      <c r="E14" s="50"/>
      <c r="F14" s="50"/>
      <c r="H14" s="54" t="s">
        <v>50</v>
      </c>
      <c r="I14" s="50"/>
      <c r="J14" s="50"/>
      <c r="K14" s="50"/>
      <c r="L14" s="50"/>
    </row>
    <row r="15" spans="2:12" ht="30" customHeight="1" x14ac:dyDescent="0.2">
      <c r="B15" s="8" t="s">
        <v>51</v>
      </c>
      <c r="C15" s="8" t="s">
        <v>52</v>
      </c>
      <c r="D15" s="8" t="s">
        <v>53</v>
      </c>
      <c r="E15" s="8" t="s">
        <v>54</v>
      </c>
      <c r="F15" s="8" t="s">
        <v>55</v>
      </c>
      <c r="H15" s="8" t="s">
        <v>56</v>
      </c>
      <c r="I15" s="8" t="s">
        <v>52</v>
      </c>
      <c r="J15" s="8" t="s">
        <v>53</v>
      </c>
      <c r="K15" s="8" t="s">
        <v>54</v>
      </c>
      <c r="L15" s="8" t="s">
        <v>55</v>
      </c>
    </row>
    <row r="16" spans="2:12" ht="15" customHeight="1" x14ac:dyDescent="0.2">
      <c r="B16" s="9" t="s">
        <v>57</v>
      </c>
      <c r="C16" s="10">
        <f>SUMIFS('MF - Lots'!$O:$O,'MF - Lots'!$D:$D,B16)+SUMIFS('Equities - Lots'!$L:$L,'Equities - Lots'!$E:$E,B16)+IF(B16="Digital Assets",'Crypto - Lots'!J32,0)</f>
        <v>17028618.788395301</v>
      </c>
      <c r="D16" s="10">
        <f>SUMIFS('MF - Lots'!$P:$P,'MF - Lots'!$D:$D,B16)+SUMIFS('Equities - Lots'!$M:$M,'Equities - Lots'!$E:$E,B16)+IF(B16="Digital Assets",'Crypto - Lots'!K32,0)</f>
        <v>21255050.278245814</v>
      </c>
      <c r="E16" s="11">
        <f t="shared" ref="E16:E21" si="0">IFERROR(D16/SUM($D$16:$D$21),0)</f>
        <v>0.82986694472695277</v>
      </c>
      <c r="F16" s="12">
        <f t="shared" ref="F16:F21" si="1">D16-C16</f>
        <v>4226431.4898505136</v>
      </c>
      <c r="H16" s="9" t="s">
        <v>58</v>
      </c>
      <c r="I16" s="10">
        <f>SUMIFS('MF - Lots'!$O:$O,'MF - Lots'!$F:$F,H16)+SUMIFS('Equities - Lots'!$L:$L,'Equities - Lots'!$F:$F,H16)+IF(H16="Global",'Crypto - Lots'!J32,0)</f>
        <v>6686152.6699999999</v>
      </c>
      <c r="J16" s="10">
        <f>SUMIFS('MF - Lots'!$P:$P,'MF - Lots'!$F:$F,H16)+SUMIFS('Equities - Lots'!$M:$M,'Equities - Lots'!$F:$F,H16)+IF(H16="Global",'Crypto - Lots'!K32,0)</f>
        <v>6058812.8093330218</v>
      </c>
      <c r="K16" s="11">
        <f t="shared" ref="K16:K23" si="2">IFERROR(J16/SUM($J$16:$J$23),0)</f>
        <v>0.23655594359613449</v>
      </c>
      <c r="L16" s="12">
        <f t="shared" ref="L16:L23" si="3">J16-I16</f>
        <v>-627339.86066697817</v>
      </c>
    </row>
    <row r="17" spans="2:16" ht="15" customHeight="1" x14ac:dyDescent="0.2">
      <c r="B17" s="9" t="s">
        <v>59</v>
      </c>
      <c r="C17" s="10">
        <f>SUMIFS('MF - Lots'!$O:$O,'MF - Lots'!$D:$D,B17)+SUMIFS('Equities - Lots'!$L:$L,'Equities - Lots'!$E:$E,B17)+IF(B17="Digital Assets",'Crypto - Lots'!J32,0)</f>
        <v>930000</v>
      </c>
      <c r="D17" s="10">
        <f>SUMIFS('MF - Lots'!$P:$P,'MF - Lots'!$D:$D,B17)+SUMIFS('Equities - Lots'!$M:$M,'Equities - Lots'!$E:$E,B17)+IF(B17="Digital Assets",'Crypto - Lots'!K32,0)</f>
        <v>939725.70631299994</v>
      </c>
      <c r="E17" s="11">
        <f t="shared" si="0"/>
        <v>3.6689976761782005E-2</v>
      </c>
      <c r="F17" s="12">
        <f t="shared" si="1"/>
        <v>9725.7063129999442</v>
      </c>
      <c r="H17" s="9" t="s">
        <v>60</v>
      </c>
      <c r="I17" s="10">
        <f>SUMIFS('MF - Lots'!$O:$O,'MF - Lots'!$F:$F,H17)+SUMIFS('Equities - Lots'!$L:$L,'Equities - Lots'!$F:$F,H17)+IF(H17="Global",'Crypto - Lots'!J32,0)</f>
        <v>5251324.3788820654</v>
      </c>
      <c r="J17" s="10">
        <f>SUMIFS('MF - Lots'!$P:$P,'MF - Lots'!$F:$F,H17)+SUMIFS('Equities - Lots'!$M:$M,'Equities - Lots'!$F:$F,H17)+IF(H17="Global",'Crypto - Lots'!K32,0)</f>
        <v>7226409.7400204074</v>
      </c>
      <c r="K17" s="11">
        <f t="shared" si="2"/>
        <v>0.28214276107516967</v>
      </c>
      <c r="L17" s="12">
        <f t="shared" si="3"/>
        <v>1975085.3611383419</v>
      </c>
    </row>
    <row r="18" spans="2:16" ht="15" customHeight="1" x14ac:dyDescent="0.2">
      <c r="B18" s="9" t="s">
        <v>61</v>
      </c>
      <c r="C18" s="10">
        <f>SUMIFS('MF - Lots'!$O:$O,'MF - Lots'!$D:$D,B18)+SUMIFS('Equities - Lots'!$L:$L,'Equities - Lots'!$E:$E,B18)+IF(B18="Digital Assets",'Crypto - Lots'!J32,0)</f>
        <v>1170000</v>
      </c>
      <c r="D18" s="10">
        <f>SUMIFS('MF - Lots'!$P:$P,'MF - Lots'!$D:$D,B18)+SUMIFS('Equities - Lots'!$M:$M,'Equities - Lots'!$E:$E,B18)+IF(B18="Digital Assets",'Crypto - Lots'!K32,0)</f>
        <v>1088786.7868929298</v>
      </c>
      <c r="E18" s="11">
        <f t="shared" si="0"/>
        <v>4.250981072590912E-2</v>
      </c>
      <c r="F18" s="12">
        <f t="shared" si="1"/>
        <v>-81213.213107070187</v>
      </c>
      <c r="H18" s="9" t="s">
        <v>62</v>
      </c>
      <c r="I18" s="10">
        <f>SUMIFS('MF - Lots'!$O:$O,'MF - Lots'!$F:$F,H18)+SUMIFS('Equities - Lots'!$L:$L,'Equities - Lots'!$F:$F,H18)+IF(H18="Global",'Crypto - Lots'!J32,0)</f>
        <v>3957691.8813636359</v>
      </c>
      <c r="J18" s="10">
        <f>SUMIFS('MF - Lots'!$P:$P,'MF - Lots'!$F:$F,H18)+SUMIFS('Equities - Lots'!$M:$M,'Equities - Lots'!$F:$F,H18)+IF(H18="Global",'Crypto - Lots'!K32,0)</f>
        <v>4018012.2048204057</v>
      </c>
      <c r="K18" s="11">
        <f t="shared" si="2"/>
        <v>0.15687638790027397</v>
      </c>
      <c r="L18" s="12">
        <f t="shared" si="3"/>
        <v>60320.323456769809</v>
      </c>
    </row>
    <row r="19" spans="2:16" ht="15" customHeight="1" x14ac:dyDescent="0.2">
      <c r="B19" s="9" t="s">
        <v>63</v>
      </c>
      <c r="C19" s="10">
        <f>SUMIFS('MF - Lots'!$O:$O,'MF - Lots'!$D:$D,B19)+SUMIFS('Equities - Lots'!$L:$L,'Equities - Lots'!$E:$E,B19)+IF(B19="Digital Assets",'Crypto - Lots'!J32,0)</f>
        <v>500400</v>
      </c>
      <c r="D19" s="10">
        <f>SUMIFS('MF - Lots'!$P:$P,'MF - Lots'!$D:$D,B19)+SUMIFS('Equities - Lots'!$M:$M,'Equities - Lots'!$E:$E,B19)+IF(B19="Digital Assets",'Crypto - Lots'!K32,0)</f>
        <v>522024.44802707992</v>
      </c>
      <c r="E19" s="11">
        <f t="shared" si="0"/>
        <v>2.0381548294919383E-2</v>
      </c>
      <c r="F19" s="12">
        <f t="shared" si="1"/>
        <v>21624.448027079925</v>
      </c>
      <c r="H19" s="9" t="s">
        <v>64</v>
      </c>
      <c r="I19" s="10">
        <f>SUMIFS('MF - Lots'!$O:$O,'MF - Lots'!$F:$F,H19)+SUMIFS('Equities - Lots'!$L:$L,'Equities - Lots'!$F:$F,H19)+IF(H19="Global",'Crypto - Lots'!J32,0)</f>
        <v>3158316.2187132351</v>
      </c>
      <c r="J19" s="10">
        <f>SUMIFS('MF - Lots'!$P:$P,'MF - Lots'!$F:$F,H19)+SUMIFS('Equities - Lots'!$M:$M,'Equities - Lots'!$F:$F,H19)+IF(H19="Global",'Crypto - Lots'!K32,0)</f>
        <v>5877663.902051419</v>
      </c>
      <c r="K19" s="11">
        <f t="shared" si="2"/>
        <v>0.22948329553092292</v>
      </c>
      <c r="L19" s="12">
        <f t="shared" si="3"/>
        <v>2719347.6833381839</v>
      </c>
    </row>
    <row r="20" spans="2:16" ht="15" customHeight="1" x14ac:dyDescent="0.2">
      <c r="B20" s="9" t="s">
        <v>65</v>
      </c>
      <c r="C20" s="10">
        <f>SUMIFS('MF - Lots'!$O:$O,'MF - Lots'!$D:$D,B20)+SUMIFS('Equities - Lots'!$L:$L,'Equities - Lots'!$E:$E,B20)+IF(B20="Digital Assets",'Crypto - Lots'!J32,0)</f>
        <v>467482.09919999988</v>
      </c>
      <c r="D20" s="10">
        <f>SUMIFS('MF - Lots'!$P:$P,'MF - Lots'!$D:$D,B20)+SUMIFS('Equities - Lots'!$M:$M,'Equities - Lots'!$E:$E,B20)+IF(B20="Digital Assets",'Crypto - Lots'!K32,0)</f>
        <v>467655.28971721989</v>
      </c>
      <c r="E20" s="11">
        <f t="shared" si="0"/>
        <v>1.8258797856631395E-2</v>
      </c>
      <c r="F20" s="12">
        <f t="shared" si="1"/>
        <v>173.19051722000586</v>
      </c>
      <c r="H20" s="9" t="s">
        <v>66</v>
      </c>
      <c r="I20" s="10">
        <f>SUMIFS('MF - Lots'!$O:$O,'MF - Lots'!$F:$F,H20)+SUMIFS('Equities - Lots'!$L:$L,'Equities - Lots'!$F:$F,H20)+IF(H20="Global",'Crypto - Lots'!J32,0)</f>
        <v>1215500</v>
      </c>
      <c r="J20" s="10">
        <f>SUMIFS('MF - Lots'!$P:$P,'MF - Lots'!$F:$F,H20)+SUMIFS('Equities - Lots'!$M:$M,'Equities - Lots'!$F:$F,H20)+IF(H20="Global",'Crypto - Lots'!K32,0)</f>
        <v>1306914.7381851997</v>
      </c>
      <c r="K20" s="11">
        <f t="shared" si="2"/>
        <v>5.102624207416772E-2</v>
      </c>
      <c r="L20" s="12">
        <f t="shared" si="3"/>
        <v>91414.738185199676</v>
      </c>
    </row>
    <row r="21" spans="2:16" ht="15" customHeight="1" x14ac:dyDescent="0.2">
      <c r="B21" s="9" t="s">
        <v>67</v>
      </c>
      <c r="C21" s="10">
        <f>SUMIFS('MF - Lots'!$O:$O,'MF - Lots'!$D:$D,B21)+SUMIFS('Equities - Lots'!$L:$L,'Equities - Lots'!$E:$E,B21)+IF(B21="Digital Assets",'Crypto - Lots'!J32,0)</f>
        <v>1692484.2613636358</v>
      </c>
      <c r="D21" s="10">
        <f>SUMIFS('MF - Lots'!$P:$P,'MF - Lots'!$D:$D,B21)+SUMIFS('Equities - Lots'!$M:$M,'Equities - Lots'!$E:$E,B21)+IF(B21="Digital Assets",'Crypto - Lots'!K32,0)</f>
        <v>1339357.6953334464</v>
      </c>
      <c r="E21" s="11">
        <f t="shared" si="0"/>
        <v>5.2292921633805306E-2</v>
      </c>
      <c r="F21" s="12">
        <f t="shared" si="1"/>
        <v>-353126.56603018939</v>
      </c>
      <c r="H21" s="9" t="s">
        <v>68</v>
      </c>
      <c r="I21" s="10">
        <f>SUMIFS('MF - Lots'!$O:$O,'MF - Lots'!$F:$F,H21)+SUMIFS('Equities - Lots'!$L:$L,'Equities - Lots'!$F:$F,H21)+IF(H21="Global",'Crypto - Lots'!J32,0)</f>
        <v>1320000</v>
      </c>
      <c r="J21" s="10">
        <f>SUMIFS('MF - Lots'!$P:$P,'MF - Lots'!$F:$F,H21)+SUMIFS('Equities - Lots'!$M:$M,'Equities - Lots'!$F:$F,H21)+IF(H21="Global",'Crypto - Lots'!K32,0)</f>
        <v>923367.55106119998</v>
      </c>
      <c r="K21" s="11">
        <f t="shared" si="2"/>
        <v>3.6051300675747314E-2</v>
      </c>
      <c r="L21" s="12">
        <f t="shared" si="3"/>
        <v>-396632.44893880002</v>
      </c>
    </row>
    <row r="22" spans="2:16" ht="15" customHeight="1" x14ac:dyDescent="0.2">
      <c r="B22" s="13" t="s">
        <v>69</v>
      </c>
      <c r="C22" s="14">
        <f>SUM(C16:C21)</f>
        <v>21788985.148958936</v>
      </c>
      <c r="D22" s="14">
        <f>SUM(D16:D21)</f>
        <v>25612600.20452949</v>
      </c>
      <c r="E22" s="15">
        <f>SUM(E16:E21)</f>
        <v>0.99999999999999989</v>
      </c>
      <c r="F22" s="14">
        <f>SUM(F16:F21)</f>
        <v>3823615.0555705545</v>
      </c>
      <c r="H22" s="9" t="s">
        <v>70</v>
      </c>
      <c r="I22" s="10">
        <f>SUMIFS('MF - Lots'!$O:$O,'MF - Lots'!$F:$F,H22)+SUMIFS('Equities - Lots'!$L:$L,'Equities - Lots'!$F:$F,H22)+IF(H22="Global",'Crypto - Lots'!J32,0)</f>
        <v>100000</v>
      </c>
      <c r="J22" s="10">
        <f>SUMIFS('MF - Lots'!$P:$P,'MF - Lots'!$F:$F,H22)+SUMIFS('Equities - Lots'!$M:$M,'Equities - Lots'!$F:$F,H22)+IF(H22="Global",'Crypto - Lots'!K32,0)</f>
        <v>130615.30851136</v>
      </c>
      <c r="K22" s="11">
        <f t="shared" si="2"/>
        <v>5.0996504637690456E-3</v>
      </c>
      <c r="L22" s="12">
        <f t="shared" si="3"/>
        <v>30615.308511359995</v>
      </c>
    </row>
    <row r="23" spans="2:16" ht="15" customHeight="1" x14ac:dyDescent="0.2">
      <c r="H23" s="9" t="s">
        <v>71</v>
      </c>
      <c r="I23" s="10">
        <f>SUMIFS('MF - Lots'!$O:$O,'MF - Lots'!$F:$F,H23)+SUMIFS('Equities - Lots'!$L:$L,'Equities - Lots'!$F:$F,H23)+IF(H23="Global",'Crypto - Lots'!J32,0)</f>
        <v>100000</v>
      </c>
      <c r="J23" s="10">
        <f>SUMIFS('MF - Lots'!$P:$P,'MF - Lots'!$F:$F,H23)+SUMIFS('Equities - Lots'!$M:$M,'Equities - Lots'!$F:$F,H23)+IF(H23="Global",'Crypto - Lots'!K32,0)</f>
        <v>70803.950546480002</v>
      </c>
      <c r="K23" s="11">
        <f t="shared" si="2"/>
        <v>2.7644186838147963E-3</v>
      </c>
      <c r="L23" s="12">
        <f t="shared" si="3"/>
        <v>-29196.049453519998</v>
      </c>
    </row>
    <row r="24" spans="2:16" ht="15" customHeight="1" x14ac:dyDescent="0.2">
      <c r="H24" s="13" t="s">
        <v>69</v>
      </c>
      <c r="I24" s="14">
        <f>SUM(I16:I23)</f>
        <v>21788985.148958936</v>
      </c>
      <c r="J24" s="14">
        <f>SUM(J16:J23)</f>
        <v>25612600.204529494</v>
      </c>
      <c r="K24" s="15">
        <f>SUM(K16:K23)</f>
        <v>1</v>
      </c>
      <c r="L24" s="14">
        <f>SUM(L16:L23)</f>
        <v>3823615.0555705572</v>
      </c>
    </row>
    <row r="26" spans="2:16" ht="21.75" customHeight="1" x14ac:dyDescent="0.2">
      <c r="B26" s="54" t="s">
        <v>72</v>
      </c>
      <c r="C26" s="50"/>
      <c r="D26" s="50"/>
      <c r="E26" s="50"/>
      <c r="F26" s="50"/>
      <c r="H26" s="54" t="s">
        <v>73</v>
      </c>
      <c r="I26" s="50"/>
      <c r="J26" s="50"/>
      <c r="K26" s="50"/>
      <c r="L26" s="50"/>
    </row>
    <row r="27" spans="2:16" ht="30" customHeight="1" x14ac:dyDescent="0.2">
      <c r="B27" s="8" t="s">
        <v>74</v>
      </c>
      <c r="C27" s="8" t="s">
        <v>52</v>
      </c>
      <c r="D27" s="8" t="s">
        <v>53</v>
      </c>
      <c r="E27" s="8" t="s">
        <v>54</v>
      </c>
      <c r="F27" s="8" t="s">
        <v>55</v>
      </c>
      <c r="H27" s="8" t="s">
        <v>75</v>
      </c>
      <c r="I27" s="8" t="s">
        <v>76</v>
      </c>
      <c r="J27" s="8" t="s">
        <v>77</v>
      </c>
      <c r="K27" s="8" t="s">
        <v>53</v>
      </c>
      <c r="L27" s="8" t="s">
        <v>54</v>
      </c>
      <c r="N27" s="16" t="s">
        <v>78</v>
      </c>
      <c r="O27" s="16" t="s">
        <v>79</v>
      </c>
      <c r="P27" s="16" t="s">
        <v>80</v>
      </c>
    </row>
    <row r="28" spans="2:16" ht="15" customHeight="1" x14ac:dyDescent="0.2">
      <c r="B28" s="9" t="s">
        <v>81</v>
      </c>
      <c r="C28" s="10">
        <f>SUMIFS('MF - Lots'!$O:$O,'MF - Lots'!$G:$G,B28)+IF(B28="Taxable",'Equities - Lots'!L53+'Crypto - Lots'!J32,0)</f>
        <v>6635386.29</v>
      </c>
      <c r="D28" s="10">
        <f>SUMIFS('MF - Lots'!$P:$P,'MF - Lots'!$G:$G,B28)+IF(B28="Taxable",'Equities - Lots'!M53+'Crypto - Lots'!K32,0)</f>
        <v>8525182.5932602193</v>
      </c>
      <c r="E28" s="11">
        <f t="shared" ref="E28:E33" si="4">IFERROR(D28/SUM($D$28:$D$33),0)</f>
        <v>0.33285111723067351</v>
      </c>
      <c r="F28" s="12">
        <f t="shared" ref="F28:F33" si="5">D28-C28</f>
        <v>1889796.3032602193</v>
      </c>
      <c r="H28" s="17">
        <v>1</v>
      </c>
      <c r="I28" s="18" t="str">
        <f>IFERROR(INDEX($N$28:$N$120,MATCH(LARGE($P$28:$P$120,1),$P$28:$P$120,0)),"")</f>
        <v>SCBKEQTG</v>
      </c>
      <c r="J28" s="18" t="str">
        <f>IFERROR(INDEX($O$28:$O$120,MATCH(LARGE($P$28:$P$120,1),$P$28:$P$120,0)),"")</f>
        <v>SCBAM</v>
      </c>
      <c r="K28" s="10">
        <f>LARGE($P$28:$P$120,1)</f>
        <v>5189123.3419921603</v>
      </c>
      <c r="L28" s="11">
        <f t="shared" ref="L28:L37" si="6">IFERROR(K28/$D$22,0)</f>
        <v>0.20260041153785252</v>
      </c>
      <c r="N28" s="19" t="str">
        <f>'MF - by Fund'!B5</f>
        <v>ASP-AIEQ</v>
      </c>
      <c r="O28" s="19" t="str">
        <f>'MF - by Fund'!C5</f>
        <v>Asset Plus</v>
      </c>
      <c r="P28" s="20">
        <f>'MF - by Fund'!K5</f>
        <v>248184.15844066005</v>
      </c>
    </row>
    <row r="29" spans="2:16" ht="15" customHeight="1" x14ac:dyDescent="0.2">
      <c r="B29" s="9" t="s">
        <v>82</v>
      </c>
      <c r="C29" s="10">
        <f>SUMIFS('MF - Lots'!$O:$O,'MF - Lots'!$G:$G,B29)+IF(B29="Taxable",'Equities - Lots'!L53+'Crypto - Lots'!J32,0)</f>
        <v>5865191.5899999999</v>
      </c>
      <c r="D29" s="10">
        <f>SUMIFS('MF - Lots'!$P:$P,'MF - Lots'!$G:$G,B29)+IF(B29="Taxable",'Equities - Lots'!M53+'Crypto - Lots'!K32,0)</f>
        <v>7885481.0201926939</v>
      </c>
      <c r="E29" s="11">
        <f t="shared" si="4"/>
        <v>0.30787506763167982</v>
      </c>
      <c r="F29" s="12">
        <f t="shared" si="5"/>
        <v>2020289.4301926941</v>
      </c>
      <c r="H29" s="17">
        <v>2</v>
      </c>
      <c r="I29" s="18" t="str">
        <f>IFERROR(INDEX($N$28:$N$120,MATCH(LARGE($P$28:$P$120,2),$P$28:$P$120,0)),"")</f>
        <v>ES-US500RMF</v>
      </c>
      <c r="J29" s="18" t="str">
        <f>IFERROR(INDEX($O$28:$O$120,MATCH(LARGE($P$28:$P$120,2),$P$28:$P$120,0)),"")</f>
        <v>East Spring</v>
      </c>
      <c r="K29" s="10">
        <f>LARGE($P$28:$P$120,2)</f>
        <v>3530102.1414172803</v>
      </c>
      <c r="L29" s="11">
        <f t="shared" si="6"/>
        <v>0.13782677718106087</v>
      </c>
      <c r="N29" s="19" t="str">
        <f>'MF - by Fund'!B6</f>
        <v>ASP-DGOV-R</v>
      </c>
      <c r="O29" s="19" t="str">
        <f>'MF - by Fund'!C6</f>
        <v>Asset Plus</v>
      </c>
      <c r="P29" s="20">
        <f>'MF - by Fund'!K6</f>
        <v>9011.9086444799996</v>
      </c>
    </row>
    <row r="30" spans="2:16" ht="15" customHeight="1" x14ac:dyDescent="0.2">
      <c r="B30" s="9" t="s">
        <v>83</v>
      </c>
      <c r="C30" s="10">
        <f>SUMIFS('MF - Lots'!$O:$O,'MF - Lots'!$G:$G,B30)+IF(B30="Taxable",'Equities - Lots'!L53+'Crypto - Lots'!J32,0)</f>
        <v>500000</v>
      </c>
      <c r="D30" s="10">
        <f>SUMIFS('MF - Lots'!$P:$P,'MF - Lots'!$G:$G,B30)+IF(B30="Taxable",'Equities - Lots'!M53+'Crypto - Lots'!K32,0)</f>
        <v>638386.73908923008</v>
      </c>
      <c r="E30" s="11">
        <f t="shared" si="4"/>
        <v>2.4924714163786218E-2</v>
      </c>
      <c r="F30" s="12">
        <f t="shared" si="5"/>
        <v>138386.73908923008</v>
      </c>
      <c r="H30" s="17">
        <v>3</v>
      </c>
      <c r="I30" s="18" t="str">
        <f>IFERROR(INDEX($N$28:$N$120,MATCH(LARGE($P$28:$P$120,3),$P$28:$P$120,0)),"")</f>
        <v>K-VIETNAMRMF</v>
      </c>
      <c r="J30" s="18" t="str">
        <f>IFERROR(INDEX($O$28:$O$120,MATCH(LARGE($P$28:$P$120,3),$P$28:$P$120,0)),"")</f>
        <v>K Asset</v>
      </c>
      <c r="K30" s="10">
        <f>LARGE($P$28:$P$120,3)</f>
        <v>1183703.4955251999</v>
      </c>
      <c r="L30" s="11">
        <f t="shared" si="6"/>
        <v>4.6215670649318398E-2</v>
      </c>
      <c r="N30" s="19" t="str">
        <f>'MF - by Fund'!B7</f>
        <v>ASP-EUG</v>
      </c>
      <c r="O30" s="19" t="str">
        <f>'MF - by Fund'!C7</f>
        <v>Asset Plus</v>
      </c>
      <c r="P30" s="20">
        <f>'MF - by Fund'!K7</f>
        <v>70803.950546480002</v>
      </c>
    </row>
    <row r="31" spans="2:16" ht="15" customHeight="1" x14ac:dyDescent="0.2">
      <c r="B31" s="9" t="s">
        <v>84</v>
      </c>
      <c r="C31" s="10">
        <f>SUMIFS('MF - Lots'!$O:$O,'MF - Lots'!$G:$G,B31)+IF(B31="Taxable",'Equities - Lots'!L53+'Crypto - Lots'!J32,0)</f>
        <v>1000000</v>
      </c>
      <c r="D31" s="10">
        <f>SUMIFS('MF - Lots'!$P:$P,'MF - Lots'!$G:$G,B31)+IF(B31="Taxable",'Equities - Lots'!M53+'Crypto - Lots'!K32,0)</f>
        <v>1040133.0517135599</v>
      </c>
      <c r="E31" s="11">
        <f t="shared" si="4"/>
        <v>4.0610209170782126E-2</v>
      </c>
      <c r="F31" s="12">
        <f t="shared" si="5"/>
        <v>40133.051713559893</v>
      </c>
      <c r="H31" s="17">
        <v>4</v>
      </c>
      <c r="I31" s="18" t="str">
        <f>IFERROR(INDEX($N$28:$N$120,MATCH(LARGE($P$28:$P$120,4),$P$28:$P$120,0)),"")</f>
        <v>K-GHRMF</v>
      </c>
      <c r="J31" s="18" t="str">
        <f>IFERROR(INDEX($O$28:$O$120,MATCH(LARGE($P$28:$P$120,4),$P$28:$P$120,0)),"")</f>
        <v>K Asset</v>
      </c>
      <c r="K31" s="10">
        <f>LARGE($P$28:$P$120,4)</f>
        <v>1108001.0269629599</v>
      </c>
      <c r="L31" s="11">
        <f t="shared" si="6"/>
        <v>4.3259997739980113E-2</v>
      </c>
      <c r="N31" s="19" t="str">
        <f>'MF - by Fund'!B8</f>
        <v>ASP-EVOCHINA</v>
      </c>
      <c r="O31" s="19" t="str">
        <f>'MF - by Fund'!C8</f>
        <v>Asset Plus</v>
      </c>
      <c r="P31" s="20">
        <f>'MF - by Fund'!K8</f>
        <v>136769.6129562</v>
      </c>
    </row>
    <row r="32" spans="2:16" ht="15" customHeight="1" x14ac:dyDescent="0.2">
      <c r="B32" s="9" t="s">
        <v>85</v>
      </c>
      <c r="C32" s="10">
        <f>SUMIFS('MF - Lots'!$O:$O,'MF - Lots'!$G:$G,B32)+IF(B32="Taxable",'Equities - Lots'!L53+'Crypto - Lots'!J32,0)</f>
        <v>1095000</v>
      </c>
      <c r="D32" s="10">
        <f>SUMIFS('MF - Lots'!$P:$P,'MF - Lots'!$G:$G,B32)+IF(B32="Taxable",'Equities - Lots'!M53+'Crypto - Lots'!K32,0)</f>
        <v>932032.32450615987</v>
      </c>
      <c r="E32" s="11">
        <f t="shared" si="4"/>
        <v>3.6389601878115185E-2</v>
      </c>
      <c r="F32" s="12">
        <f t="shared" si="5"/>
        <v>-162967.67549384013</v>
      </c>
      <c r="H32" s="17">
        <v>5</v>
      </c>
      <c r="I32" s="18" t="str">
        <f>IFERROR(INDEX($N$28:$N$120,MATCH(LARGE($P$28:$P$120,5),$P$28:$P$120,0)),"")</f>
        <v>BFLRMF</v>
      </c>
      <c r="J32" s="18" t="str">
        <f>IFERROR(INDEX($O$28:$O$120,MATCH(LARGE($P$28:$P$120,5),$P$28:$P$120,0)),"")</f>
        <v>BBLAM</v>
      </c>
      <c r="K32" s="10">
        <f>LARGE($P$28:$P$120,5)</f>
        <v>847534.56744528003</v>
      </c>
      <c r="L32" s="11">
        <f t="shared" si="6"/>
        <v>3.3090532030223031E-2</v>
      </c>
      <c r="N32" s="19" t="str">
        <f>'MF - by Fund'!B9</f>
        <v>ASP-FLEXPLUS</v>
      </c>
      <c r="O32" s="19" t="str">
        <f>'MF - by Fund'!C9</f>
        <v>Asset Plus</v>
      </c>
      <c r="P32" s="20">
        <f>'MF - by Fund'!K9</f>
        <v>46215.170997119996</v>
      </c>
    </row>
    <row r="33" spans="2:16" ht="15" customHeight="1" x14ac:dyDescent="0.2">
      <c r="B33" s="9" t="s">
        <v>86</v>
      </c>
      <c r="C33" s="10">
        <f>SUMIFS('MF - Lots'!$O:$O,'MF - Lots'!$G:$G,B33)+IF(B33="Taxable",'Equities - Lots'!L53+'Crypto - Lots'!J32,0)</f>
        <v>6693407.2689589374</v>
      </c>
      <c r="D33" s="10">
        <f>SUMIFS('MF - Lots'!$P:$P,'MF - Lots'!$G:$G,B33)+IF(B33="Taxable",'Equities - Lots'!M53+'Crypto - Lots'!K32,0)</f>
        <v>6591384.4757676329</v>
      </c>
      <c r="E33" s="11">
        <f t="shared" si="4"/>
        <v>0.2573492899249632</v>
      </c>
      <c r="F33" s="12">
        <f t="shared" si="5"/>
        <v>-102022.79319130443</v>
      </c>
      <c r="H33" s="17">
        <v>6</v>
      </c>
      <c r="I33" s="18" t="str">
        <f>IFERROR(INDEX($N$28:$N$120,MATCH(LARGE($P$28:$P$120,6),$P$28:$P$120,0)),"")</f>
        <v>K-CHX</v>
      </c>
      <c r="J33" s="18" t="str">
        <f>IFERROR(INDEX($O$28:$O$120,MATCH(LARGE($P$28:$P$120,6),$P$28:$P$120,0)),"")</f>
        <v>K Asset</v>
      </c>
      <c r="K33" s="10">
        <f>LARGE($P$28:$P$120,6)</f>
        <v>786597.93810499995</v>
      </c>
      <c r="L33" s="11">
        <f t="shared" si="6"/>
        <v>3.0711365961426013E-2</v>
      </c>
      <c r="N33" s="19" t="str">
        <f>'MF - by Fund'!B10</f>
        <v>ASP-JHC</v>
      </c>
      <c r="O33" s="19" t="str">
        <f>'MF - by Fund'!C10</f>
        <v>Asset Plus</v>
      </c>
      <c r="P33" s="20">
        <f>'MF - by Fund'!K10</f>
        <v>130615.30851136</v>
      </c>
    </row>
    <row r="34" spans="2:16" ht="15" customHeight="1" x14ac:dyDescent="0.2">
      <c r="B34" s="13" t="s">
        <v>69</v>
      </c>
      <c r="C34" s="14">
        <f>SUM(C28:C33)</f>
        <v>21788985.148958936</v>
      </c>
      <c r="D34" s="14">
        <f>SUM(D28:D33)</f>
        <v>25612600.204529494</v>
      </c>
      <c r="E34" s="15">
        <f>SUM(E28:E33)</f>
        <v>1</v>
      </c>
      <c r="F34" s="14">
        <f>SUM(F28:F33)</f>
        <v>3823615.0555705586</v>
      </c>
      <c r="H34" s="17">
        <v>7</v>
      </c>
      <c r="I34" s="18" t="str">
        <f>IFERROR(INDEX($N$28:$N$120,MATCH(LARGE($P$28:$P$120,7),$P$28:$P$120,0)),"")</f>
        <v>K-USA-A(D)</v>
      </c>
      <c r="J34" s="18" t="str">
        <f>IFERROR(INDEX($O$28:$O$120,MATCH(LARGE($P$28:$P$120,7),$P$28:$P$120,0)),"")</f>
        <v>K Asset</v>
      </c>
      <c r="K34" s="10">
        <f>LARGE($P$28:$P$120,7)</f>
        <v>740847.11822819989</v>
      </c>
      <c r="L34" s="11">
        <f t="shared" si="6"/>
        <v>2.8925103750191826E-2</v>
      </c>
      <c r="N34" s="19" t="str">
        <f>'MF - by Fund'!B11</f>
        <v>ASP-SME-A</v>
      </c>
      <c r="O34" s="19" t="str">
        <f>'MF - by Fund'!C11</f>
        <v>Asset Plus</v>
      </c>
      <c r="P34" s="20">
        <f>'MF - by Fund'!K11</f>
        <v>374052.88693719998</v>
      </c>
    </row>
    <row r="35" spans="2:16" ht="15" customHeight="1" x14ac:dyDescent="0.2">
      <c r="H35" s="17">
        <v>8</v>
      </c>
      <c r="I35" s="18" t="str">
        <f>IFERROR(INDEX($N$28:$N$120,MATCH(LARGE($P$28:$P$120,8),$P$28:$P$120,0)),"")</f>
        <v>EWY</v>
      </c>
      <c r="J35" s="18" t="str">
        <f>IFERROR(INDEX($O$28:$O$120,MATCH(LARGE($P$28:$P$120,8),$P$28:$P$120,0)),"")</f>
        <v>Dime</v>
      </c>
      <c r="K35" s="10">
        <f>LARGE($P$28:$P$120,8)</f>
        <v>688540.56005925906</v>
      </c>
      <c r="L35" s="11">
        <f t="shared" si="6"/>
        <v>2.6882883993070462E-2</v>
      </c>
      <c r="N35" s="19" t="str">
        <f>'MF - by Fund'!B12</f>
        <v>ASP-THGEQ-T</v>
      </c>
      <c r="O35" s="19" t="str">
        <f>'MF - by Fund'!C12</f>
        <v>Asset Plus</v>
      </c>
      <c r="P35" s="20">
        <f>'MF - by Fund'!K12</f>
        <v>118151.88314517</v>
      </c>
    </row>
    <row r="36" spans="2:16" ht="15" customHeight="1" x14ac:dyDescent="0.2">
      <c r="H36" s="17">
        <v>9</v>
      </c>
      <c r="I36" s="18" t="str">
        <f>IFERROR(INDEX($N$28:$N$120,MATCH(LARGE($P$28:$P$120,9),$P$28:$P$120,0)),"")</f>
        <v>BCARERMF</v>
      </c>
      <c r="J36" s="18" t="str">
        <f>IFERROR(INDEX($O$28:$O$120,MATCH(LARGE($P$28:$P$120,9),$P$28:$P$120,0)),"")</f>
        <v>BBLAM</v>
      </c>
      <c r="K36" s="10">
        <f>LARGE($P$28:$P$120,9)</f>
        <v>654559.32071471994</v>
      </c>
      <c r="L36" s="11">
        <f t="shared" si="6"/>
        <v>2.5556144846198146E-2</v>
      </c>
      <c r="N36" s="19" t="str">
        <f>'MF - by Fund'!B13</f>
        <v>B-EQUITY</v>
      </c>
      <c r="O36" s="19" t="str">
        <f>'MF - by Fund'!C13</f>
        <v>BBLAM</v>
      </c>
      <c r="P36" s="20">
        <f>'MF - by Fund'!K13</f>
        <v>321699.83629667998</v>
      </c>
    </row>
    <row r="37" spans="2:16" ht="15" customHeight="1" x14ac:dyDescent="0.2">
      <c r="H37" s="17">
        <v>10</v>
      </c>
      <c r="I37" s="18" t="str">
        <f>IFERROR(INDEX($N$28:$N$120,MATCH(LARGE($P$28:$P$120,10),$P$28:$P$120,0)),"")</f>
        <v>GULF</v>
      </c>
      <c r="J37" s="18" t="str">
        <f>IFERROR(INDEX($O$28:$O$120,MATCH(LARGE($P$28:$P$120,10),$P$28:$P$120,0)),"")</f>
        <v>Asia Plus Securities</v>
      </c>
      <c r="K37" s="10">
        <f>LARGE($P$28:$P$120,10)</f>
        <v>638414</v>
      </c>
      <c r="L37" s="11">
        <f t="shared" si="6"/>
        <v>2.4925778519242218E-2</v>
      </c>
      <c r="N37" s="19" t="str">
        <f>'MF - by Fund'!B14</f>
        <v>B-MIXED75</v>
      </c>
      <c r="O37" s="19" t="str">
        <f>'MF - by Fund'!C14</f>
        <v>BBLAM</v>
      </c>
      <c r="P37" s="20">
        <f>'MF - by Fund'!K14</f>
        <v>195037.04845052998</v>
      </c>
    </row>
    <row r="38" spans="2:16" ht="15" customHeight="1" x14ac:dyDescent="0.2">
      <c r="H38" s="21"/>
      <c r="I38" s="22"/>
      <c r="J38" s="22"/>
      <c r="K38" s="23"/>
      <c r="L38" s="24"/>
      <c r="N38" s="19"/>
      <c r="O38" s="19"/>
      <c r="P38" s="20"/>
    </row>
    <row r="39" spans="2:16" ht="21.75" customHeight="1" x14ac:dyDescent="0.2">
      <c r="B39" s="54" t="s">
        <v>87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N39" s="19" t="str">
        <f>'MF - by Fund'!B15</f>
        <v>BCARERMF</v>
      </c>
      <c r="O39" s="19" t="str">
        <f>'MF - by Fund'!C15</f>
        <v>BBLAM</v>
      </c>
      <c r="P39" s="20">
        <f>'MF - by Fund'!K15</f>
        <v>654559.32071471994</v>
      </c>
    </row>
    <row r="40" spans="2:16" ht="30" customHeight="1" x14ac:dyDescent="0.2">
      <c r="B40" s="8" t="s">
        <v>88</v>
      </c>
      <c r="C40" s="8" t="s">
        <v>52</v>
      </c>
      <c r="D40" s="8" t="s">
        <v>53</v>
      </c>
      <c r="E40" s="8" t="s">
        <v>54</v>
      </c>
      <c r="F40" s="8" t="s">
        <v>55</v>
      </c>
      <c r="N40" s="19" t="str">
        <f>'MF - by Fund'!B16</f>
        <v>BERMF</v>
      </c>
      <c r="O40" s="19" t="str">
        <f>'MF - by Fund'!C16</f>
        <v>BBLAM</v>
      </c>
      <c r="P40" s="20">
        <f>'MF - by Fund'!K16</f>
        <v>188052.24339824996</v>
      </c>
    </row>
    <row r="41" spans="2:16" ht="15" customHeight="1" x14ac:dyDescent="0.2">
      <c r="B41" s="9" t="s">
        <v>89</v>
      </c>
      <c r="C41" s="10">
        <f>SUMIFS('MF - Lots'!$O:$O,'MF - Lots'!$E:$E,B41)+SUMIFS('Equities - Lots'!$L:$L,'Equities - Lots'!$G:$G,B41)+SUMIFS('Crypto - Lots'!$J:$J,'Crypto - Lots'!$E:$E,B41)</f>
        <v>2700191.59</v>
      </c>
      <c r="D41" s="10">
        <f>SUMIFS('MF - Lots'!$P:$P,'MF - Lots'!$E:$E,B41)+SUMIFS('Equities - Lots'!$M:$M,'Equities - Lots'!$G:$G,B41)+SUMIFS('Crypto - Lots'!$K:$K,'Crypto - Lots'!$E:$E,B41)</f>
        <v>4270949.2596454807</v>
      </c>
      <c r="E41" s="11">
        <f t="shared" ref="E41:E60" si="7">IFERROR(D41/$D$22,0)</f>
        <v>0.16675188093125273</v>
      </c>
      <c r="F41" s="12">
        <f t="shared" ref="F41:F60" si="8">D41-C41</f>
        <v>1570757.6696454808</v>
      </c>
      <c r="N41" s="19" t="str">
        <f>'MF - by Fund'!B17</f>
        <v>BFLRMF</v>
      </c>
      <c r="O41" s="19" t="str">
        <f>'MF - by Fund'!C17</f>
        <v>BBLAM</v>
      </c>
      <c r="P41" s="20">
        <f>'MF - by Fund'!K17</f>
        <v>847534.56744528003</v>
      </c>
    </row>
    <row r="42" spans="2:16" ht="15" customHeight="1" x14ac:dyDescent="0.2">
      <c r="B42" s="9" t="s">
        <v>90</v>
      </c>
      <c r="C42" s="10">
        <f>SUMIFS('MF - Lots'!$O:$O,'MF - Lots'!$E:$E,B42)+SUMIFS('Equities - Lots'!$L:$L,'Equities - Lots'!$G:$G,B42)+SUMIFS('Crypto - Lots'!$J:$J,'Crypto - Lots'!$E:$E,B42)</f>
        <v>3158316.2187132351</v>
      </c>
      <c r="D42" s="10">
        <f>SUMIFS('MF - Lots'!$P:$P,'MF - Lots'!$E:$E,B42)+SUMIFS('Equities - Lots'!$M:$M,'Equities - Lots'!$G:$G,B42)+SUMIFS('Crypto - Lots'!$K:$K,'Crypto - Lots'!$E:$E,B42)</f>
        <v>5877663.902051419</v>
      </c>
      <c r="E42" s="11">
        <f t="shared" si="7"/>
        <v>0.22948329553092298</v>
      </c>
      <c r="F42" s="12">
        <f t="shared" si="8"/>
        <v>2719347.6833381839</v>
      </c>
      <c r="N42" s="19" t="str">
        <f>'MF - by Fund'!B18</f>
        <v>BFRMF</v>
      </c>
      <c r="O42" s="19" t="str">
        <f>'MF - by Fund'!C18</f>
        <v>BBLAM</v>
      </c>
      <c r="P42" s="20">
        <f>'MF - by Fund'!K18</f>
        <v>373528.22472899989</v>
      </c>
    </row>
    <row r="43" spans="2:16" ht="15" customHeight="1" x14ac:dyDescent="0.2">
      <c r="B43" s="9" t="s">
        <v>91</v>
      </c>
      <c r="C43" s="10">
        <f>SUMIFS('MF - Lots'!$O:$O,'MF - Lots'!$E:$E,B43)+SUMIFS('Equities - Lots'!$L:$L,'Equities - Lots'!$G:$G,B43)+SUMIFS('Crypto - Lots'!$J:$J,'Crypto - Lots'!$E:$E,B43)</f>
        <v>2096000</v>
      </c>
      <c r="D43" s="10">
        <f>SUMIFS('MF - Lots'!$P:$P,'MF - Lots'!$E:$E,B43)+SUMIFS('Equities - Lots'!$M:$M,'Equities - Lots'!$G:$G,B43)+SUMIFS('Crypto - Lots'!$K:$K,'Crypto - Lots'!$E:$E,B43)</f>
        <v>2181164.0713185901</v>
      </c>
      <c r="E43" s="11">
        <f t="shared" si="7"/>
        <v>8.5159806263358589E-2</v>
      </c>
      <c r="F43" s="12">
        <f t="shared" si="8"/>
        <v>85164.071318590082</v>
      </c>
      <c r="N43" s="19" t="str">
        <f>'MF - by Fund'!B19</f>
        <v>ES-MF</v>
      </c>
      <c r="O43" s="19" t="str">
        <f>'MF - by Fund'!C19</f>
        <v>East Spring</v>
      </c>
      <c r="P43" s="20">
        <f>'MF - by Fund'!K19</f>
        <v>636.60690741999997</v>
      </c>
    </row>
    <row r="44" spans="2:16" ht="15" customHeight="1" x14ac:dyDescent="0.2">
      <c r="B44" s="9" t="s">
        <v>92</v>
      </c>
      <c r="C44" s="10">
        <f>SUMIFS('MF - Lots'!$O:$O,'MF - Lots'!$E:$E,B44)+SUMIFS('Equities - Lots'!$L:$L,'Equities - Lots'!$G:$G,B44)+SUMIFS('Crypto - Lots'!$J:$J,'Crypto - Lots'!$E:$E,B44)</f>
        <v>1610000</v>
      </c>
      <c r="D44" s="10">
        <f>SUMIFS('MF - Lots'!$P:$P,'MF - Lots'!$E:$E,B44)+SUMIFS('Equities - Lots'!$M:$M,'Equities - Lots'!$G:$G,B44)+SUMIFS('Crypto - Lots'!$K:$K,'Crypto - Lots'!$E:$E,B44)</f>
        <v>1762560.3476776797</v>
      </c>
      <c r="E44" s="11">
        <f t="shared" si="7"/>
        <v>6.8816142586178256E-2</v>
      </c>
      <c r="F44" s="12">
        <f t="shared" si="8"/>
        <v>152560.34767767973</v>
      </c>
      <c r="N44" s="19" t="str">
        <f>'MF - by Fund'!B20</f>
        <v>ES-US500RMF</v>
      </c>
      <c r="O44" s="19" t="str">
        <f>'MF - by Fund'!C20</f>
        <v>East Spring</v>
      </c>
      <c r="P44" s="20">
        <f>'MF - by Fund'!K20</f>
        <v>3530102.1414172803</v>
      </c>
    </row>
    <row r="45" spans="2:16" ht="15" customHeight="1" x14ac:dyDescent="0.2">
      <c r="B45" s="9" t="s">
        <v>93</v>
      </c>
      <c r="C45" s="10">
        <f>'Crypto - Lots'!J32</f>
        <v>1692484.2613636358</v>
      </c>
      <c r="D45" s="10">
        <f>'Crypto - Lots'!K32</f>
        <v>1339357.6953334464</v>
      </c>
      <c r="E45" s="11">
        <f t="shared" si="7"/>
        <v>5.2292921633805306E-2</v>
      </c>
      <c r="F45" s="12">
        <f t="shared" si="8"/>
        <v>-353126.56603018939</v>
      </c>
      <c r="N45" s="19" t="str">
        <f>'MF - by Fund'!B21</f>
        <v>K-CHX</v>
      </c>
      <c r="O45" s="19" t="str">
        <f>'MF - by Fund'!C21</f>
        <v>K Asset</v>
      </c>
      <c r="P45" s="20">
        <f>'MF - by Fund'!K21</f>
        <v>786597.93810499995</v>
      </c>
    </row>
    <row r="46" spans="2:16" ht="15" customHeight="1" x14ac:dyDescent="0.2">
      <c r="B46" s="9" t="s">
        <v>94</v>
      </c>
      <c r="C46" s="10">
        <f>SUMIFS('MF - Lots'!$O:$O,'MF - Lots'!$E:$E,B46)+SUMIFS('Equities - Lots'!$L:$L,'Equities - Lots'!$G:$G,B46)+SUMIFS('Crypto - Lots'!$J:$J,'Crypto - Lots'!$E:$E,B46)</f>
        <v>1215500</v>
      </c>
      <c r="D46" s="10">
        <f>SUMIFS('MF - Lots'!$P:$P,'MF - Lots'!$E:$E,B46)+SUMIFS('Equities - Lots'!$M:$M,'Equities - Lots'!$G:$G,B46)+SUMIFS('Crypto - Lots'!$K:$K,'Crypto - Lots'!$E:$E,B46)</f>
        <v>1306914.7381851997</v>
      </c>
      <c r="E46" s="11">
        <f t="shared" si="7"/>
        <v>5.1026242074167727E-2</v>
      </c>
      <c r="F46" s="12">
        <f t="shared" si="8"/>
        <v>91414.738185199676</v>
      </c>
      <c r="N46" s="19" t="str">
        <f>'MF - by Fund'!B22</f>
        <v>K-GHRMF</v>
      </c>
      <c r="O46" s="19" t="str">
        <f>'MF - by Fund'!C22</f>
        <v>K Asset</v>
      </c>
      <c r="P46" s="20">
        <f>'MF - by Fund'!K22</f>
        <v>1108001.0269629599</v>
      </c>
    </row>
    <row r="47" spans="2:16" ht="15" customHeight="1" x14ac:dyDescent="0.2">
      <c r="B47" s="9" t="s">
        <v>95</v>
      </c>
      <c r="C47" s="10">
        <f>SUMIFS('MF - Lots'!$O:$O,'MF - Lots'!$E:$E,B47)+SUMIFS('Equities - Lots'!$L:$L,'Equities - Lots'!$G:$G,B47)+SUMIFS('Crypto - Lots'!$J:$J,'Crypto - Lots'!$E:$E,B47)</f>
        <v>1818460.4600000004</v>
      </c>
      <c r="D47" s="10">
        <f>SUMIFS('MF - Lots'!$P:$P,'MF - Lots'!$E:$E,B47)+SUMIFS('Equities - Lots'!$M:$M,'Equities - Lots'!$G:$G,B47)+SUMIFS('Crypto - Lots'!$K:$K,'Crypto - Lots'!$E:$E,B47)</f>
        <v>1301012.2</v>
      </c>
      <c r="E47" s="11">
        <f t="shared" si="7"/>
        <v>5.0795787604958627E-2</v>
      </c>
      <c r="F47" s="12">
        <f t="shared" si="8"/>
        <v>-517448.26000000047</v>
      </c>
      <c r="N47" s="19" t="str">
        <f>'MF - by Fund'!B23</f>
        <v>K-TNZ-ThaiESG</v>
      </c>
      <c r="O47" s="19" t="str">
        <f>'MF - by Fund'!C23</f>
        <v>K Asset</v>
      </c>
      <c r="P47" s="20">
        <f>'MF - by Fund'!K23</f>
        <v>473935.57012955996</v>
      </c>
    </row>
    <row r="48" spans="2:16" ht="15" customHeight="1" x14ac:dyDescent="0.2">
      <c r="B48" s="9" t="s">
        <v>96</v>
      </c>
      <c r="C48" s="10">
        <f>SUMIFS('MF - Lots'!$O:$O,'MF - Lots'!$E:$E,B48)+SUMIFS('Equities - Lots'!$L:$L,'Equities - Lots'!$G:$G,B48)+SUMIFS('Crypto - Lots'!$J:$J,'Crypto - Lots'!$E:$E,B48)</f>
        <v>1170000</v>
      </c>
      <c r="D48" s="10">
        <f>SUMIFS('MF - Lots'!$P:$P,'MF - Lots'!$E:$E,B48)+SUMIFS('Equities - Lots'!$M:$M,'Equities - Lots'!$G:$G,B48)+SUMIFS('Crypto - Lots'!$K:$K,'Crypto - Lots'!$E:$E,B48)</f>
        <v>1088786.7868929298</v>
      </c>
      <c r="E48" s="11">
        <f t="shared" si="7"/>
        <v>4.250981072590912E-2</v>
      </c>
      <c r="F48" s="12">
        <f t="shared" si="8"/>
        <v>-81213.213107070187</v>
      </c>
      <c r="N48" s="19" t="str">
        <f>'MF - by Fund'!B24</f>
        <v>K-USA-A(D)</v>
      </c>
      <c r="O48" s="19" t="str">
        <f>'MF - by Fund'!C24</f>
        <v>K Asset</v>
      </c>
      <c r="P48" s="20">
        <f>'MF - by Fund'!K24</f>
        <v>740847.11822819989</v>
      </c>
    </row>
    <row r="49" spans="2:16" ht="15" customHeight="1" x14ac:dyDescent="0.2">
      <c r="B49" s="9" t="s">
        <v>97</v>
      </c>
      <c r="C49" s="10">
        <f>SUMIFS('MF - Lots'!$O:$O,'MF - Lots'!$E:$E,B49)+SUMIFS('Equities - Lots'!$L:$L,'Equities - Lots'!$G:$G,B49)+SUMIFS('Crypto - Lots'!$J:$J,'Crypto - Lots'!$E:$E,B49)</f>
        <v>930000</v>
      </c>
      <c r="D49" s="10">
        <f>SUMIFS('MF - Lots'!$P:$P,'MF - Lots'!$E:$E,B49)+SUMIFS('Equities - Lots'!$M:$M,'Equities - Lots'!$G:$G,B49)+SUMIFS('Crypto - Lots'!$K:$K,'Crypto - Lots'!$E:$E,B49)</f>
        <v>939725.70631299994</v>
      </c>
      <c r="E49" s="11">
        <f t="shared" si="7"/>
        <v>3.6689976761782005E-2</v>
      </c>
      <c r="F49" s="12">
        <f t="shared" si="8"/>
        <v>9725.7063129999442</v>
      </c>
      <c r="N49" s="19" t="str">
        <f>'MF - by Fund'!B25</f>
        <v>K-VIETNAMRMF</v>
      </c>
      <c r="O49" s="19" t="str">
        <f>'MF - by Fund'!C25</f>
        <v>K Asset</v>
      </c>
      <c r="P49" s="20">
        <f>'MF - by Fund'!K25</f>
        <v>1183703.4955251999</v>
      </c>
    </row>
    <row r="50" spans="2:16" ht="15" customHeight="1" x14ac:dyDescent="0.2">
      <c r="B50" s="9" t="s">
        <v>98</v>
      </c>
      <c r="C50" s="10">
        <f>SUMIFS('MF - Lots'!$O:$O,'MF - Lots'!$E:$E,B50)+SUMIFS('Equities - Lots'!$L:$L,'Equities - Lots'!$G:$G,B50)+SUMIFS('Crypto - Lots'!$J:$J,'Crypto - Lots'!$E:$E,B50)</f>
        <v>1320000</v>
      </c>
      <c r="D50" s="10">
        <f>SUMIFS('MF - Lots'!$P:$P,'MF - Lots'!$E:$E,B50)+SUMIFS('Equities - Lots'!$M:$M,'Equities - Lots'!$G:$G,B50)+SUMIFS('Crypto - Lots'!$K:$K,'Crypto - Lots'!$E:$E,B50)</f>
        <v>923367.55106119998</v>
      </c>
      <c r="E50" s="11">
        <f t="shared" si="7"/>
        <v>3.6051300675747321E-2</v>
      </c>
      <c r="F50" s="12">
        <f t="shared" si="8"/>
        <v>-396632.44893880002</v>
      </c>
      <c r="N50" s="19" t="str">
        <f>'MF - by Fund'!B26</f>
        <v>K-Vietnam</v>
      </c>
      <c r="O50" s="19" t="str">
        <f>'MF - by Fund'!C26</f>
        <v>K Asset</v>
      </c>
      <c r="P50" s="20">
        <f>'MF - by Fund'!K26</f>
        <v>123211.24265999999</v>
      </c>
    </row>
    <row r="51" spans="2:16" ht="15" customHeight="1" x14ac:dyDescent="0.2">
      <c r="B51" s="9" t="s">
        <v>99</v>
      </c>
      <c r="C51" s="10">
        <f>SUMIFS('MF - Lots'!$O:$O,'MF - Lots'!$E:$E,B51)+SUMIFS('Equities - Lots'!$L:$L,'Equities - Lots'!$G:$G,B51)+SUMIFS('Crypto - Lots'!$J:$J,'Crypto - Lots'!$E:$E,B51)</f>
        <v>2124242.1702820649</v>
      </c>
      <c r="D51" s="10">
        <f>SUMIFS('MF - Lots'!$P:$P,'MF - Lots'!$E:$E,B51)+SUMIFS('Equities - Lots'!$M:$M,'Equities - Lots'!$G:$G,B51)+SUMIFS('Crypto - Lots'!$K:$K,'Crypto - Lots'!$E:$E,B51)</f>
        <v>2482570.5011749268</v>
      </c>
      <c r="E51" s="11">
        <f t="shared" si="7"/>
        <v>9.6927702824014472E-2</v>
      </c>
      <c r="F51" s="12">
        <f t="shared" si="8"/>
        <v>358328.33089286182</v>
      </c>
      <c r="N51" s="19" t="str">
        <f>'MF - by Fund'!B28</f>
        <v>SCBGOLDH</v>
      </c>
      <c r="O51" s="19" t="str">
        <f>'MF - by Fund'!C28</f>
        <v>SCBAM</v>
      </c>
      <c r="P51" s="20">
        <f>'MF - by Fund'!K28</f>
        <v>774.73526675999994</v>
      </c>
    </row>
    <row r="52" spans="2:16" ht="15" customHeight="1" x14ac:dyDescent="0.2">
      <c r="B52" s="9" t="s">
        <v>100</v>
      </c>
      <c r="C52" s="10">
        <f>SUMIFS('MF - Lots'!$O:$O,'MF - Lots'!$E:$E,B52)+SUMIFS('Equities - Lots'!$L:$L,'Equities - Lots'!$G:$G,B52)+SUMIFS('Crypto - Lots'!$J:$J,'Crypto - Lots'!$E:$E,B52)</f>
        <v>500400</v>
      </c>
      <c r="D52" s="10">
        <f>SUMIFS('MF - Lots'!$P:$P,'MF - Lots'!$E:$E,B52)+SUMIFS('Equities - Lots'!$M:$M,'Equities - Lots'!$G:$G,B52)+SUMIFS('Crypto - Lots'!$K:$K,'Crypto - Lots'!$E:$E,B52)</f>
        <v>522024.44802707992</v>
      </c>
      <c r="E52" s="11">
        <f t="shared" si="7"/>
        <v>2.0381548294919383E-2</v>
      </c>
      <c r="F52" s="12">
        <f t="shared" si="8"/>
        <v>21624.448027079925</v>
      </c>
      <c r="N52" s="19" t="str">
        <f>'MF - by Fund'!B29</f>
        <v>SCBKEQTG</v>
      </c>
      <c r="O52" s="19" t="str">
        <f>'MF - by Fund'!C29</f>
        <v>SCBAM</v>
      </c>
      <c r="P52" s="20">
        <f>'MF - by Fund'!K29</f>
        <v>5189123.3419921603</v>
      </c>
    </row>
    <row r="53" spans="2:16" ht="15" customHeight="1" x14ac:dyDescent="0.2">
      <c r="B53" s="9" t="s">
        <v>101</v>
      </c>
      <c r="C53" s="10">
        <f>SUMIFS('MF - Lots'!$O:$O,'MF - Lots'!$E:$E,B53)+SUMIFS('Equities - Lots'!$L:$L,'Equities - Lots'!$G:$G,B53)+SUMIFS('Crypto - Lots'!$J:$J,'Crypto - Lots'!$E:$E,B53)</f>
        <v>456803.4291999999</v>
      </c>
      <c r="D53" s="10">
        <f>SUMIFS('MF - Lots'!$P:$P,'MF - Lots'!$E:$E,B53)+SUMIFS('Equities - Lots'!$M:$M,'Equities - Lots'!$G:$G,B53)+SUMIFS('Crypto - Lots'!$K:$K,'Crypto - Lots'!$E:$E,B53)</f>
        <v>456803.4291999999</v>
      </c>
      <c r="E53" s="11">
        <f t="shared" si="7"/>
        <v>1.7835105594597771E-2</v>
      </c>
      <c r="F53" s="12">
        <f t="shared" si="8"/>
        <v>0</v>
      </c>
      <c r="N53" s="19" t="str">
        <f>'MF - by Fund'!B30</f>
        <v>SCBSEMI(A)</v>
      </c>
      <c r="O53" s="19" t="str">
        <f>'MF - by Fund'!C30</f>
        <v>SCBAM</v>
      </c>
      <c r="P53" s="20">
        <f>'MF - by Fund'!K30</f>
        <v>145885.55534153996</v>
      </c>
    </row>
    <row r="54" spans="2:16" ht="15" customHeight="1" x14ac:dyDescent="0.2">
      <c r="B54" s="9" t="s">
        <v>102</v>
      </c>
      <c r="C54" s="10">
        <f>SUMIFS('MF - Lots'!$O:$O,'MF - Lots'!$E:$E,B54)+SUMIFS('Equities - Lots'!$L:$L,'Equities - Lots'!$G:$G,B54)+SUMIFS('Crypto - Lots'!$J:$J,'Crypto - Lots'!$E:$E,B54)</f>
        <v>354000</v>
      </c>
      <c r="D54" s="10">
        <f>SUMIFS('MF - Lots'!$P:$P,'MF - Lots'!$E:$E,B54)+SUMIFS('Equities - Lots'!$M:$M,'Equities - Lots'!$G:$G,B54)+SUMIFS('Crypto - Lots'!$K:$K,'Crypto - Lots'!$E:$E,B54)</f>
        <v>230258.64429128001</v>
      </c>
      <c r="E54" s="11">
        <f t="shared" si="7"/>
        <v>8.9900534288806667E-3</v>
      </c>
      <c r="F54" s="12">
        <f t="shared" si="8"/>
        <v>-123741.35570871999</v>
      </c>
      <c r="N54" s="19" t="str">
        <f>'MF - by Fund'!B31</f>
        <v>SCBSET-SSFX</v>
      </c>
      <c r="O54" s="19" t="str">
        <f>'MF - by Fund'!C31</f>
        <v>SCBAM</v>
      </c>
      <c r="P54" s="20">
        <f>'MF - by Fund'!K31</f>
        <v>231431.31175203001</v>
      </c>
    </row>
    <row r="55" spans="2:16" ht="15" customHeight="1" x14ac:dyDescent="0.2">
      <c r="B55" s="9" t="s">
        <v>103</v>
      </c>
      <c r="C55" s="10">
        <f>SUMIFS('MF - Lots'!$O:$O,'MF - Lots'!$E:$E,B55)+SUMIFS('Equities - Lots'!$L:$L,'Equities - Lots'!$G:$G,B55)+SUMIFS('Crypto - Lots'!$J:$J,'Crypto - Lots'!$E:$E,B55)</f>
        <v>100000</v>
      </c>
      <c r="D55" s="10">
        <f>SUMIFS('MF - Lots'!$P:$P,'MF - Lots'!$E:$E,B55)+SUMIFS('Equities - Lots'!$M:$M,'Equities - Lots'!$G:$G,B55)+SUMIFS('Crypto - Lots'!$K:$K,'Crypto - Lots'!$E:$E,B55)</f>
        <v>248184.15844066005</v>
      </c>
      <c r="E55" s="11">
        <f t="shared" si="7"/>
        <v>9.6899243520292659E-3</v>
      </c>
      <c r="F55" s="12">
        <f t="shared" si="8"/>
        <v>148184.15844066005</v>
      </c>
      <c r="N55" s="19" t="str">
        <f>'MF - by Fund'!B32</f>
        <v>SCBSFF</v>
      </c>
      <c r="O55" s="19" t="str">
        <f>'MF - by Fund'!C32</f>
        <v>SCBAM</v>
      </c>
      <c r="P55" s="20">
        <f>'MF - by Fund'!K32</f>
        <v>602.95951811999998</v>
      </c>
    </row>
    <row r="56" spans="2:16" ht="15" customHeight="1" x14ac:dyDescent="0.2">
      <c r="B56" s="9" t="s">
        <v>104</v>
      </c>
      <c r="C56" s="10">
        <f>SUMIFS('MF - Lots'!$O:$O,'MF - Lots'!$E:$E,B56)+SUMIFS('Equities - Lots'!$L:$L,'Equities - Lots'!$G:$G,B56)+SUMIFS('Crypto - Lots'!$J:$J,'Crypto - Lots'!$E:$E,B56)</f>
        <v>100000</v>
      </c>
      <c r="D56" s="10">
        <f>SUMIFS('MF - Lots'!$P:$P,'MF - Lots'!$E:$E,B56)+SUMIFS('Equities - Lots'!$M:$M,'Equities - Lots'!$G:$G,B56)+SUMIFS('Crypto - Lots'!$K:$K,'Crypto - Lots'!$E:$E,B56)</f>
        <v>130615.30851136</v>
      </c>
      <c r="E56" s="11">
        <f t="shared" si="7"/>
        <v>5.0996504637690464E-3</v>
      </c>
      <c r="F56" s="12">
        <f t="shared" si="8"/>
        <v>30615.308511359995</v>
      </c>
      <c r="N56" s="19" t="str">
        <f>'MF - by Fund'!B35</f>
        <v>UOBSG-N</v>
      </c>
      <c r="O56" s="19" t="str">
        <f>'MF - by Fund'!C35</f>
        <v>UOBAM</v>
      </c>
      <c r="P56" s="20">
        <f>'MF - by Fund'!K35</f>
        <v>521249.71276031993</v>
      </c>
    </row>
    <row r="57" spans="2:16" ht="15" customHeight="1" x14ac:dyDescent="0.2">
      <c r="B57" s="9" t="s">
        <v>105</v>
      </c>
      <c r="C57" s="10">
        <f>SUMIFS('MF - Lots'!$O:$O,'MF - Lots'!$E:$E,B57)+SUMIFS('Equities - Lots'!$L:$L,'Equities - Lots'!$G:$G,B57)+SUMIFS('Crypto - Lots'!$J:$J,'Crypto - Lots'!$E:$E,B57)</f>
        <v>54807.62</v>
      </c>
      <c r="D57" s="10">
        <f>SUMIFS('MF - Lots'!$P:$P,'MF - Lots'!$E:$E,B57)+SUMIFS('Equities - Lots'!$M:$M,'Equities - Lots'!$G:$G,B57)+SUMIFS('Crypto - Lots'!$K:$K,'Crypto - Lots'!$E:$E,B57)</f>
        <v>145885.55534153996</v>
      </c>
      <c r="E57" s="11">
        <f t="shared" si="7"/>
        <v>5.6958510333418103E-3</v>
      </c>
      <c r="F57" s="12">
        <f t="shared" si="8"/>
        <v>91077.935341539967</v>
      </c>
      <c r="N57" s="19" t="str">
        <f>'MF - by Fund'!B36</f>
        <v>UTSB-THAIESG</v>
      </c>
      <c r="O57" s="19" t="str">
        <f>'MF - by Fund'!C36</f>
        <v>UOBAM</v>
      </c>
      <c r="P57" s="20">
        <f>'MF - by Fund'!K36</f>
        <v>566197.48158399994</v>
      </c>
    </row>
    <row r="58" spans="2:16" ht="15" customHeight="1" x14ac:dyDescent="0.2">
      <c r="B58" s="9" t="s">
        <v>106</v>
      </c>
      <c r="C58" s="10">
        <f>SUMIFS('MF - Lots'!$O:$O,'MF - Lots'!$E:$E,B58)+SUMIFS('Equities - Lots'!$L:$L,'Equities - Lots'!$G:$G,B58)+SUMIFS('Crypto - Lots'!$J:$J,'Crypto - Lots'!$E:$E,B58)</f>
        <v>100000</v>
      </c>
      <c r="D58" s="10">
        <f>SUMIFS('MF - Lots'!$P:$P,'MF - Lots'!$E:$E,B58)+SUMIFS('Equities - Lots'!$M:$M,'Equities - Lots'!$G:$G,B58)+SUMIFS('Crypto - Lots'!$K:$K,'Crypto - Lots'!$E:$E,B58)</f>
        <v>70803.950546480002</v>
      </c>
      <c r="E58" s="11">
        <f t="shared" si="7"/>
        <v>2.7644186838147967E-3</v>
      </c>
      <c r="F58" s="12">
        <f t="shared" si="8"/>
        <v>-29196.049453519998</v>
      </c>
      <c r="N58" s="19" t="str">
        <f>'Equities - by Ticker'!C5</f>
        <v>BANPU</v>
      </c>
      <c r="O58" s="19" t="str">
        <f>'Equities - by Ticker'!B5</f>
        <v>Asia Plus Securities</v>
      </c>
      <c r="P58" s="20">
        <f>'Equities - by Ticker'!K5</f>
        <v>45600</v>
      </c>
    </row>
    <row r="59" spans="2:16" ht="15" customHeight="1" x14ac:dyDescent="0.2">
      <c r="B59" s="9" t="s">
        <v>107</v>
      </c>
      <c r="C59" s="10">
        <f>SUMIFS('MF - Lots'!$O:$O,'MF - Lots'!$E:$E,B59)+SUMIFS('Equities - Lots'!$L:$L,'Equities - Lots'!$G:$G,B59)+SUMIFS('Crypto - Lots'!$J:$J,'Crypto - Lots'!$E:$E,B59)</f>
        <v>9478.67</v>
      </c>
      <c r="D59" s="10">
        <f>SUMIFS('MF - Lots'!$P:$P,'MF - Lots'!$E:$E,B59)+SUMIFS('Equities - Lots'!$M:$M,'Equities - Lots'!$G:$G,B59)+SUMIFS('Crypto - Lots'!$K:$K,'Crypto - Lots'!$E:$E,B59)</f>
        <v>9614.8681625999998</v>
      </c>
      <c r="E59" s="11">
        <f t="shared" si="7"/>
        <v>3.7539601937407538E-4</v>
      </c>
      <c r="F59" s="12">
        <f t="shared" si="8"/>
        <v>136.1981625999997</v>
      </c>
      <c r="N59" s="19" t="str">
        <f>'Equities - by Ticker'!C6</f>
        <v>BBL</v>
      </c>
      <c r="O59" s="19" t="str">
        <f>'Equities - by Ticker'!B6</f>
        <v>Asia Plus Securities</v>
      </c>
      <c r="P59" s="20">
        <f>'Equities - by Ticker'!K6</f>
        <v>86500</v>
      </c>
    </row>
    <row r="60" spans="2:16" ht="15" customHeight="1" x14ac:dyDescent="0.2">
      <c r="B60" s="9" t="s">
        <v>108</v>
      </c>
      <c r="C60" s="10">
        <f>SUMIFS('MF - Lots'!$O:$O,'MF - Lots'!$E:$E,B60)+SUMIFS('Equities - Lots'!$L:$L,'Equities - Lots'!$G:$G,B60)+SUMIFS('Crypto - Lots'!$J:$J,'Crypto - Lots'!$E:$E,B60)</f>
        <v>1200</v>
      </c>
      <c r="D60" s="10">
        <f>SUMIFS('MF - Lots'!$P:$P,'MF - Lots'!$E:$E,B60)+SUMIFS('Equities - Lots'!$M:$M,'Equities - Lots'!$G:$G,B60)+SUMIFS('Crypto - Lots'!$K:$K,'Crypto - Lots'!$E:$E,B60)</f>
        <v>1236.99235462</v>
      </c>
      <c r="E60" s="11">
        <f t="shared" si="7"/>
        <v>4.8296242659550148E-5</v>
      </c>
      <c r="F60" s="12">
        <f t="shared" si="8"/>
        <v>36.992354620000015</v>
      </c>
      <c r="N60" s="19" t="str">
        <f>'Equities - by Ticker'!C7</f>
        <v>BLAND</v>
      </c>
      <c r="O60" s="19" t="str">
        <f>'Equities - by Ticker'!B7</f>
        <v>Asia Plus Securities</v>
      </c>
      <c r="P60" s="20">
        <f>'Equities - by Ticker'!K7</f>
        <v>8800</v>
      </c>
    </row>
    <row r="61" spans="2:16" ht="15" customHeight="1" x14ac:dyDescent="0.2">
      <c r="B61" s="13" t="s">
        <v>69</v>
      </c>
      <c r="C61" s="14">
        <f>SUM(C41:C60)</f>
        <v>21511884.419558942</v>
      </c>
      <c r="D61" s="14">
        <f>SUM(D41:D60)</f>
        <v>25289500.114529494</v>
      </c>
      <c r="E61" s="15">
        <f>SUM(E41:E60)</f>
        <v>0.98738511172548349</v>
      </c>
      <c r="F61" s="14">
        <f>SUM(F41:F60)</f>
        <v>3777615.6949705556</v>
      </c>
      <c r="N61" s="19" t="str">
        <f>'Equities - by Ticker'!C8</f>
        <v>BWG</v>
      </c>
      <c r="O61" s="19" t="str">
        <f>'Equities - by Ticker'!B8</f>
        <v>Asia Plus Securities</v>
      </c>
      <c r="P61" s="20">
        <f>'Equities - by Ticker'!K8</f>
        <v>32000</v>
      </c>
    </row>
    <row r="62" spans="2:16" ht="15" customHeight="1" x14ac:dyDescent="0.2">
      <c r="N62" s="19" t="str">
        <f>'Equities - by Ticker'!C9</f>
        <v>BWG-W7</v>
      </c>
      <c r="O62" s="19" t="str">
        <f>'Equities - by Ticker'!B9</f>
        <v>Asia Plus Securities</v>
      </c>
      <c r="P62" s="20">
        <f>'Equities - by Ticker'!K9</f>
        <v>3.3000000000000003</v>
      </c>
    </row>
    <row r="63" spans="2:16" ht="15" customHeight="1" x14ac:dyDescent="0.2">
      <c r="N63" s="19" t="str">
        <f>'Equities - by Ticker'!C10</f>
        <v>GSTEEL</v>
      </c>
      <c r="O63" s="19" t="str">
        <f>'Equities - by Ticker'!B10</f>
        <v>Asia Plus Securities</v>
      </c>
      <c r="P63" s="20">
        <f>'Equities - by Ticker'!K10</f>
        <v>9000</v>
      </c>
    </row>
    <row r="64" spans="2:16" ht="15" customHeight="1" x14ac:dyDescent="0.2">
      <c r="N64" s="19" t="str">
        <f>'Equities - by Ticker'!C11</f>
        <v>GULF</v>
      </c>
      <c r="O64" s="19" t="str">
        <f>'Equities - by Ticker'!B11</f>
        <v>Asia Plus Securities</v>
      </c>
      <c r="P64" s="20">
        <f>'Equities - by Ticker'!K11</f>
        <v>638414</v>
      </c>
    </row>
    <row r="65" spans="14:16" ht="15" customHeight="1" x14ac:dyDescent="0.2">
      <c r="N65" s="19" t="str">
        <f>'Equities - by Ticker'!C12</f>
        <v>NETBAY</v>
      </c>
      <c r="O65" s="19" t="str">
        <f>'Equities - by Ticker'!B12</f>
        <v>Asia Plus Securities</v>
      </c>
      <c r="P65" s="20">
        <f>'Equities - by Ticker'!K12</f>
        <v>47500</v>
      </c>
    </row>
    <row r="66" spans="14:16" ht="15" customHeight="1" x14ac:dyDescent="0.2">
      <c r="N66" s="19" t="str">
        <f>'Equities - by Ticker'!C13</f>
        <v>OSP</v>
      </c>
      <c r="O66" s="19" t="str">
        <f>'Equities - by Ticker'!B13</f>
        <v>Asia Plus Securities</v>
      </c>
      <c r="P66" s="20">
        <f>'Equities - by Ticker'!K13</f>
        <v>76500</v>
      </c>
    </row>
    <row r="67" spans="14:16" ht="15" customHeight="1" x14ac:dyDescent="0.2">
      <c r="N67" s="19" t="str">
        <f>'Equities - by Ticker'!C14</f>
        <v>RJH</v>
      </c>
      <c r="O67" s="19" t="str">
        <f>'Equities - by Ticker'!B14</f>
        <v>Asia Plus Securities</v>
      </c>
      <c r="P67" s="20">
        <f>'Equities - by Ticker'!K14</f>
        <v>65000</v>
      </c>
    </row>
    <row r="68" spans="14:16" ht="15" customHeight="1" x14ac:dyDescent="0.2">
      <c r="N68" s="19" t="str">
        <f>'Equities - by Ticker'!C15</f>
        <v>SAMART</v>
      </c>
      <c r="O68" s="19" t="str">
        <f>'Equities - by Ticker'!B15</f>
        <v>Asia Plus Securities</v>
      </c>
      <c r="P68" s="20">
        <f>'Equities - by Ticker'!K15</f>
        <v>22000</v>
      </c>
    </row>
    <row r="69" spans="14:16" ht="15" customHeight="1" x14ac:dyDescent="0.2">
      <c r="N69" s="19" t="str">
        <f>'Equities - by Ticker'!C16</f>
        <v>SAWAD</v>
      </c>
      <c r="O69" s="19" t="str">
        <f>'Equities - by Ticker'!B16</f>
        <v>Asia Plus Securities</v>
      </c>
      <c r="P69" s="20">
        <f>'Equities - by Ticker'!K16</f>
        <v>87446.7</v>
      </c>
    </row>
    <row r="70" spans="14:16" ht="15" customHeight="1" x14ac:dyDescent="0.2">
      <c r="N70" s="19" t="str">
        <f>'Equities - by Ticker'!C17</f>
        <v>WORK</v>
      </c>
      <c r="O70" s="19" t="str">
        <f>'Equities - by Ticker'!B17</f>
        <v>Asia Plus Securities</v>
      </c>
      <c r="P70" s="20">
        <f>'Equities - by Ticker'!K17</f>
        <v>3540</v>
      </c>
    </row>
    <row r="71" spans="14:16" ht="15" customHeight="1" x14ac:dyDescent="0.2">
      <c r="N71" s="19" t="str">
        <f>'Equities - by Ticker'!C18</f>
        <v>Cash</v>
      </c>
      <c r="O71" s="19" t="str">
        <f>'Equities - by Ticker'!B18</f>
        <v>Asia Plus Securities</v>
      </c>
      <c r="P71" s="20">
        <f>'Equities - by Ticker'!K18</f>
        <v>191585.49</v>
      </c>
    </row>
    <row r="72" spans="14:16" ht="15" customHeight="1" x14ac:dyDescent="0.2">
      <c r="N72" s="19" t="str">
        <f>'Equities - by Ticker'!C19</f>
        <v>NCAP</v>
      </c>
      <c r="O72" s="19" t="str">
        <f>'Equities - by Ticker'!B19</f>
        <v>DBS Vickers</v>
      </c>
      <c r="P72" s="20">
        <f>'Equities - by Ticker'!K19</f>
        <v>55199.999999999993</v>
      </c>
    </row>
    <row r="73" spans="14:16" ht="15" customHeight="1" x14ac:dyDescent="0.2">
      <c r="N73" s="19" t="str">
        <f>'Equities - by Ticker'!C20</f>
        <v>OR</v>
      </c>
      <c r="O73" s="19" t="str">
        <f>'Equities - by Ticker'!B20</f>
        <v>DBS Vickers</v>
      </c>
      <c r="P73" s="20">
        <f>'Equities - by Ticker'!K20</f>
        <v>54560</v>
      </c>
    </row>
    <row r="74" spans="14:16" ht="15" customHeight="1" x14ac:dyDescent="0.2">
      <c r="N74" s="19" t="str">
        <f>'Equities - by Ticker'!C21</f>
        <v>TIDLOR</v>
      </c>
      <c r="O74" s="19" t="str">
        <f>'Equities - by Ticker'!B21</f>
        <v>DBS Vickers</v>
      </c>
      <c r="P74" s="20">
        <f>'Equities - by Ticker'!K21</f>
        <v>22948.2</v>
      </c>
    </row>
    <row r="75" spans="14:16" ht="15" customHeight="1" x14ac:dyDescent="0.2">
      <c r="N75" s="19" t="str">
        <f>'Equities - by Ticker'!C22</f>
        <v>HUMAN</v>
      </c>
      <c r="O75" s="19" t="str">
        <f>'Equities - by Ticker'!B22</f>
        <v>DBS Vickers</v>
      </c>
      <c r="P75" s="20">
        <f>'Equities - by Ticker'!K22</f>
        <v>46000</v>
      </c>
    </row>
    <row r="76" spans="14:16" ht="15" customHeight="1" x14ac:dyDescent="0.2">
      <c r="N76" s="19" t="str">
        <f>'Equities - by Ticker'!C23</f>
        <v>Cash</v>
      </c>
      <c r="O76" s="19" t="str">
        <f>'Equities - by Ticker'!B23</f>
        <v>DBS Vickers</v>
      </c>
      <c r="P76" s="20">
        <f>'Equities - by Ticker'!K23</f>
        <v>115428.05</v>
      </c>
    </row>
    <row r="77" spans="14:16" ht="15" customHeight="1" x14ac:dyDescent="0.2">
      <c r="N77" s="19" t="str">
        <f>'Equities - by Ticker'!C24</f>
        <v>ACLS</v>
      </c>
      <c r="O77" s="19" t="str">
        <f>'Equities - by Ticker'!B24</f>
        <v>Dime</v>
      </c>
      <c r="P77" s="20">
        <f>'Equities - by Ticker'!K24</f>
        <v>34436.372654699335</v>
      </c>
    </row>
    <row r="78" spans="14:16" ht="15" customHeight="1" x14ac:dyDescent="0.2">
      <c r="N78" s="19" t="str">
        <f>'Equities - by Ticker'!C25</f>
        <v>ADBE</v>
      </c>
      <c r="O78" s="19" t="str">
        <f>'Equities - by Ticker'!B25</f>
        <v>Dime</v>
      </c>
      <c r="P78" s="20">
        <f>'Equities - by Ticker'!K25</f>
        <v>9770.5773370766383</v>
      </c>
    </row>
    <row r="79" spans="14:16" ht="15" customHeight="1" x14ac:dyDescent="0.2">
      <c r="N79" s="19" t="str">
        <f>'Equities - by Ticker'!C26</f>
        <v>AMAT</v>
      </c>
      <c r="O79" s="19" t="str">
        <f>'Equities - by Ticker'!B26</f>
        <v>Dime</v>
      </c>
      <c r="P79" s="20">
        <f>'Equities - by Ticker'!K26</f>
        <v>42934.865363830439</v>
      </c>
    </row>
    <row r="80" spans="14:16" ht="15" customHeight="1" x14ac:dyDescent="0.2">
      <c r="N80" s="19" t="str">
        <f>'Equities - by Ticker'!C27</f>
        <v>CRUS</v>
      </c>
      <c r="O80" s="19" t="str">
        <f>'Equities - by Ticker'!B27</f>
        <v>Dime</v>
      </c>
      <c r="P80" s="20">
        <f>'Equities - by Ticker'!K27</f>
        <v>27853.108674326097</v>
      </c>
    </row>
    <row r="81" spans="14:16" ht="15" customHeight="1" x14ac:dyDescent="0.2">
      <c r="N81" s="19" t="str">
        <f>'Equities - by Ticker'!C28</f>
        <v>ENPH</v>
      </c>
      <c r="O81" s="19" t="str">
        <f>'Equities - by Ticker'!B28</f>
        <v>Dime</v>
      </c>
      <c r="P81" s="20">
        <f>'Equities - by Ticker'!K28</f>
        <v>15508.143274922641</v>
      </c>
    </row>
    <row r="82" spans="14:16" ht="15" customHeight="1" x14ac:dyDescent="0.2">
      <c r="N82" s="19" t="str">
        <f>'Equities - by Ticker'!C29</f>
        <v>FTNT</v>
      </c>
      <c r="O82" s="19" t="str">
        <f>'Equities - by Ticker'!B29</f>
        <v>Dime</v>
      </c>
      <c r="P82" s="20">
        <f>'Equities - by Ticker'!K29</f>
        <v>23110.233590962351</v>
      </c>
    </row>
    <row r="83" spans="14:16" ht="15" customHeight="1" x14ac:dyDescent="0.2">
      <c r="N83" s="19" t="str">
        <f>'Equities - by Ticker'!C30</f>
        <v>IT</v>
      </c>
      <c r="O83" s="19" t="str">
        <f>'Equities - by Ticker'!B30</f>
        <v>Dime</v>
      </c>
      <c r="P83" s="20">
        <f>'Equities - by Ticker'!K30</f>
        <v>5056.6446276395991</v>
      </c>
    </row>
    <row r="84" spans="14:16" ht="15" customHeight="1" x14ac:dyDescent="0.2">
      <c r="N84" s="19" t="str">
        <f>'Equities - by Ticker'!C31</f>
        <v>KLAC</v>
      </c>
      <c r="O84" s="19" t="str">
        <f>'Equities - by Ticker'!B31</f>
        <v>Dime</v>
      </c>
      <c r="P84" s="20">
        <f>'Equities - by Ticker'!K31</f>
        <v>48094.161744000325</v>
      </c>
    </row>
    <row r="85" spans="14:16" ht="15" customHeight="1" x14ac:dyDescent="0.2">
      <c r="N85" s="19" t="str">
        <f>'Equities - by Ticker'!C32</f>
        <v>LLY</v>
      </c>
      <c r="O85" s="19" t="str">
        <f>'Equities - by Ticker'!B32</f>
        <v>Dime</v>
      </c>
      <c r="P85" s="20">
        <f>'Equities - by Ticker'!K32</f>
        <v>71670.3</v>
      </c>
    </row>
    <row r="86" spans="14:16" ht="15" customHeight="1" x14ac:dyDescent="0.2">
      <c r="N86" s="19" t="str">
        <f>'Equities - by Ticker'!C33</f>
        <v>MCHP</v>
      </c>
      <c r="O86" s="19" t="str">
        <f>'Equities - by Ticker'!B33</f>
        <v>Dime</v>
      </c>
      <c r="P86" s="20">
        <f>'Equities - by Ticker'!K33</f>
        <v>26948.542862120852</v>
      </c>
    </row>
    <row r="87" spans="14:16" ht="15" customHeight="1" x14ac:dyDescent="0.2">
      <c r="N87" s="19" t="str">
        <f>'Equities - by Ticker'!C34</f>
        <v>MPWR</v>
      </c>
      <c r="O87" s="19" t="str">
        <f>'Equities - by Ticker'!B34</f>
        <v>Dime</v>
      </c>
      <c r="P87" s="20">
        <f>'Equities - by Ticker'!K34</f>
        <v>41775.758767486172</v>
      </c>
    </row>
    <row r="88" spans="14:16" ht="15" customHeight="1" x14ac:dyDescent="0.2">
      <c r="N88" s="19" t="str">
        <f>'Equities - by Ticker'!C35</f>
        <v>NSIT</v>
      </c>
      <c r="O88" s="19" t="str">
        <f>'Equities - by Ticker'!B35</f>
        <v>Dime</v>
      </c>
      <c r="P88" s="20">
        <f>'Equities - by Ticker'!K35</f>
        <v>11412.045508778459</v>
      </c>
    </row>
    <row r="89" spans="14:16" ht="15" customHeight="1" x14ac:dyDescent="0.2">
      <c r="N89" s="19" t="str">
        <f>'Equities - by Ticker'!C36</f>
        <v>NVDA</v>
      </c>
      <c r="O89" s="19" t="str">
        <f>'Equities - by Ticker'!B36</f>
        <v>Dime</v>
      </c>
      <c r="P89" s="20">
        <f>'Equities - by Ticker'!K36</f>
        <v>60117.693714675894</v>
      </c>
    </row>
    <row r="90" spans="14:16" ht="15" customHeight="1" x14ac:dyDescent="0.2">
      <c r="N90" s="19" t="str">
        <f>'Equities - by Ticker'!C37</f>
        <v>OLED</v>
      </c>
      <c r="O90" s="19" t="str">
        <f>'Equities - by Ticker'!B37</f>
        <v>Dime</v>
      </c>
      <c r="P90" s="20">
        <f>'Equities - by Ticker'!K37</f>
        <v>10035.107741473081</v>
      </c>
    </row>
    <row r="91" spans="14:16" ht="15" customHeight="1" x14ac:dyDescent="0.2">
      <c r="N91" s="19" t="str">
        <f>'Equities - by Ticker'!C38</f>
        <v>QRVO</v>
      </c>
      <c r="O91" s="19" t="str">
        <f>'Equities - by Ticker'!B38</f>
        <v>Dime</v>
      </c>
      <c r="P91" s="20">
        <f>'Equities - by Ticker'!K38</f>
        <v>24539.500094453284</v>
      </c>
    </row>
    <row r="92" spans="14:16" ht="15" customHeight="1" x14ac:dyDescent="0.2">
      <c r="N92" s="19" t="str">
        <f>'Equities - by Ticker'!C39</f>
        <v>TER</v>
      </c>
      <c r="O92" s="19" t="str">
        <f>'Equities - by Ticker'!B39</f>
        <v>Dime</v>
      </c>
      <c r="P92" s="20">
        <f>'Equities - by Ticker'!K39</f>
        <v>50854.09810921469</v>
      </c>
    </row>
    <row r="93" spans="14:16" ht="15" customHeight="1" x14ac:dyDescent="0.2">
      <c r="N93" s="19" t="str">
        <f>'Equities - by Ticker'!C40</f>
        <v>TSLA</v>
      </c>
      <c r="O93" s="19" t="str">
        <f>'Equities - by Ticker'!B40</f>
        <v>Dime</v>
      </c>
      <c r="P93" s="20">
        <f>'Equities - by Ticker'!K40</f>
        <v>332642.98144593445</v>
      </c>
    </row>
    <row r="94" spans="14:16" ht="15" customHeight="1" x14ac:dyDescent="0.2">
      <c r="N94" s="19" t="str">
        <f>'Equities - by Ticker'!C41</f>
        <v>YOU</v>
      </c>
      <c r="O94" s="19" t="str">
        <f>'Equities - by Ticker'!B41</f>
        <v>Dime</v>
      </c>
      <c r="P94" s="20">
        <f>'Equities - by Ticker'!K41</f>
        <v>33124.839663332707</v>
      </c>
    </row>
    <row r="95" spans="14:16" ht="15" customHeight="1" x14ac:dyDescent="0.2">
      <c r="N95" s="19" t="str">
        <f>'Equities - by Ticker'!C42</f>
        <v>EWY</v>
      </c>
      <c r="O95" s="19" t="str">
        <f>'Equities - by Ticker'!B42</f>
        <v>Dime</v>
      </c>
      <c r="P95" s="20">
        <f>'Equities - by Ticker'!K42</f>
        <v>688540.56005925906</v>
      </c>
    </row>
    <row r="96" spans="14:16" ht="15" customHeight="1" x14ac:dyDescent="0.2">
      <c r="N96" s="19">
        <f>'Equities - by Ticker'!C50</f>
        <v>0</v>
      </c>
      <c r="O96" s="19">
        <f>'Equities - by Ticker'!B50</f>
        <v>0</v>
      </c>
      <c r="P96" s="20">
        <f>'Equities - by Ticker'!K50</f>
        <v>0</v>
      </c>
    </row>
    <row r="97" spans="14:16" ht="15" customHeight="1" x14ac:dyDescent="0.2">
      <c r="N97" s="19" t="str">
        <f>'Crypto - by Coin'!C5</f>
        <v>BTC</v>
      </c>
      <c r="O97" s="19" t="str">
        <f>'Crypto - by Coin'!B5</f>
        <v>OKX</v>
      </c>
      <c r="P97" s="20">
        <f>'Crypto - by Coin'!I5</f>
        <v>22410.803967524102</v>
      </c>
    </row>
    <row r="98" spans="14:16" ht="15" customHeight="1" x14ac:dyDescent="0.2">
      <c r="N98" s="19" t="str">
        <f>'Crypto - by Coin'!C6</f>
        <v>OKSOL</v>
      </c>
      <c r="O98" s="19" t="str">
        <f>'Crypto - by Coin'!B6</f>
        <v>OKX</v>
      </c>
      <c r="P98" s="20">
        <f>'Crypto - by Coin'!I6</f>
        <v>9061.5510632476417</v>
      </c>
    </row>
    <row r="99" spans="14:16" ht="15" customHeight="1" x14ac:dyDescent="0.2">
      <c r="N99" s="19" t="str">
        <f>'Crypto - by Coin'!C7</f>
        <v>PENGU</v>
      </c>
      <c r="O99" s="19" t="str">
        <f>'Crypto - by Coin'!B7</f>
        <v>OKX</v>
      </c>
      <c r="P99" s="20">
        <f>'Crypto - by Coin'!I7</f>
        <v>1847.248800607694</v>
      </c>
    </row>
    <row r="100" spans="14:16" ht="15" customHeight="1" x14ac:dyDescent="0.2">
      <c r="N100" s="19" t="str">
        <f>'Crypto - by Coin'!C8</f>
        <v>COMP</v>
      </c>
      <c r="O100" s="19" t="str">
        <f>'Crypto - by Coin'!B8</f>
        <v>OKX</v>
      </c>
      <c r="P100" s="20">
        <f>'Crypto - by Coin'!I8</f>
        <v>97.233742420716013</v>
      </c>
    </row>
    <row r="101" spans="14:16" ht="15" customHeight="1" x14ac:dyDescent="0.2">
      <c r="N101" s="19" t="str">
        <f>'Crypto - by Coin'!C9</f>
        <v>NIGHT</v>
      </c>
      <c r="O101" s="19" t="str">
        <f>'Crypto - by Coin'!B9</f>
        <v>OKX</v>
      </c>
      <c r="P101" s="20">
        <f>'Crypto - by Coin'!I9</f>
        <v>7.0402193950222503E-4</v>
      </c>
    </row>
    <row r="102" spans="14:16" ht="15" customHeight="1" x14ac:dyDescent="0.2">
      <c r="N102" s="19" t="str">
        <f>'Crypto - by Coin'!C10</f>
        <v>SOL</v>
      </c>
      <c r="O102" s="19" t="str">
        <f>'Crypto - by Coin'!B10</f>
        <v>OKX</v>
      </c>
      <c r="P102" s="20">
        <f>'Crypto - by Coin'!I10</f>
        <v>9.6946112279999996E-2</v>
      </c>
    </row>
    <row r="103" spans="14:16" ht="15" customHeight="1" x14ac:dyDescent="0.2">
      <c r="N103" s="19" t="str">
        <f>'Crypto - by Coin'!C11</f>
        <v>USDT</v>
      </c>
      <c r="O103" s="19" t="str">
        <f>'Crypto - by Coin'!B11</f>
        <v>OKX</v>
      </c>
      <c r="P103" s="20">
        <f>'Crypto - by Coin'!I11</f>
        <v>2.9436711000000001E-2</v>
      </c>
    </row>
    <row r="104" spans="14:16" ht="15" customHeight="1" x14ac:dyDescent="0.2">
      <c r="N104" s="19" t="str">
        <f>'Crypto - by Coin'!C12</f>
        <v>BTC</v>
      </c>
      <c r="O104" s="19" t="str">
        <f>'Crypto - by Coin'!B12</f>
        <v>Binance</v>
      </c>
      <c r="P104" s="20">
        <f>'Crypto - by Coin'!I12</f>
        <v>90533.265079831195</v>
      </c>
    </row>
    <row r="105" spans="14:16" ht="15" customHeight="1" x14ac:dyDescent="0.2">
      <c r="N105" s="19" t="str">
        <f>'Crypto - by Coin'!C13</f>
        <v>AAVE</v>
      </c>
      <c r="O105" s="19" t="str">
        <f>'Crypto - by Coin'!B13</f>
        <v>Binance</v>
      </c>
      <c r="P105" s="20">
        <f>'Crypto - by Coin'!I13</f>
        <v>7469.7651655919999</v>
      </c>
    </row>
    <row r="106" spans="14:16" ht="15" customHeight="1" x14ac:dyDescent="0.2">
      <c r="N106" s="19" t="str">
        <f>'Crypto - by Coin'!C14</f>
        <v>TRUMP</v>
      </c>
      <c r="O106" s="19" t="str">
        <f>'Crypto - by Coin'!B14</f>
        <v>Binance</v>
      </c>
      <c r="P106" s="20">
        <f>'Crypto - by Coin'!I14</f>
        <v>2465.9306733275998</v>
      </c>
    </row>
    <row r="107" spans="14:16" ht="15" customHeight="1" x14ac:dyDescent="0.2">
      <c r="N107" s="19" t="str">
        <f>'Crypto - by Coin'!C15</f>
        <v>PLUME</v>
      </c>
      <c r="O107" s="19" t="str">
        <f>'Crypto - by Coin'!B15</f>
        <v>Binance</v>
      </c>
      <c r="P107" s="20">
        <f>'Crypto - by Coin'!I15</f>
        <v>3033.2114423099656</v>
      </c>
    </row>
    <row r="108" spans="14:16" ht="15" customHeight="1" x14ac:dyDescent="0.2">
      <c r="N108" s="19" t="str">
        <f>'Crypto - by Coin'!C16</f>
        <v>SOL</v>
      </c>
      <c r="O108" s="19" t="str">
        <f>'Crypto - by Coin'!B16</f>
        <v>Binance</v>
      </c>
      <c r="P108" s="20">
        <f>'Crypto - by Coin'!I16</f>
        <v>12141.29310191962</v>
      </c>
    </row>
    <row r="109" spans="14:16" ht="15" customHeight="1" x14ac:dyDescent="0.2">
      <c r="N109" s="19" t="str">
        <f>'Crypto - by Coin'!C17</f>
        <v>USDT</v>
      </c>
      <c r="O109" s="19" t="str">
        <f>'Crypto - by Coin'!B17</f>
        <v>Binance</v>
      </c>
      <c r="P109" s="20">
        <f>'Crypto - by Coin'!I17</f>
        <v>67452.049837788902</v>
      </c>
    </row>
    <row r="110" spans="14:16" ht="15" customHeight="1" x14ac:dyDescent="0.2">
      <c r="N110" s="19" t="str">
        <f>'Crypto - by Coin'!C18</f>
        <v>BNB</v>
      </c>
      <c r="O110" s="19" t="str">
        <f>'Crypto - by Coin'!B18</f>
        <v>Binance</v>
      </c>
      <c r="P110" s="20">
        <f>'Crypto - by Coin'!I18</f>
        <v>34680.392563776149</v>
      </c>
    </row>
    <row r="111" spans="14:16" ht="15" customHeight="1" x14ac:dyDescent="0.2">
      <c r="N111" s="19" t="str">
        <f>'Crypto - by Coin'!C19</f>
        <v>PENGU</v>
      </c>
      <c r="O111" s="19" t="str">
        <f>'Crypto - by Coin'!B19</f>
        <v>Binance</v>
      </c>
      <c r="P111" s="20">
        <f>'Crypto - by Coin'!I19</f>
        <v>17300.108832173402</v>
      </c>
    </row>
    <row r="112" spans="14:16" ht="15" customHeight="1" x14ac:dyDescent="0.2">
      <c r="N112" s="19" t="str">
        <f>'Crypto - by Coin'!C20</f>
        <v>VELODROME</v>
      </c>
      <c r="O112" s="19" t="str">
        <f>'Crypto - by Coin'!B20</f>
        <v>Binance</v>
      </c>
      <c r="P112" s="20">
        <f>'Crypto - by Coin'!I20</f>
        <v>4091.2011410621103</v>
      </c>
    </row>
    <row r="113" spans="14:16" ht="15" customHeight="1" x14ac:dyDescent="0.2">
      <c r="N113" s="19" t="str">
        <f>'Crypto - by Coin'!C21</f>
        <v>BTC</v>
      </c>
      <c r="O113" s="19" t="str">
        <f>'Crypto - by Coin'!B21</f>
        <v>Bitkub</v>
      </c>
      <c r="P113" s="20">
        <f>'Crypto - by Coin'!I21</f>
        <v>547243.44203191285</v>
      </c>
    </row>
    <row r="114" spans="14:16" ht="15" customHeight="1" x14ac:dyDescent="0.2">
      <c r="N114" s="19" t="str">
        <f>'Crypto - by Coin'!C22</f>
        <v>BNB</v>
      </c>
      <c r="O114" s="19" t="str">
        <f>'Crypto - by Coin'!B22</f>
        <v>Bitkub</v>
      </c>
      <c r="P114" s="20">
        <f>'Crypto - by Coin'!I22</f>
        <v>267420.31099858467</v>
      </c>
    </row>
    <row r="115" spans="14:16" ht="15" customHeight="1" x14ac:dyDescent="0.2">
      <c r="N115" s="19" t="str">
        <f>'Crypto - by Coin'!C23</f>
        <v>DOGE</v>
      </c>
      <c r="O115" s="19" t="str">
        <f>'Crypto - by Coin'!B23</f>
        <v>Bitkub</v>
      </c>
      <c r="P115" s="20">
        <f>'Crypto - by Coin'!I23</f>
        <v>2712.5923562500002</v>
      </c>
    </row>
    <row r="116" spans="14:16" ht="15" customHeight="1" x14ac:dyDescent="0.2">
      <c r="N116" s="19" t="str">
        <f>'Crypto - by Coin'!C24</f>
        <v>ETH</v>
      </c>
      <c r="O116" s="19" t="str">
        <f>'Crypto - by Coin'!B24</f>
        <v>Bitkub</v>
      </c>
      <c r="P116" s="20">
        <f>'Crypto - by Coin'!I24</f>
        <v>178050.14141628606</v>
      </c>
    </row>
    <row r="117" spans="14:16" ht="15" customHeight="1" x14ac:dyDescent="0.2">
      <c r="N117" s="19" t="str">
        <f>'Crypto - by Coin'!C25</f>
        <v>KUB</v>
      </c>
      <c r="O117" s="19" t="str">
        <f>'Crypto - by Coin'!B25</f>
        <v>Bitkub</v>
      </c>
      <c r="P117" s="20">
        <f>'Crypto - by Coin'!I25</f>
        <v>9226.3706690471736</v>
      </c>
    </row>
    <row r="118" spans="14:16" ht="15" customHeight="1" x14ac:dyDescent="0.2">
      <c r="N118" s="19" t="str">
        <f>'Crypto - by Coin'!C26</f>
        <v>VELO</v>
      </c>
      <c r="O118" s="19" t="str">
        <f>'Crypto - by Coin'!B26</f>
        <v>Bitazza</v>
      </c>
      <c r="P118" s="20">
        <f>'Crypto - by Coin'!I26</f>
        <v>33851.291409369282</v>
      </c>
    </row>
    <row r="119" spans="14:16" ht="15" customHeight="1" x14ac:dyDescent="0.2">
      <c r="N119" s="19" t="str">
        <f>'Crypto - by Coin'!C27</f>
        <v>SUI</v>
      </c>
      <c r="O119" s="19" t="str">
        <f>'Crypto - by Coin'!B27</f>
        <v>Bitazza</v>
      </c>
      <c r="P119" s="20">
        <f>'Crypto - by Coin'!I27</f>
        <v>6376.4992907699998</v>
      </c>
    </row>
    <row r="120" spans="14:16" ht="15" customHeight="1" x14ac:dyDescent="0.2">
      <c r="N120" s="19">
        <f>'Crypto - by Coin'!C29</f>
        <v>0</v>
      </c>
      <c r="O120" s="19">
        <f>'Crypto - by Coin'!B29</f>
        <v>0</v>
      </c>
      <c r="P120" s="20">
        <f>'Crypto - by Coin'!I29</f>
        <v>0</v>
      </c>
    </row>
  </sheetData>
  <mergeCells count="19"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  <mergeCell ref="B11:D11"/>
    <mergeCell ref="H26:L2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 x14ac:dyDescent="0.2"/>
  <cols>
    <col min="1" max="1" width="3" customWidth="1"/>
    <col min="2" max="2" width="14" customWidth="1"/>
    <col min="3" max="3" width="16" customWidth="1"/>
    <col min="4" max="5" width="18" customWidth="1"/>
    <col min="6" max="6" width="16" customWidth="1"/>
    <col min="7" max="12" width="14" customWidth="1"/>
  </cols>
  <sheetData>
    <row r="2" spans="2:12" ht="30" customHeight="1" x14ac:dyDescent="0.2">
      <c r="B2" s="49" t="s">
        <v>109</v>
      </c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2:12" ht="19.5" customHeight="1" x14ac:dyDescent="0.2">
      <c r="B3" s="59" t="s">
        <v>110</v>
      </c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2:12" ht="31.5" customHeight="1" x14ac:dyDescent="0.2">
      <c r="B4" s="8" t="s">
        <v>111</v>
      </c>
      <c r="C4" s="8" t="s">
        <v>112</v>
      </c>
      <c r="D4" s="8" t="s">
        <v>113</v>
      </c>
      <c r="E4" s="8" t="s">
        <v>114</v>
      </c>
      <c r="F4" s="8" t="s">
        <v>115</v>
      </c>
      <c r="G4" s="8" t="s">
        <v>116</v>
      </c>
      <c r="H4" s="8" t="s">
        <v>117</v>
      </c>
      <c r="I4" s="8" t="s">
        <v>118</v>
      </c>
      <c r="J4" s="8" t="s">
        <v>119</v>
      </c>
      <c r="K4" s="8" t="s">
        <v>3</v>
      </c>
    </row>
    <row r="5" spans="2:12" ht="21.75" customHeight="1" x14ac:dyDescent="0.2">
      <c r="B5" s="25">
        <f>AsOfDate</f>
        <v>46173</v>
      </c>
      <c r="C5" s="10">
        <f>'MF - Lots'!P167+'Equities - Lots'!M53+'Crypto - Lots'!K32</f>
        <v>25612600.20452949</v>
      </c>
      <c r="D5" s="10">
        <f>'MF - Lots'!O167+'Equities - Lots'!L53+'Crypto - Lots'!J32</f>
        <v>21788985.148958936</v>
      </c>
      <c r="E5" s="10">
        <f>C5-D5</f>
        <v>3823615.055570554</v>
      </c>
      <c r="F5" s="26">
        <f>IFERROR(E5/D5,0)</f>
        <v>0.17548385248007956</v>
      </c>
      <c r="G5" s="10">
        <f>'MF - Lots'!P167</f>
        <v>19021215.728761856</v>
      </c>
      <c r="H5" s="10">
        <f>'Equities - Lots'!M53</f>
        <v>5252026.7804341866</v>
      </c>
      <c r="I5" s="10">
        <f>'Crypto - Lots'!K32</f>
        <v>1339357.6953334464</v>
      </c>
      <c r="J5" s="27">
        <f>FXRate</f>
        <v>32.43</v>
      </c>
      <c r="K5" s="1" t="s">
        <v>120</v>
      </c>
    </row>
    <row r="6" spans="2:12" ht="15" customHeight="1" x14ac:dyDescent="0.2">
      <c r="B6" s="28">
        <v>46173</v>
      </c>
      <c r="C6" s="29">
        <v>23363791</v>
      </c>
      <c r="D6" s="29">
        <v>19652295</v>
      </c>
      <c r="E6" s="29">
        <v>3711496</v>
      </c>
      <c r="F6" s="30">
        <v>0.18890000000000001</v>
      </c>
      <c r="G6" s="29">
        <v>19020615</v>
      </c>
      <c r="H6" s="29">
        <v>2982782</v>
      </c>
      <c r="I6" s="29">
        <v>1360394</v>
      </c>
      <c r="J6" s="31">
        <v>32.43</v>
      </c>
      <c r="K6" s="32" t="s">
        <v>121</v>
      </c>
    </row>
    <row r="7" spans="2:12" ht="15" customHeight="1" x14ac:dyDescent="0.2">
      <c r="B7" s="28"/>
      <c r="C7" s="29"/>
      <c r="D7" s="29"/>
      <c r="E7" s="29"/>
      <c r="F7" s="30"/>
      <c r="G7" s="29"/>
      <c r="H7" s="29"/>
      <c r="I7" s="29"/>
      <c r="J7" s="31"/>
      <c r="K7" s="32"/>
    </row>
    <row r="8" spans="2:12" ht="15" customHeight="1" x14ac:dyDescent="0.2">
      <c r="B8" s="28"/>
      <c r="C8" s="29"/>
      <c r="D8" s="29"/>
      <c r="E8" s="29"/>
      <c r="F8" s="30"/>
      <c r="G8" s="29"/>
      <c r="H8" s="29"/>
      <c r="I8" s="29"/>
      <c r="J8" s="31"/>
      <c r="K8" s="32"/>
    </row>
    <row r="9" spans="2:12" ht="15" customHeight="1" x14ac:dyDescent="0.2">
      <c r="B9" s="28"/>
      <c r="C9" s="29"/>
      <c r="D9" s="29"/>
      <c r="E9" s="29"/>
      <c r="F9" s="30"/>
      <c r="G9" s="29"/>
      <c r="H9" s="29"/>
      <c r="I9" s="29"/>
      <c r="J9" s="31"/>
      <c r="K9" s="32"/>
    </row>
    <row r="10" spans="2:12" ht="15" customHeight="1" x14ac:dyDescent="0.2">
      <c r="B10" s="28"/>
      <c r="C10" s="29"/>
      <c r="D10" s="29"/>
      <c r="E10" s="29"/>
      <c r="F10" s="30"/>
      <c r="G10" s="29"/>
      <c r="H10" s="29"/>
      <c r="I10" s="29"/>
      <c r="J10" s="31"/>
      <c r="K10" s="32"/>
    </row>
    <row r="11" spans="2:12" ht="15" customHeight="1" x14ac:dyDescent="0.2">
      <c r="B11" s="28"/>
      <c r="C11" s="29"/>
      <c r="D11" s="29"/>
      <c r="E11" s="29"/>
      <c r="F11" s="30"/>
      <c r="G11" s="29"/>
      <c r="H11" s="29"/>
      <c r="I11" s="29"/>
      <c r="J11" s="31"/>
      <c r="K11" s="32"/>
    </row>
    <row r="12" spans="2:12" ht="15" customHeight="1" x14ac:dyDescent="0.2">
      <c r="B12" s="28"/>
      <c r="C12" s="29"/>
      <c r="D12" s="29"/>
      <c r="E12" s="29"/>
      <c r="F12" s="30"/>
      <c r="G12" s="29"/>
      <c r="H12" s="29"/>
      <c r="I12" s="29"/>
      <c r="J12" s="31"/>
      <c r="K12" s="32"/>
    </row>
    <row r="13" spans="2:12" ht="15" customHeight="1" x14ac:dyDescent="0.2">
      <c r="B13" s="28"/>
      <c r="C13" s="29"/>
      <c r="D13" s="29"/>
      <c r="E13" s="29"/>
      <c r="F13" s="30"/>
      <c r="G13" s="29"/>
      <c r="H13" s="29"/>
      <c r="I13" s="29"/>
      <c r="J13" s="31"/>
      <c r="K13" s="32"/>
    </row>
    <row r="14" spans="2:12" ht="15" customHeight="1" x14ac:dyDescent="0.2">
      <c r="B14" s="28"/>
      <c r="C14" s="29"/>
      <c r="D14" s="29"/>
      <c r="E14" s="29"/>
      <c r="F14" s="30"/>
      <c r="G14" s="29"/>
      <c r="H14" s="29"/>
      <c r="I14" s="29"/>
      <c r="J14" s="31"/>
      <c r="K14" s="32"/>
    </row>
    <row r="15" spans="2:12" ht="15" customHeight="1" x14ac:dyDescent="0.2">
      <c r="B15" s="28"/>
      <c r="C15" s="29"/>
      <c r="D15" s="29"/>
      <c r="E15" s="29"/>
      <c r="F15" s="30"/>
      <c r="G15" s="29"/>
      <c r="H15" s="29"/>
      <c r="I15" s="29"/>
      <c r="J15" s="31"/>
      <c r="K15" s="32"/>
    </row>
    <row r="16" spans="2:12" ht="15" customHeight="1" x14ac:dyDescent="0.2">
      <c r="B16" s="28"/>
      <c r="C16" s="29"/>
      <c r="D16" s="29"/>
      <c r="E16" s="29"/>
      <c r="F16" s="30"/>
      <c r="G16" s="29"/>
      <c r="H16" s="29"/>
      <c r="I16" s="29"/>
      <c r="J16" s="31"/>
      <c r="K16" s="32"/>
    </row>
    <row r="17" spans="2:11" ht="15" customHeight="1" x14ac:dyDescent="0.2">
      <c r="B17" s="28"/>
      <c r="C17" s="29"/>
      <c r="D17" s="29"/>
      <c r="E17" s="29"/>
      <c r="F17" s="30"/>
      <c r="G17" s="29"/>
      <c r="H17" s="29"/>
      <c r="I17" s="29"/>
      <c r="J17" s="31"/>
      <c r="K17" s="32"/>
    </row>
    <row r="18" spans="2:11" ht="15" customHeight="1" x14ac:dyDescent="0.2">
      <c r="B18" s="28"/>
      <c r="C18" s="29"/>
      <c r="D18" s="29"/>
      <c r="E18" s="29"/>
      <c r="F18" s="30"/>
      <c r="G18" s="29"/>
      <c r="H18" s="29"/>
      <c r="I18" s="29"/>
      <c r="J18" s="31"/>
      <c r="K18" s="32"/>
    </row>
    <row r="19" spans="2:11" ht="15" customHeight="1" x14ac:dyDescent="0.2">
      <c r="B19" s="28"/>
      <c r="C19" s="29"/>
      <c r="D19" s="29"/>
      <c r="E19" s="29"/>
      <c r="F19" s="30"/>
      <c r="G19" s="29"/>
      <c r="H19" s="29"/>
      <c r="I19" s="29"/>
      <c r="J19" s="31"/>
      <c r="K19" s="32"/>
    </row>
    <row r="20" spans="2:11" ht="15" customHeight="1" x14ac:dyDescent="0.2">
      <c r="B20" s="28"/>
      <c r="C20" s="29"/>
      <c r="D20" s="29"/>
      <c r="E20" s="29"/>
      <c r="F20" s="30"/>
      <c r="G20" s="29"/>
      <c r="H20" s="29"/>
      <c r="I20" s="29"/>
      <c r="J20" s="31"/>
      <c r="K20" s="32"/>
    </row>
    <row r="21" spans="2:11" ht="15" customHeight="1" x14ac:dyDescent="0.2">
      <c r="B21" s="28"/>
      <c r="C21" s="29"/>
      <c r="D21" s="29"/>
      <c r="E21" s="29"/>
      <c r="F21" s="30"/>
      <c r="G21" s="29"/>
      <c r="H21" s="29"/>
      <c r="I21" s="29"/>
      <c r="J21" s="31"/>
      <c r="K21" s="32"/>
    </row>
    <row r="22" spans="2:11" ht="15" customHeight="1" x14ac:dyDescent="0.2">
      <c r="B22" s="28"/>
      <c r="C22" s="29"/>
      <c r="D22" s="29"/>
      <c r="E22" s="29"/>
      <c r="F22" s="30"/>
      <c r="G22" s="29"/>
      <c r="H22" s="29"/>
      <c r="I22" s="29"/>
      <c r="J22" s="31"/>
      <c r="K22" s="32"/>
    </row>
    <row r="23" spans="2:11" ht="15" customHeight="1" x14ac:dyDescent="0.2">
      <c r="B23" s="28"/>
      <c r="C23" s="29"/>
      <c r="D23" s="29"/>
      <c r="E23" s="29"/>
      <c r="F23" s="30"/>
      <c r="G23" s="29"/>
      <c r="H23" s="29"/>
      <c r="I23" s="29"/>
      <c r="J23" s="31"/>
      <c r="K23" s="32"/>
    </row>
    <row r="24" spans="2:11" ht="15" customHeight="1" x14ac:dyDescent="0.2">
      <c r="B24" s="28"/>
      <c r="C24" s="29"/>
      <c r="D24" s="29"/>
      <c r="E24" s="29"/>
      <c r="F24" s="30"/>
      <c r="G24" s="29"/>
      <c r="H24" s="29"/>
      <c r="I24" s="29"/>
      <c r="J24" s="31"/>
      <c r="K24" s="32"/>
    </row>
    <row r="25" spans="2:11" ht="15" customHeight="1" x14ac:dyDescent="0.2">
      <c r="B25" s="28"/>
      <c r="C25" s="29"/>
      <c r="D25" s="29"/>
      <c r="E25" s="29"/>
      <c r="F25" s="30"/>
      <c r="G25" s="29"/>
      <c r="H25" s="29"/>
      <c r="I25" s="29"/>
      <c r="J25" s="31"/>
      <c r="K25" s="32"/>
    </row>
    <row r="26" spans="2:11" ht="15" customHeight="1" x14ac:dyDescent="0.2">
      <c r="B26" s="28"/>
      <c r="C26" s="29"/>
      <c r="D26" s="29"/>
      <c r="E26" s="29"/>
      <c r="F26" s="30"/>
      <c r="G26" s="29"/>
      <c r="H26" s="29"/>
      <c r="I26" s="29"/>
      <c r="J26" s="31"/>
      <c r="K26" s="32"/>
    </row>
    <row r="27" spans="2:11" ht="15" customHeight="1" x14ac:dyDescent="0.2">
      <c r="B27" s="28"/>
      <c r="C27" s="29"/>
      <c r="D27" s="29"/>
      <c r="E27" s="29"/>
      <c r="F27" s="30"/>
      <c r="G27" s="29"/>
      <c r="H27" s="29"/>
      <c r="I27" s="29"/>
      <c r="J27" s="31"/>
      <c r="K27" s="32"/>
    </row>
    <row r="28" spans="2:11" ht="15" customHeight="1" x14ac:dyDescent="0.2">
      <c r="B28" s="28"/>
      <c r="C28" s="29"/>
      <c r="D28" s="29"/>
      <c r="E28" s="29"/>
      <c r="F28" s="30"/>
      <c r="G28" s="29"/>
      <c r="H28" s="29"/>
      <c r="I28" s="29"/>
      <c r="J28" s="31"/>
      <c r="K28" s="32"/>
    </row>
    <row r="29" spans="2:11" ht="15" customHeight="1" x14ac:dyDescent="0.2">
      <c r="B29" s="28"/>
      <c r="C29" s="29"/>
      <c r="D29" s="29"/>
      <c r="E29" s="29"/>
      <c r="F29" s="30"/>
      <c r="G29" s="29"/>
      <c r="H29" s="29"/>
      <c r="I29" s="29"/>
      <c r="J29" s="31"/>
      <c r="K29" s="32"/>
    </row>
    <row r="30" spans="2:11" ht="15" customHeight="1" x14ac:dyDescent="0.2">
      <c r="B30" s="28"/>
      <c r="C30" s="29"/>
      <c r="D30" s="29"/>
      <c r="E30" s="29"/>
      <c r="F30" s="30"/>
      <c r="G30" s="29"/>
      <c r="H30" s="29"/>
      <c r="I30" s="29"/>
      <c r="J30" s="31"/>
      <c r="K30" s="32"/>
    </row>
    <row r="31" spans="2:11" ht="15" customHeight="1" x14ac:dyDescent="0.2">
      <c r="B31" s="28"/>
      <c r="C31" s="29"/>
      <c r="D31" s="29"/>
      <c r="E31" s="29"/>
      <c r="F31" s="30"/>
      <c r="G31" s="29"/>
      <c r="H31" s="29"/>
      <c r="I31" s="29"/>
      <c r="J31" s="31"/>
      <c r="K31" s="32"/>
    </row>
    <row r="32" spans="2:11" ht="15" customHeight="1" x14ac:dyDescent="0.2">
      <c r="B32" s="28"/>
      <c r="C32" s="29"/>
      <c r="D32" s="29"/>
      <c r="E32" s="29"/>
      <c r="F32" s="30"/>
      <c r="G32" s="29"/>
      <c r="H32" s="29"/>
      <c r="I32" s="29"/>
      <c r="J32" s="31"/>
      <c r="K32" s="32"/>
    </row>
    <row r="33" spans="2:11" ht="15" customHeight="1" x14ac:dyDescent="0.2">
      <c r="B33" s="28"/>
      <c r="C33" s="29"/>
      <c r="D33" s="29"/>
      <c r="E33" s="29"/>
      <c r="F33" s="30"/>
      <c r="G33" s="29"/>
      <c r="H33" s="29"/>
      <c r="I33" s="29"/>
      <c r="J33" s="31"/>
      <c r="K33" s="32"/>
    </row>
    <row r="34" spans="2:11" ht="15" customHeight="1" x14ac:dyDescent="0.2">
      <c r="B34" s="28"/>
      <c r="C34" s="29"/>
      <c r="D34" s="29"/>
      <c r="E34" s="29"/>
      <c r="F34" s="30"/>
      <c r="G34" s="29"/>
      <c r="H34" s="29"/>
      <c r="I34" s="29"/>
      <c r="J34" s="31"/>
      <c r="K34" s="32"/>
    </row>
    <row r="35" spans="2:11" ht="15" customHeight="1" x14ac:dyDescent="0.2">
      <c r="B35" s="28"/>
      <c r="C35" s="29"/>
      <c r="D35" s="29"/>
      <c r="E35" s="29"/>
      <c r="F35" s="30"/>
      <c r="G35" s="29"/>
      <c r="H35" s="29"/>
      <c r="I35" s="29"/>
      <c r="J35" s="31"/>
      <c r="K35" s="32"/>
    </row>
    <row r="36" spans="2:11" ht="15" customHeight="1" x14ac:dyDescent="0.2">
      <c r="B36" s="28"/>
      <c r="C36" s="29"/>
      <c r="D36" s="29"/>
      <c r="E36" s="29"/>
      <c r="F36" s="30"/>
      <c r="G36" s="29"/>
      <c r="H36" s="29"/>
      <c r="I36" s="29"/>
      <c r="J36" s="31"/>
      <c r="K36" s="32"/>
    </row>
    <row r="37" spans="2:11" ht="15" customHeight="1" x14ac:dyDescent="0.2">
      <c r="B37" s="28"/>
      <c r="C37" s="29"/>
      <c r="D37" s="29"/>
      <c r="E37" s="29"/>
      <c r="F37" s="30"/>
      <c r="G37" s="29"/>
      <c r="H37" s="29"/>
      <c r="I37" s="29"/>
      <c r="J37" s="31"/>
      <c r="K37" s="32"/>
    </row>
    <row r="38" spans="2:11" ht="15" customHeight="1" x14ac:dyDescent="0.2">
      <c r="B38" s="28"/>
      <c r="C38" s="29"/>
      <c r="D38" s="29"/>
      <c r="E38" s="29"/>
      <c r="F38" s="30"/>
      <c r="G38" s="29"/>
      <c r="H38" s="29"/>
      <c r="I38" s="29"/>
      <c r="J38" s="31"/>
      <c r="K38" s="32"/>
    </row>
    <row r="39" spans="2:11" ht="15" customHeight="1" x14ac:dyDescent="0.2">
      <c r="B39" s="28"/>
      <c r="C39" s="29"/>
      <c r="D39" s="29"/>
      <c r="E39" s="29"/>
      <c r="F39" s="30"/>
      <c r="G39" s="29"/>
      <c r="H39" s="29"/>
      <c r="I39" s="29"/>
      <c r="J39" s="31"/>
      <c r="K39" s="32"/>
    </row>
    <row r="40" spans="2:11" ht="15" customHeight="1" x14ac:dyDescent="0.2">
      <c r="B40" s="28"/>
      <c r="C40" s="29"/>
      <c r="D40" s="29"/>
      <c r="E40" s="29"/>
      <c r="F40" s="30"/>
      <c r="G40" s="29"/>
      <c r="H40" s="29"/>
      <c r="I40" s="29"/>
      <c r="J40" s="31"/>
      <c r="K40" s="32"/>
    </row>
    <row r="41" spans="2:11" ht="15" customHeight="1" x14ac:dyDescent="0.2">
      <c r="B41" s="28"/>
      <c r="C41" s="29"/>
      <c r="D41" s="29"/>
      <c r="E41" s="29"/>
      <c r="F41" s="30"/>
      <c r="G41" s="29"/>
      <c r="H41" s="29"/>
      <c r="I41" s="29"/>
      <c r="J41" s="31"/>
      <c r="K41" s="32"/>
    </row>
    <row r="42" spans="2:11" ht="15" customHeight="1" x14ac:dyDescent="0.2">
      <c r="B42" s="28"/>
      <c r="C42" s="29"/>
      <c r="D42" s="29"/>
      <c r="E42" s="29"/>
      <c r="F42" s="30"/>
      <c r="G42" s="29"/>
      <c r="H42" s="29"/>
      <c r="I42" s="29"/>
      <c r="J42" s="31"/>
      <c r="K42" s="32"/>
    </row>
    <row r="43" spans="2:11" ht="15" customHeight="1" x14ac:dyDescent="0.2">
      <c r="B43" s="28"/>
      <c r="C43" s="29"/>
      <c r="D43" s="29"/>
      <c r="E43" s="29"/>
      <c r="F43" s="30"/>
      <c r="G43" s="29"/>
      <c r="H43" s="29"/>
      <c r="I43" s="29"/>
      <c r="J43" s="31"/>
      <c r="K43" s="32"/>
    </row>
    <row r="44" spans="2:11" ht="15" customHeight="1" x14ac:dyDescent="0.2">
      <c r="B44" s="28"/>
      <c r="C44" s="29"/>
      <c r="D44" s="29"/>
      <c r="E44" s="29"/>
      <c r="F44" s="30"/>
      <c r="G44" s="29"/>
      <c r="H44" s="29"/>
      <c r="I44" s="29"/>
      <c r="J44" s="31"/>
      <c r="K44" s="32"/>
    </row>
    <row r="45" spans="2:11" ht="15" customHeight="1" x14ac:dyDescent="0.2">
      <c r="B45" s="28"/>
      <c r="C45" s="29"/>
      <c r="D45" s="29"/>
      <c r="E45" s="29"/>
      <c r="F45" s="30"/>
      <c r="G45" s="29"/>
      <c r="H45" s="29"/>
      <c r="I45" s="29"/>
      <c r="J45" s="31"/>
      <c r="K45" s="32"/>
    </row>
    <row r="46" spans="2:11" ht="15" customHeight="1" x14ac:dyDescent="0.2">
      <c r="B46" s="28"/>
      <c r="C46" s="29"/>
      <c r="D46" s="29"/>
      <c r="E46" s="29"/>
      <c r="F46" s="30"/>
      <c r="G46" s="29"/>
      <c r="H46" s="29"/>
      <c r="I46" s="29"/>
      <c r="J46" s="31"/>
      <c r="K46" s="32"/>
    </row>
    <row r="47" spans="2:11" ht="15" customHeight="1" x14ac:dyDescent="0.2">
      <c r="B47" s="28"/>
      <c r="C47" s="29"/>
      <c r="D47" s="29"/>
      <c r="E47" s="29"/>
      <c r="F47" s="30"/>
      <c r="G47" s="29"/>
      <c r="H47" s="29"/>
      <c r="I47" s="29"/>
      <c r="J47" s="31"/>
      <c r="K47" s="32"/>
    </row>
    <row r="48" spans="2:11" ht="15" customHeight="1" x14ac:dyDescent="0.2">
      <c r="B48" s="28"/>
      <c r="C48" s="29"/>
      <c r="D48" s="29"/>
      <c r="E48" s="29"/>
      <c r="F48" s="30"/>
      <c r="G48" s="29"/>
      <c r="H48" s="29"/>
      <c r="I48" s="29"/>
      <c r="J48" s="31"/>
      <c r="K48" s="32"/>
    </row>
    <row r="49" spans="2:11" ht="15" customHeight="1" x14ac:dyDescent="0.2">
      <c r="B49" s="28"/>
      <c r="C49" s="29"/>
      <c r="D49" s="29"/>
      <c r="E49" s="29"/>
      <c r="F49" s="30"/>
      <c r="G49" s="29"/>
      <c r="H49" s="29"/>
      <c r="I49" s="29"/>
      <c r="J49" s="31"/>
      <c r="K49" s="32"/>
    </row>
    <row r="50" spans="2:11" ht="15" customHeight="1" x14ac:dyDescent="0.2">
      <c r="B50" s="28"/>
      <c r="C50" s="29"/>
      <c r="D50" s="29"/>
      <c r="E50" s="29"/>
      <c r="F50" s="30"/>
      <c r="G50" s="29"/>
      <c r="H50" s="29"/>
      <c r="I50" s="29"/>
      <c r="J50" s="31"/>
      <c r="K50" s="32"/>
    </row>
    <row r="51" spans="2:11" ht="15" customHeight="1" x14ac:dyDescent="0.2">
      <c r="B51" s="28"/>
      <c r="C51" s="29"/>
      <c r="D51" s="29"/>
      <c r="E51" s="29"/>
      <c r="F51" s="30"/>
      <c r="G51" s="29"/>
      <c r="H51" s="29"/>
      <c r="I51" s="29"/>
      <c r="J51" s="31"/>
      <c r="K51" s="32"/>
    </row>
    <row r="52" spans="2:11" ht="15" customHeight="1" x14ac:dyDescent="0.2">
      <c r="B52" s="28"/>
      <c r="C52" s="29"/>
      <c r="D52" s="29"/>
      <c r="E52" s="29"/>
      <c r="F52" s="30"/>
      <c r="G52" s="29"/>
      <c r="H52" s="29"/>
      <c r="I52" s="29"/>
      <c r="J52" s="31"/>
      <c r="K52" s="32"/>
    </row>
    <row r="53" spans="2:11" ht="15" customHeight="1" x14ac:dyDescent="0.2">
      <c r="B53" s="28"/>
      <c r="C53" s="29"/>
      <c r="D53" s="29"/>
      <c r="E53" s="29"/>
      <c r="F53" s="30"/>
      <c r="G53" s="29"/>
      <c r="H53" s="29"/>
      <c r="I53" s="29"/>
      <c r="J53" s="31"/>
      <c r="K53" s="32"/>
    </row>
    <row r="54" spans="2:11" ht="15" customHeight="1" x14ac:dyDescent="0.2">
      <c r="B54" s="28"/>
      <c r="C54" s="29"/>
      <c r="D54" s="29"/>
      <c r="E54" s="29"/>
      <c r="F54" s="30"/>
      <c r="G54" s="29"/>
      <c r="H54" s="29"/>
      <c r="I54" s="29"/>
      <c r="J54" s="31"/>
      <c r="K54" s="32"/>
    </row>
    <row r="55" spans="2:11" ht="15" customHeight="1" x14ac:dyDescent="0.2">
      <c r="B55" s="28"/>
      <c r="C55" s="29"/>
      <c r="D55" s="29"/>
      <c r="E55" s="29"/>
      <c r="F55" s="30"/>
      <c r="G55" s="29"/>
      <c r="H55" s="29"/>
      <c r="I55" s="29"/>
      <c r="J55" s="31"/>
      <c r="K55" s="32"/>
    </row>
    <row r="56" spans="2:11" ht="15" customHeight="1" x14ac:dyDescent="0.2">
      <c r="B56" s="28"/>
      <c r="C56" s="29"/>
      <c r="D56" s="29"/>
      <c r="E56" s="29"/>
      <c r="F56" s="30"/>
      <c r="G56" s="29"/>
      <c r="H56" s="29"/>
      <c r="I56" s="29"/>
      <c r="J56" s="31"/>
      <c r="K56" s="32"/>
    </row>
    <row r="57" spans="2:11" ht="15" customHeight="1" x14ac:dyDescent="0.2">
      <c r="B57" s="28"/>
      <c r="C57" s="29"/>
      <c r="D57" s="29"/>
      <c r="E57" s="29"/>
      <c r="F57" s="30"/>
      <c r="G57" s="29"/>
      <c r="H57" s="29"/>
      <c r="I57" s="29"/>
      <c r="J57" s="31"/>
      <c r="K57" s="32"/>
    </row>
    <row r="58" spans="2:11" ht="15" customHeight="1" x14ac:dyDescent="0.2">
      <c r="B58" s="28"/>
      <c r="C58" s="29"/>
      <c r="D58" s="29"/>
      <c r="E58" s="29"/>
      <c r="F58" s="30"/>
      <c r="G58" s="29"/>
      <c r="H58" s="29"/>
      <c r="I58" s="29"/>
      <c r="J58" s="31"/>
      <c r="K58" s="32"/>
    </row>
    <row r="59" spans="2:11" ht="15" customHeight="1" x14ac:dyDescent="0.2">
      <c r="B59" s="28"/>
      <c r="C59" s="29"/>
      <c r="D59" s="29"/>
      <c r="E59" s="29"/>
      <c r="F59" s="30"/>
      <c r="G59" s="29"/>
      <c r="H59" s="29"/>
      <c r="I59" s="29"/>
      <c r="J59" s="31"/>
      <c r="K59" s="32"/>
    </row>
    <row r="60" spans="2:11" ht="15" customHeight="1" x14ac:dyDescent="0.2">
      <c r="B60" s="28"/>
      <c r="C60" s="29"/>
      <c r="D60" s="29"/>
      <c r="E60" s="29"/>
      <c r="F60" s="30"/>
      <c r="G60" s="29"/>
      <c r="H60" s="29"/>
      <c r="I60" s="29"/>
      <c r="J60" s="31"/>
      <c r="K60" s="32"/>
    </row>
    <row r="61" spans="2:11" ht="15" customHeight="1" x14ac:dyDescent="0.2">
      <c r="B61" s="28"/>
      <c r="C61" s="29"/>
      <c r="D61" s="29"/>
      <c r="E61" s="29"/>
      <c r="F61" s="30"/>
      <c r="G61" s="29"/>
      <c r="H61" s="29"/>
      <c r="I61" s="29"/>
      <c r="J61" s="31"/>
      <c r="K61" s="32"/>
    </row>
    <row r="62" spans="2:11" ht="15" customHeight="1" x14ac:dyDescent="0.2">
      <c r="B62" s="28"/>
      <c r="C62" s="29"/>
      <c r="D62" s="29"/>
      <c r="E62" s="29"/>
      <c r="F62" s="30"/>
      <c r="G62" s="29"/>
      <c r="H62" s="29"/>
      <c r="I62" s="29"/>
      <c r="J62" s="31"/>
      <c r="K62" s="32"/>
    </row>
    <row r="63" spans="2:11" ht="15" customHeight="1" x14ac:dyDescent="0.2">
      <c r="B63" s="28"/>
      <c r="C63" s="29"/>
      <c r="D63" s="29"/>
      <c r="E63" s="29"/>
      <c r="F63" s="30"/>
      <c r="G63" s="29"/>
      <c r="H63" s="29"/>
      <c r="I63" s="29"/>
      <c r="J63" s="31"/>
      <c r="K63" s="32"/>
    </row>
    <row r="64" spans="2:11" ht="15" customHeight="1" x14ac:dyDescent="0.2">
      <c r="B64" s="28"/>
      <c r="C64" s="29"/>
      <c r="D64" s="29"/>
      <c r="E64" s="29"/>
      <c r="F64" s="30"/>
      <c r="G64" s="29"/>
      <c r="H64" s="29"/>
      <c r="I64" s="29"/>
      <c r="J64" s="31"/>
      <c r="K64" s="32"/>
    </row>
    <row r="65" spans="2:11" ht="15" customHeight="1" x14ac:dyDescent="0.2">
      <c r="B65" s="28"/>
      <c r="C65" s="29"/>
      <c r="D65" s="29"/>
      <c r="E65" s="29"/>
      <c r="F65" s="30"/>
      <c r="G65" s="29"/>
      <c r="H65" s="29"/>
      <c r="I65" s="29"/>
      <c r="J65" s="31"/>
      <c r="K65" s="32"/>
    </row>
    <row r="66" spans="2:11" ht="15" customHeight="1" x14ac:dyDescent="0.2">
      <c r="B66" s="28"/>
      <c r="C66" s="29"/>
      <c r="D66" s="29"/>
      <c r="E66" s="29"/>
      <c r="F66" s="30"/>
      <c r="G66" s="29"/>
      <c r="H66" s="29"/>
      <c r="I66" s="29"/>
      <c r="J66" s="31"/>
      <c r="K66" s="32"/>
    </row>
    <row r="67" spans="2:11" ht="15" customHeight="1" x14ac:dyDescent="0.2">
      <c r="B67" s="28"/>
      <c r="C67" s="29"/>
      <c r="D67" s="29"/>
      <c r="E67" s="29"/>
      <c r="F67" s="30"/>
      <c r="G67" s="29"/>
      <c r="H67" s="29"/>
      <c r="I67" s="29"/>
      <c r="J67" s="31"/>
      <c r="K67" s="32"/>
    </row>
    <row r="68" spans="2:11" ht="15" customHeight="1" x14ac:dyDescent="0.2">
      <c r="B68" s="28"/>
      <c r="C68" s="29"/>
      <c r="D68" s="29"/>
      <c r="E68" s="29"/>
      <c r="F68" s="30"/>
      <c r="G68" s="29"/>
      <c r="H68" s="29"/>
      <c r="I68" s="29"/>
      <c r="J68" s="31"/>
      <c r="K68" s="32"/>
    </row>
    <row r="69" spans="2:11" ht="15" customHeight="1" x14ac:dyDescent="0.2">
      <c r="B69" s="28"/>
      <c r="C69" s="29"/>
      <c r="D69" s="29"/>
      <c r="E69" s="29"/>
      <c r="F69" s="30"/>
      <c r="G69" s="29"/>
      <c r="H69" s="29"/>
      <c r="I69" s="29"/>
      <c r="J69" s="31"/>
      <c r="K69" s="32"/>
    </row>
    <row r="70" spans="2:11" ht="15" customHeight="1" x14ac:dyDescent="0.2">
      <c r="B70" s="28"/>
      <c r="C70" s="29"/>
      <c r="D70" s="29"/>
      <c r="E70" s="29"/>
      <c r="F70" s="30"/>
      <c r="G70" s="29"/>
      <c r="H70" s="29"/>
      <c r="I70" s="29"/>
      <c r="J70" s="31"/>
      <c r="K70" s="32"/>
    </row>
    <row r="71" spans="2:11" ht="15" customHeight="1" x14ac:dyDescent="0.2">
      <c r="B71" s="28"/>
      <c r="C71" s="29"/>
      <c r="D71" s="29"/>
      <c r="E71" s="29"/>
      <c r="F71" s="30"/>
      <c r="G71" s="29"/>
      <c r="H71" s="29"/>
      <c r="I71" s="29"/>
      <c r="J71" s="31"/>
      <c r="K71" s="32"/>
    </row>
    <row r="72" spans="2:11" ht="15" customHeight="1" x14ac:dyDescent="0.2">
      <c r="B72" s="28"/>
      <c r="C72" s="29"/>
      <c r="D72" s="29"/>
      <c r="E72" s="29"/>
      <c r="F72" s="30"/>
      <c r="G72" s="29"/>
      <c r="H72" s="29"/>
      <c r="I72" s="29"/>
      <c r="J72" s="31"/>
      <c r="K72" s="32"/>
    </row>
    <row r="73" spans="2:11" ht="15" customHeight="1" x14ac:dyDescent="0.2">
      <c r="B73" s="28"/>
      <c r="C73" s="29"/>
      <c r="D73" s="29"/>
      <c r="E73" s="29"/>
      <c r="F73" s="30"/>
      <c r="G73" s="29"/>
      <c r="H73" s="29"/>
      <c r="I73" s="29"/>
      <c r="J73" s="31"/>
      <c r="K73" s="32"/>
    </row>
    <row r="74" spans="2:11" ht="15" customHeight="1" x14ac:dyDescent="0.2">
      <c r="B74" s="28"/>
      <c r="C74" s="29"/>
      <c r="D74" s="29"/>
      <c r="E74" s="29"/>
      <c r="F74" s="30"/>
      <c r="G74" s="29"/>
      <c r="H74" s="29"/>
      <c r="I74" s="29"/>
      <c r="J74" s="31"/>
      <c r="K74" s="32"/>
    </row>
    <row r="75" spans="2:11" ht="15" customHeight="1" x14ac:dyDescent="0.2">
      <c r="B75" s="28"/>
      <c r="C75" s="29"/>
      <c r="D75" s="29"/>
      <c r="E75" s="29"/>
      <c r="F75" s="30"/>
      <c r="G75" s="29"/>
      <c r="H75" s="29"/>
      <c r="I75" s="29"/>
      <c r="J75" s="31"/>
      <c r="K75" s="32"/>
    </row>
    <row r="76" spans="2:11" ht="15" customHeight="1" x14ac:dyDescent="0.2">
      <c r="B76" s="28"/>
      <c r="C76" s="29"/>
      <c r="D76" s="29"/>
      <c r="E76" s="29"/>
      <c r="F76" s="30"/>
      <c r="G76" s="29"/>
      <c r="H76" s="29"/>
      <c r="I76" s="29"/>
      <c r="J76" s="31"/>
      <c r="K76" s="32"/>
    </row>
    <row r="77" spans="2:11" ht="15" customHeight="1" x14ac:dyDescent="0.2">
      <c r="B77" s="28"/>
      <c r="C77" s="29"/>
      <c r="D77" s="29"/>
      <c r="E77" s="29"/>
      <c r="F77" s="30"/>
      <c r="G77" s="29"/>
      <c r="H77" s="29"/>
      <c r="I77" s="29"/>
      <c r="J77" s="31"/>
      <c r="K77" s="32"/>
    </row>
    <row r="78" spans="2:11" ht="15" customHeight="1" x14ac:dyDescent="0.2">
      <c r="B78" s="28"/>
      <c r="C78" s="29"/>
      <c r="D78" s="29"/>
      <c r="E78" s="29"/>
      <c r="F78" s="30"/>
      <c r="G78" s="29"/>
      <c r="H78" s="29"/>
      <c r="I78" s="29"/>
      <c r="J78" s="31"/>
      <c r="K78" s="32"/>
    </row>
    <row r="79" spans="2:11" ht="15" customHeight="1" x14ac:dyDescent="0.2">
      <c r="B79" s="28"/>
      <c r="C79" s="29"/>
      <c r="D79" s="29"/>
      <c r="E79" s="29"/>
      <c r="F79" s="30"/>
      <c r="G79" s="29"/>
      <c r="H79" s="29"/>
      <c r="I79" s="29"/>
      <c r="J79" s="31"/>
      <c r="K79" s="32"/>
    </row>
    <row r="80" spans="2:11" ht="15" customHeight="1" x14ac:dyDescent="0.2">
      <c r="B80" s="28"/>
      <c r="C80" s="29"/>
      <c r="D80" s="29"/>
      <c r="E80" s="29"/>
      <c r="F80" s="30"/>
      <c r="G80" s="29"/>
      <c r="H80" s="29"/>
      <c r="I80" s="29"/>
      <c r="J80" s="31"/>
      <c r="K80" s="32"/>
    </row>
    <row r="81" spans="2:11" ht="15" customHeight="1" x14ac:dyDescent="0.2">
      <c r="B81" s="28"/>
      <c r="C81" s="29"/>
      <c r="D81" s="29"/>
      <c r="E81" s="29"/>
      <c r="F81" s="30"/>
      <c r="G81" s="29"/>
      <c r="H81" s="29"/>
      <c r="I81" s="29"/>
      <c r="J81" s="31"/>
      <c r="K81" s="32"/>
    </row>
    <row r="82" spans="2:11" ht="15" customHeight="1" x14ac:dyDescent="0.2">
      <c r="B82" s="28"/>
      <c r="C82" s="29"/>
      <c r="D82" s="29"/>
      <c r="E82" s="29"/>
      <c r="F82" s="30"/>
      <c r="G82" s="29"/>
      <c r="H82" s="29"/>
      <c r="I82" s="29"/>
      <c r="J82" s="31"/>
      <c r="K82" s="32"/>
    </row>
    <row r="83" spans="2:11" ht="15" customHeight="1" x14ac:dyDescent="0.2">
      <c r="B83" s="28"/>
      <c r="C83" s="29"/>
      <c r="D83" s="29"/>
      <c r="E83" s="29"/>
      <c r="F83" s="30"/>
      <c r="G83" s="29"/>
      <c r="H83" s="29"/>
      <c r="I83" s="29"/>
      <c r="J83" s="31"/>
      <c r="K83" s="32"/>
    </row>
    <row r="84" spans="2:11" ht="15" customHeight="1" x14ac:dyDescent="0.2">
      <c r="B84" s="28"/>
      <c r="C84" s="29"/>
      <c r="D84" s="29"/>
      <c r="E84" s="29"/>
      <c r="F84" s="30"/>
      <c r="G84" s="29"/>
      <c r="H84" s="29"/>
      <c r="I84" s="29"/>
      <c r="J84" s="31"/>
      <c r="K84" s="32"/>
    </row>
    <row r="85" spans="2:11" ht="15" customHeight="1" x14ac:dyDescent="0.2">
      <c r="B85" s="28"/>
      <c r="C85" s="29"/>
      <c r="D85" s="29"/>
      <c r="E85" s="29"/>
      <c r="F85" s="30"/>
      <c r="G85" s="29"/>
      <c r="H85" s="29"/>
      <c r="I85" s="29"/>
      <c r="J85" s="31"/>
      <c r="K85" s="32"/>
    </row>
    <row r="86" spans="2:11" ht="15" customHeight="1" x14ac:dyDescent="0.2">
      <c r="B86" s="28"/>
      <c r="C86" s="29"/>
      <c r="D86" s="29"/>
      <c r="E86" s="29"/>
      <c r="F86" s="30"/>
      <c r="G86" s="29"/>
      <c r="H86" s="29"/>
      <c r="I86" s="29"/>
      <c r="J86" s="31"/>
      <c r="K86" s="32"/>
    </row>
    <row r="87" spans="2:11" ht="15" customHeight="1" x14ac:dyDescent="0.2">
      <c r="B87" s="28"/>
      <c r="C87" s="29"/>
      <c r="D87" s="29"/>
      <c r="E87" s="29"/>
      <c r="F87" s="30"/>
      <c r="G87" s="29"/>
      <c r="H87" s="29"/>
      <c r="I87" s="29"/>
      <c r="J87" s="31"/>
      <c r="K87" s="32"/>
    </row>
    <row r="88" spans="2:11" ht="15" customHeight="1" x14ac:dyDescent="0.2">
      <c r="B88" s="28"/>
      <c r="C88" s="29"/>
      <c r="D88" s="29"/>
      <c r="E88" s="29"/>
      <c r="F88" s="30"/>
      <c r="G88" s="29"/>
      <c r="H88" s="29"/>
      <c r="I88" s="29"/>
      <c r="J88" s="31"/>
      <c r="K88" s="32"/>
    </row>
    <row r="89" spans="2:11" ht="15" customHeight="1" x14ac:dyDescent="0.2">
      <c r="B89" s="28"/>
      <c r="C89" s="29"/>
      <c r="D89" s="29"/>
      <c r="E89" s="29"/>
      <c r="F89" s="30"/>
      <c r="G89" s="29"/>
      <c r="H89" s="29"/>
      <c r="I89" s="29"/>
      <c r="J89" s="31"/>
      <c r="K89" s="32"/>
    </row>
    <row r="90" spans="2:11" ht="15" customHeight="1" x14ac:dyDescent="0.2">
      <c r="B90" s="28"/>
      <c r="C90" s="29"/>
      <c r="D90" s="29"/>
      <c r="E90" s="29"/>
      <c r="F90" s="30"/>
      <c r="G90" s="29"/>
      <c r="H90" s="29"/>
      <c r="I90" s="29"/>
      <c r="J90" s="31"/>
      <c r="K90" s="32"/>
    </row>
    <row r="91" spans="2:11" ht="15" customHeight="1" x14ac:dyDescent="0.2">
      <c r="B91" s="28"/>
      <c r="C91" s="29"/>
      <c r="D91" s="29"/>
      <c r="E91" s="29"/>
      <c r="F91" s="30"/>
      <c r="G91" s="29"/>
      <c r="H91" s="29"/>
      <c r="I91" s="29"/>
      <c r="J91" s="31"/>
      <c r="K91" s="32"/>
    </row>
    <row r="92" spans="2:11" ht="15" customHeight="1" x14ac:dyDescent="0.2">
      <c r="B92" s="28"/>
      <c r="C92" s="29"/>
      <c r="D92" s="29"/>
      <c r="E92" s="29"/>
      <c r="F92" s="30"/>
      <c r="G92" s="29"/>
      <c r="H92" s="29"/>
      <c r="I92" s="29"/>
      <c r="J92" s="31"/>
      <c r="K92" s="32"/>
    </row>
    <row r="93" spans="2:11" ht="15" customHeight="1" x14ac:dyDescent="0.2">
      <c r="B93" s="28"/>
      <c r="C93" s="29"/>
      <c r="D93" s="29"/>
      <c r="E93" s="29"/>
      <c r="F93" s="30"/>
      <c r="G93" s="29"/>
      <c r="H93" s="29"/>
      <c r="I93" s="29"/>
      <c r="J93" s="31"/>
      <c r="K93" s="32"/>
    </row>
    <row r="94" spans="2:11" ht="15" customHeight="1" x14ac:dyDescent="0.2">
      <c r="B94" s="28"/>
      <c r="C94" s="29"/>
      <c r="D94" s="29"/>
      <c r="E94" s="29"/>
      <c r="F94" s="30"/>
      <c r="G94" s="29"/>
      <c r="H94" s="29"/>
      <c r="I94" s="29"/>
      <c r="J94" s="31"/>
      <c r="K94" s="32"/>
    </row>
    <row r="95" spans="2:11" ht="15" customHeight="1" x14ac:dyDescent="0.2">
      <c r="B95" s="28"/>
      <c r="C95" s="29"/>
      <c r="D95" s="29"/>
      <c r="E95" s="29"/>
      <c r="F95" s="30"/>
      <c r="G95" s="29"/>
      <c r="H95" s="29"/>
      <c r="I95" s="29"/>
      <c r="J95" s="31"/>
      <c r="K95" s="32"/>
    </row>
    <row r="96" spans="2:11" ht="15" customHeight="1" x14ac:dyDescent="0.2">
      <c r="B96" s="28"/>
      <c r="C96" s="29"/>
      <c r="D96" s="29"/>
      <c r="E96" s="29"/>
      <c r="F96" s="30"/>
      <c r="G96" s="29"/>
      <c r="H96" s="29"/>
      <c r="I96" s="29"/>
      <c r="J96" s="31"/>
      <c r="K96" s="32"/>
    </row>
    <row r="97" spans="2:11" ht="15" customHeight="1" x14ac:dyDescent="0.2">
      <c r="B97" s="28"/>
      <c r="C97" s="29"/>
      <c r="D97" s="29"/>
      <c r="E97" s="29"/>
      <c r="F97" s="30"/>
      <c r="G97" s="29"/>
      <c r="H97" s="29"/>
      <c r="I97" s="29"/>
      <c r="J97" s="31"/>
      <c r="K97" s="32"/>
    </row>
    <row r="98" spans="2:11" ht="15" customHeight="1" x14ac:dyDescent="0.2">
      <c r="B98" s="28"/>
      <c r="C98" s="29"/>
      <c r="D98" s="29"/>
      <c r="E98" s="29"/>
      <c r="F98" s="30"/>
      <c r="G98" s="29"/>
      <c r="H98" s="29"/>
      <c r="I98" s="29"/>
      <c r="J98" s="31"/>
      <c r="K98" s="32"/>
    </row>
    <row r="99" spans="2:11" ht="15" customHeight="1" x14ac:dyDescent="0.2">
      <c r="B99" s="28"/>
      <c r="C99" s="29"/>
      <c r="D99" s="29"/>
      <c r="E99" s="29"/>
      <c r="F99" s="30"/>
      <c r="G99" s="29"/>
      <c r="H99" s="29"/>
      <c r="I99" s="29"/>
      <c r="J99" s="31"/>
      <c r="K99" s="32"/>
    </row>
    <row r="100" spans="2:11" ht="15" customHeight="1" x14ac:dyDescent="0.2">
      <c r="B100" s="28"/>
      <c r="C100" s="29"/>
      <c r="D100" s="29"/>
      <c r="E100" s="29"/>
      <c r="F100" s="30"/>
      <c r="G100" s="29"/>
      <c r="H100" s="29"/>
      <c r="I100" s="29"/>
      <c r="J100" s="31"/>
      <c r="K100" s="32"/>
    </row>
    <row r="101" spans="2:11" ht="15" customHeight="1" x14ac:dyDescent="0.2">
      <c r="B101" s="28"/>
      <c r="C101" s="29"/>
      <c r="D101" s="29"/>
      <c r="E101" s="29"/>
      <c r="F101" s="30"/>
      <c r="G101" s="29"/>
      <c r="H101" s="29"/>
      <c r="I101" s="29"/>
      <c r="J101" s="31"/>
      <c r="K101" s="32"/>
    </row>
    <row r="102" spans="2:11" ht="15" customHeight="1" x14ac:dyDescent="0.2">
      <c r="B102" s="28"/>
      <c r="C102" s="29"/>
      <c r="D102" s="29"/>
      <c r="E102" s="29"/>
      <c r="F102" s="30"/>
      <c r="G102" s="29"/>
      <c r="H102" s="29"/>
      <c r="I102" s="29"/>
      <c r="J102" s="31"/>
      <c r="K102" s="32"/>
    </row>
    <row r="103" spans="2:11" ht="15" customHeight="1" x14ac:dyDescent="0.2">
      <c r="B103" s="28"/>
      <c r="C103" s="29"/>
      <c r="D103" s="29"/>
      <c r="E103" s="29"/>
      <c r="F103" s="30"/>
      <c r="G103" s="29"/>
      <c r="H103" s="29"/>
      <c r="I103" s="29"/>
      <c r="J103" s="31"/>
      <c r="K103" s="32"/>
    </row>
    <row r="104" spans="2:11" ht="15" customHeight="1" x14ac:dyDescent="0.2">
      <c r="B104" s="28"/>
      <c r="C104" s="29"/>
      <c r="D104" s="29"/>
      <c r="E104" s="29"/>
      <c r="F104" s="30"/>
      <c r="G104" s="29"/>
      <c r="H104" s="29"/>
      <c r="I104" s="29"/>
      <c r="J104" s="31"/>
      <c r="K104" s="32"/>
    </row>
    <row r="105" spans="2:11" ht="15" customHeight="1" x14ac:dyDescent="0.2">
      <c r="B105" s="28"/>
      <c r="C105" s="29"/>
      <c r="D105" s="29"/>
      <c r="E105" s="29"/>
      <c r="F105" s="30"/>
      <c r="G105" s="29"/>
      <c r="H105" s="29"/>
      <c r="I105" s="29"/>
      <c r="J105" s="31"/>
      <c r="K105" s="32"/>
    </row>
    <row r="106" spans="2:11" ht="15" customHeight="1" x14ac:dyDescent="0.2">
      <c r="B106" s="28"/>
      <c r="C106" s="29"/>
      <c r="D106" s="29"/>
      <c r="E106" s="29"/>
      <c r="F106" s="30"/>
      <c r="G106" s="29"/>
      <c r="H106" s="29"/>
      <c r="I106" s="29"/>
      <c r="J106" s="31"/>
      <c r="K106" s="32"/>
    </row>
    <row r="107" spans="2:11" ht="15" customHeight="1" x14ac:dyDescent="0.2">
      <c r="B107" s="28"/>
      <c r="C107" s="29"/>
      <c r="D107" s="29"/>
      <c r="E107" s="29"/>
      <c r="F107" s="30"/>
      <c r="G107" s="29"/>
      <c r="H107" s="29"/>
      <c r="I107" s="29"/>
      <c r="J107" s="31"/>
      <c r="K107" s="32"/>
    </row>
    <row r="108" spans="2:11" ht="15" customHeight="1" x14ac:dyDescent="0.2">
      <c r="B108" s="28"/>
      <c r="C108" s="29"/>
      <c r="D108" s="29"/>
      <c r="E108" s="29"/>
      <c r="F108" s="30"/>
      <c r="G108" s="29"/>
      <c r="H108" s="29"/>
      <c r="I108" s="29"/>
      <c r="J108" s="31"/>
      <c r="K108" s="32"/>
    </row>
    <row r="109" spans="2:11" ht="15" customHeight="1" x14ac:dyDescent="0.2">
      <c r="B109" s="28"/>
      <c r="C109" s="29"/>
      <c r="D109" s="29"/>
      <c r="E109" s="29"/>
      <c r="F109" s="30"/>
      <c r="G109" s="29"/>
      <c r="H109" s="29"/>
      <c r="I109" s="29"/>
      <c r="J109" s="31"/>
      <c r="K109" s="32"/>
    </row>
  </sheetData>
  <mergeCells count="2">
    <mergeCell ref="B2:L2"/>
    <mergeCell ref="B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8"/>
  <sheetViews>
    <sheetView showGridLines="0" zoomScaleNormal="100" workbookViewId="0">
      <selection activeCell="C6" sqref="C6"/>
    </sheetView>
  </sheetViews>
  <sheetFormatPr baseColWidth="10" defaultColWidth="8.6640625" defaultRowHeight="15" x14ac:dyDescent="0.2"/>
  <cols>
    <col min="1" max="1" width="3" customWidth="1"/>
    <col min="2" max="2" width="32" customWidth="1"/>
    <col min="3" max="3" width="20" customWidth="1"/>
    <col min="4" max="4" width="70" customWidth="1"/>
  </cols>
  <sheetData>
    <row r="2" spans="2:4" ht="30" customHeight="1" x14ac:dyDescent="0.2">
      <c r="B2" s="49" t="s">
        <v>0</v>
      </c>
      <c r="C2" s="50"/>
      <c r="D2" s="50"/>
    </row>
    <row r="4" spans="2:4" ht="27.75" customHeight="1" x14ac:dyDescent="0.2">
      <c r="B4" s="8" t="s">
        <v>1</v>
      </c>
      <c r="C4" s="8" t="s">
        <v>2</v>
      </c>
      <c r="D4" s="8" t="s">
        <v>3</v>
      </c>
    </row>
    <row r="5" spans="2:4" ht="21.75" customHeight="1" x14ac:dyDescent="0.2">
      <c r="B5" s="9" t="s">
        <v>4</v>
      </c>
      <c r="C5" s="28">
        <v>46173</v>
      </c>
      <c r="D5" s="1" t="s">
        <v>5</v>
      </c>
    </row>
    <row r="6" spans="2:4" ht="21.75" customHeight="1" x14ac:dyDescent="0.2">
      <c r="B6" s="9" t="s">
        <v>6</v>
      </c>
      <c r="C6" s="33">
        <v>32.43</v>
      </c>
      <c r="D6" s="1" t="s">
        <v>7</v>
      </c>
    </row>
    <row r="7" spans="2:4" ht="21.75" customHeight="1" x14ac:dyDescent="0.2">
      <c r="B7" s="9" t="s">
        <v>8</v>
      </c>
      <c r="C7" s="34" t="s">
        <v>9</v>
      </c>
      <c r="D7" s="1" t="s">
        <v>10</v>
      </c>
    </row>
    <row r="8" spans="2:4" ht="21.75" customHeight="1" x14ac:dyDescent="0.2">
      <c r="B8" s="9" t="s">
        <v>11</v>
      </c>
      <c r="C8" s="34" t="s">
        <v>12</v>
      </c>
      <c r="D8" s="1" t="s">
        <v>13</v>
      </c>
    </row>
  </sheetData>
  <mergeCells count="1">
    <mergeCell ref="B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104"/>
  <sheetViews>
    <sheetView showGridLines="0" zoomScaleNormal="100" workbookViewId="0">
      <pane xSplit="1" ySplit="4" topLeftCell="B57" activePane="bottomRight" state="frozen"/>
      <selection pane="topRight" activeCell="B1" sqref="B1"/>
      <selection pane="bottomLeft" activeCell="A55" sqref="A55"/>
      <selection pane="bottomRight" activeCell="G79" sqref="G79"/>
    </sheetView>
  </sheetViews>
  <sheetFormatPr baseColWidth="10" defaultColWidth="8.6640625" defaultRowHeight="15" x14ac:dyDescent="0.2"/>
  <cols>
    <col min="1" max="1" width="22" customWidth="1"/>
    <col min="2" max="2" width="8" customWidth="1"/>
    <col min="3" max="3" width="14" customWidth="1"/>
    <col min="4" max="4" width="22" customWidth="1"/>
    <col min="5" max="5" width="16" customWidth="1"/>
    <col min="6" max="6" width="18" customWidth="1"/>
    <col min="7" max="7" width="12" customWidth="1"/>
    <col min="8" max="8" width="16" customWidth="1"/>
  </cols>
  <sheetData>
    <row r="2" spans="1:8" ht="30" customHeight="1" x14ac:dyDescent="0.2">
      <c r="A2" s="49" t="s">
        <v>122</v>
      </c>
      <c r="B2" s="50"/>
      <c r="C2" s="50"/>
      <c r="D2" s="50"/>
      <c r="E2" s="50"/>
      <c r="F2" s="50"/>
      <c r="G2" s="50"/>
      <c r="H2" s="50"/>
    </row>
    <row r="4" spans="1:8" ht="31.5" customHeight="1" x14ac:dyDescent="0.2">
      <c r="A4" s="8" t="s">
        <v>123</v>
      </c>
      <c r="B4" s="8" t="s">
        <v>124</v>
      </c>
      <c r="C4" s="8" t="s">
        <v>76</v>
      </c>
      <c r="D4" s="8" t="s">
        <v>77</v>
      </c>
      <c r="E4" s="8" t="s">
        <v>125</v>
      </c>
      <c r="F4" s="8" t="s">
        <v>126</v>
      </c>
      <c r="G4" s="8" t="s">
        <v>127</v>
      </c>
      <c r="H4" s="8" t="s">
        <v>128</v>
      </c>
    </row>
    <row r="5" spans="1:8" ht="15" customHeight="1" x14ac:dyDescent="0.2">
      <c r="A5" s="35" t="str">
        <f t="shared" ref="A5:A36" si="0">B5&amp;"|"&amp;C5&amp;"|"&amp;D5</f>
        <v>Mutual Fund|ASP-AIEQ|Asset Plus</v>
      </c>
      <c r="B5" s="9" t="s">
        <v>129</v>
      </c>
      <c r="C5" s="35" t="s">
        <v>130</v>
      </c>
      <c r="D5" s="35" t="s">
        <v>131</v>
      </c>
      <c r="E5" s="33">
        <v>25.066600000000001</v>
      </c>
      <c r="F5" s="34" t="s">
        <v>9</v>
      </c>
      <c r="G5" s="28">
        <v>46170</v>
      </c>
      <c r="H5" s="34" t="s">
        <v>132</v>
      </c>
    </row>
    <row r="6" spans="1:8" ht="15" customHeight="1" x14ac:dyDescent="0.2">
      <c r="A6" s="35" t="str">
        <f t="shared" si="0"/>
        <v>Mutual Fund|ASP-DGOV-R|Asset Plus</v>
      </c>
      <c r="B6" s="9" t="s">
        <v>129</v>
      </c>
      <c r="C6" s="35" t="s">
        <v>133</v>
      </c>
      <c r="D6" s="35" t="s">
        <v>131</v>
      </c>
      <c r="E6" s="33">
        <v>10.684799999999999</v>
      </c>
      <c r="F6" s="34" t="s">
        <v>9</v>
      </c>
      <c r="G6" s="28">
        <v>46171</v>
      </c>
      <c r="H6" s="34" t="s">
        <v>132</v>
      </c>
    </row>
    <row r="7" spans="1:8" ht="15" customHeight="1" x14ac:dyDescent="0.2">
      <c r="A7" s="35" t="str">
        <f t="shared" si="0"/>
        <v>Mutual Fund|ASP-EUG|Asset Plus</v>
      </c>
      <c r="B7" s="9" t="s">
        <v>129</v>
      </c>
      <c r="C7" s="35" t="s">
        <v>134</v>
      </c>
      <c r="D7" s="35" t="s">
        <v>131</v>
      </c>
      <c r="E7" s="33">
        <v>7.1688999999999998</v>
      </c>
      <c r="F7" s="34" t="s">
        <v>9</v>
      </c>
      <c r="G7" s="28">
        <v>46170</v>
      </c>
      <c r="H7" s="34" t="s">
        <v>132</v>
      </c>
    </row>
    <row r="8" spans="1:8" ht="15" customHeight="1" x14ac:dyDescent="0.2">
      <c r="A8" s="35" t="str">
        <f t="shared" si="0"/>
        <v>Mutual Fund|ASP-EVOCHINA|Asset Plus</v>
      </c>
      <c r="B8" s="9" t="s">
        <v>129</v>
      </c>
      <c r="C8" s="35" t="s">
        <v>135</v>
      </c>
      <c r="D8" s="35" t="s">
        <v>131</v>
      </c>
      <c r="E8" s="33">
        <v>9.7523999999999997</v>
      </c>
      <c r="F8" s="34" t="s">
        <v>9</v>
      </c>
      <c r="G8" s="28">
        <v>46170</v>
      </c>
      <c r="H8" s="34" t="s">
        <v>132</v>
      </c>
    </row>
    <row r="9" spans="1:8" ht="15" customHeight="1" x14ac:dyDescent="0.2">
      <c r="A9" s="35" t="str">
        <f t="shared" si="0"/>
        <v>Mutual Fund|ASP-FLEXPLUS|Asset Plus</v>
      </c>
      <c r="B9" s="9" t="s">
        <v>129</v>
      </c>
      <c r="C9" s="35" t="s">
        <v>136</v>
      </c>
      <c r="D9" s="35" t="s">
        <v>131</v>
      </c>
      <c r="E9" s="33">
        <v>9.3216000000000001</v>
      </c>
      <c r="F9" s="34" t="s">
        <v>9</v>
      </c>
      <c r="G9" s="28">
        <v>46171</v>
      </c>
      <c r="H9" s="34" t="s">
        <v>132</v>
      </c>
    </row>
    <row r="10" spans="1:8" ht="15" customHeight="1" x14ac:dyDescent="0.2">
      <c r="A10" s="35" t="str">
        <f t="shared" si="0"/>
        <v>Mutual Fund|ASP-JHC|Asset Plus</v>
      </c>
      <c r="B10" s="9" t="s">
        <v>129</v>
      </c>
      <c r="C10" s="35" t="s">
        <v>137</v>
      </c>
      <c r="D10" s="35" t="s">
        <v>131</v>
      </c>
      <c r="E10" s="33">
        <v>13.2248</v>
      </c>
      <c r="F10" s="34" t="s">
        <v>9</v>
      </c>
      <c r="G10" s="28">
        <v>46170</v>
      </c>
      <c r="H10" s="34" t="s">
        <v>132</v>
      </c>
    </row>
    <row r="11" spans="1:8" ht="15" customHeight="1" x14ac:dyDescent="0.2">
      <c r="A11" s="35" t="str">
        <f t="shared" si="0"/>
        <v>Mutual Fund|ASP-SME-A|Asset Plus</v>
      </c>
      <c r="B11" s="9" t="s">
        <v>129</v>
      </c>
      <c r="C11" s="35" t="s">
        <v>138</v>
      </c>
      <c r="D11" s="35" t="s">
        <v>131</v>
      </c>
      <c r="E11" s="33">
        <v>13.0748</v>
      </c>
      <c r="F11" s="34" t="s">
        <v>9</v>
      </c>
      <c r="G11" s="28">
        <v>46171</v>
      </c>
      <c r="H11" s="34" t="s">
        <v>132</v>
      </c>
    </row>
    <row r="12" spans="1:8" ht="15" customHeight="1" x14ac:dyDescent="0.2">
      <c r="A12" s="35" t="str">
        <f t="shared" si="0"/>
        <v>Mutual Fund|ASP-THGEQ-T|Asset Plus</v>
      </c>
      <c r="B12" s="9" t="s">
        <v>129</v>
      </c>
      <c r="C12" s="35" t="s">
        <v>139</v>
      </c>
      <c r="D12" s="35" t="s">
        <v>131</v>
      </c>
      <c r="E12" s="33">
        <v>26.415900000000001</v>
      </c>
      <c r="F12" s="34" t="s">
        <v>9</v>
      </c>
      <c r="G12" s="28">
        <v>46171</v>
      </c>
      <c r="H12" s="34" t="s">
        <v>132</v>
      </c>
    </row>
    <row r="13" spans="1:8" ht="15" customHeight="1" x14ac:dyDescent="0.2">
      <c r="A13" s="35" t="str">
        <f t="shared" si="0"/>
        <v>Mutual Fund|B-EQUITY|BBLAM</v>
      </c>
      <c r="B13" s="9" t="s">
        <v>129</v>
      </c>
      <c r="C13" s="35" t="s">
        <v>140</v>
      </c>
      <c r="D13" s="35" t="s">
        <v>141</v>
      </c>
      <c r="E13" s="33">
        <v>35.9236</v>
      </c>
      <c r="F13" s="34" t="s">
        <v>9</v>
      </c>
      <c r="G13" s="28">
        <v>46171</v>
      </c>
      <c r="H13" s="34" t="s">
        <v>132</v>
      </c>
    </row>
    <row r="14" spans="1:8" ht="15" customHeight="1" x14ac:dyDescent="0.2">
      <c r="A14" s="35" t="str">
        <f t="shared" si="0"/>
        <v>Mutual Fund|B-MIXED75|BBLAM</v>
      </c>
      <c r="B14" s="9" t="s">
        <v>129</v>
      </c>
      <c r="C14" s="35" t="s">
        <v>142</v>
      </c>
      <c r="D14" s="35" t="s">
        <v>141</v>
      </c>
      <c r="E14" s="33">
        <v>25.235099999999999</v>
      </c>
      <c r="F14" s="34" t="s">
        <v>9</v>
      </c>
      <c r="G14" s="28">
        <v>46171</v>
      </c>
      <c r="H14" s="34" t="s">
        <v>132</v>
      </c>
    </row>
    <row r="15" spans="1:8" ht="15" customHeight="1" x14ac:dyDescent="0.2">
      <c r="A15" s="35" t="str">
        <f t="shared" si="0"/>
        <v>Mutual Fund|BCARERMF|BBLAM</v>
      </c>
      <c r="B15" s="9" t="s">
        <v>129</v>
      </c>
      <c r="C15" s="35" t="s">
        <v>143</v>
      </c>
      <c r="D15" s="35" t="s">
        <v>141</v>
      </c>
      <c r="E15" s="33">
        <v>14.814399999999999</v>
      </c>
      <c r="F15" s="34" t="s">
        <v>9</v>
      </c>
      <c r="G15" s="28">
        <v>46169</v>
      </c>
      <c r="H15" s="34" t="s">
        <v>132</v>
      </c>
    </row>
    <row r="16" spans="1:8" ht="15" customHeight="1" x14ac:dyDescent="0.2">
      <c r="A16" s="35" t="str">
        <f t="shared" si="0"/>
        <v>Mutual Fund|BERMF|BBLAM</v>
      </c>
      <c r="B16" s="9" t="s">
        <v>129</v>
      </c>
      <c r="C16" s="35" t="s">
        <v>144</v>
      </c>
      <c r="D16" s="35" t="s">
        <v>141</v>
      </c>
      <c r="E16" s="33">
        <v>80.657499999999999</v>
      </c>
      <c r="F16" s="34" t="s">
        <v>9</v>
      </c>
      <c r="G16" s="28">
        <v>46171</v>
      </c>
      <c r="H16" s="34" t="s">
        <v>132</v>
      </c>
    </row>
    <row r="17" spans="1:8" ht="15" customHeight="1" x14ac:dyDescent="0.2">
      <c r="A17" s="35" t="str">
        <f t="shared" si="0"/>
        <v>Mutual Fund|BFLRMF|BBLAM</v>
      </c>
      <c r="B17" s="9" t="s">
        <v>129</v>
      </c>
      <c r="C17" s="35" t="s">
        <v>145</v>
      </c>
      <c r="D17" s="35" t="s">
        <v>141</v>
      </c>
      <c r="E17" s="33">
        <v>52.918799999999997</v>
      </c>
      <c r="F17" s="34" t="s">
        <v>9</v>
      </c>
      <c r="G17" s="28">
        <v>46171</v>
      </c>
      <c r="H17" s="34" t="s">
        <v>132</v>
      </c>
    </row>
    <row r="18" spans="1:8" ht="15" customHeight="1" x14ac:dyDescent="0.2">
      <c r="A18" s="35" t="str">
        <f t="shared" si="0"/>
        <v>Mutual Fund|BFRMF|BBLAM</v>
      </c>
      <c r="B18" s="9" t="s">
        <v>129</v>
      </c>
      <c r="C18" s="35" t="s">
        <v>146</v>
      </c>
      <c r="D18" s="35" t="s">
        <v>141</v>
      </c>
      <c r="E18" s="33">
        <v>16.417999999999999</v>
      </c>
      <c r="F18" s="34" t="s">
        <v>9</v>
      </c>
      <c r="G18" s="28">
        <v>46171</v>
      </c>
      <c r="H18" s="34" t="s">
        <v>132</v>
      </c>
    </row>
    <row r="19" spans="1:8" ht="15" customHeight="1" x14ac:dyDescent="0.2">
      <c r="A19" s="35" t="str">
        <f t="shared" si="0"/>
        <v>Mutual Fund|ES-MF|East Spring</v>
      </c>
      <c r="B19" s="9" t="s">
        <v>129</v>
      </c>
      <c r="C19" s="35" t="s">
        <v>147</v>
      </c>
      <c r="D19" s="35" t="s">
        <v>148</v>
      </c>
      <c r="E19" s="33">
        <v>23.398299999999999</v>
      </c>
      <c r="F19" s="34" t="s">
        <v>9</v>
      </c>
      <c r="G19" s="28">
        <v>46171</v>
      </c>
      <c r="H19" s="34" t="s">
        <v>132</v>
      </c>
    </row>
    <row r="20" spans="1:8" ht="15" customHeight="1" x14ac:dyDescent="0.2">
      <c r="A20" s="35" t="str">
        <f t="shared" si="0"/>
        <v>Mutual Fund|ES-US500RMF|East Spring</v>
      </c>
      <c r="B20" s="9" t="s">
        <v>129</v>
      </c>
      <c r="C20" s="35" t="s">
        <v>149</v>
      </c>
      <c r="D20" s="35" t="s">
        <v>148</v>
      </c>
      <c r="E20" s="33">
        <v>41.553600000000003</v>
      </c>
      <c r="F20" s="34" t="s">
        <v>9</v>
      </c>
      <c r="G20" s="28">
        <v>46170</v>
      </c>
      <c r="H20" s="34" t="s">
        <v>132</v>
      </c>
    </row>
    <row r="21" spans="1:8" ht="15" customHeight="1" x14ac:dyDescent="0.2">
      <c r="A21" s="35" t="str">
        <f t="shared" si="0"/>
        <v>Mutual Fund|K-CHX|K Asset</v>
      </c>
      <c r="B21" s="9" t="s">
        <v>129</v>
      </c>
      <c r="C21" s="35" t="s">
        <v>150</v>
      </c>
      <c r="D21" s="35" t="s">
        <v>151</v>
      </c>
      <c r="E21" s="33">
        <v>13.352499999999999</v>
      </c>
      <c r="F21" s="34" t="s">
        <v>9</v>
      </c>
      <c r="G21" s="28">
        <v>46171</v>
      </c>
      <c r="H21" s="34" t="s">
        <v>132</v>
      </c>
    </row>
    <row r="22" spans="1:8" ht="15" customHeight="1" x14ac:dyDescent="0.2">
      <c r="A22" s="35" t="str">
        <f t="shared" si="0"/>
        <v>Mutual Fund|K-GHRMF|K Asset</v>
      </c>
      <c r="B22" s="9" t="s">
        <v>129</v>
      </c>
      <c r="C22" s="35" t="s">
        <v>152</v>
      </c>
      <c r="D22" s="35" t="s">
        <v>151</v>
      </c>
      <c r="E22" s="33">
        <v>13.1196</v>
      </c>
      <c r="F22" s="34" t="s">
        <v>9</v>
      </c>
      <c r="G22" s="28">
        <v>46170</v>
      </c>
      <c r="H22" s="34" t="s">
        <v>132</v>
      </c>
    </row>
    <row r="23" spans="1:8" ht="15" customHeight="1" x14ac:dyDescent="0.2">
      <c r="A23" s="35" t="str">
        <f t="shared" si="0"/>
        <v>Mutual Fund|K-TNZ-ThaiESG|K Asset</v>
      </c>
      <c r="B23" s="9" t="s">
        <v>129</v>
      </c>
      <c r="C23" s="35" t="s">
        <v>153</v>
      </c>
      <c r="D23" s="35" t="s">
        <v>151</v>
      </c>
      <c r="E23" s="33">
        <v>12.289199999999999</v>
      </c>
      <c r="F23" s="34" t="s">
        <v>9</v>
      </c>
      <c r="G23" s="28">
        <v>46171</v>
      </c>
      <c r="H23" s="34" t="s">
        <v>132</v>
      </c>
    </row>
    <row r="24" spans="1:8" ht="15" customHeight="1" x14ac:dyDescent="0.2">
      <c r="A24" s="35" t="str">
        <f t="shared" si="0"/>
        <v>Mutual Fund|K-USA-A(D)|K Asset</v>
      </c>
      <c r="B24" s="9" t="s">
        <v>129</v>
      </c>
      <c r="C24" s="35" t="s">
        <v>154</v>
      </c>
      <c r="D24" s="35" t="s">
        <v>151</v>
      </c>
      <c r="E24" s="33">
        <v>12.122999999999999</v>
      </c>
      <c r="F24" s="34" t="s">
        <v>9</v>
      </c>
      <c r="G24" s="28">
        <v>46170</v>
      </c>
      <c r="H24" s="34" t="s">
        <v>132</v>
      </c>
    </row>
    <row r="25" spans="1:8" ht="15" customHeight="1" x14ac:dyDescent="0.2">
      <c r="A25" s="35" t="str">
        <f t="shared" si="0"/>
        <v>Mutual Fund|K-VIETNAMRMF|K Asset</v>
      </c>
      <c r="B25" s="9" t="s">
        <v>129</v>
      </c>
      <c r="C25" s="35" t="s">
        <v>155</v>
      </c>
      <c r="D25" s="35" t="s">
        <v>151</v>
      </c>
      <c r="E25" s="33">
        <v>9.9961000000000002</v>
      </c>
      <c r="F25" s="34" t="s">
        <v>9</v>
      </c>
      <c r="G25" s="28">
        <v>46171</v>
      </c>
      <c r="H25" s="34" t="s">
        <v>132</v>
      </c>
    </row>
    <row r="26" spans="1:8" ht="15" customHeight="1" x14ac:dyDescent="0.2">
      <c r="A26" s="35" t="str">
        <f t="shared" si="0"/>
        <v>Mutual Fund|K-Vietnam|K Asset</v>
      </c>
      <c r="B26" s="9" t="s">
        <v>129</v>
      </c>
      <c r="C26" s="35" t="s">
        <v>156</v>
      </c>
      <c r="D26" s="35" t="s">
        <v>151</v>
      </c>
      <c r="E26" s="33">
        <v>14.027200000000001</v>
      </c>
      <c r="F26" s="34" t="s">
        <v>9</v>
      </c>
      <c r="G26" s="28">
        <v>46171</v>
      </c>
      <c r="H26" s="34" t="s">
        <v>132</v>
      </c>
    </row>
    <row r="27" spans="1:8" ht="15" customHeight="1" x14ac:dyDescent="0.2">
      <c r="A27" s="35" t="str">
        <f t="shared" si="0"/>
        <v>Mutual Fund|KF-ASET50-L|Krungsri AM</v>
      </c>
      <c r="B27" s="9" t="s">
        <v>129</v>
      </c>
      <c r="C27" s="35" t="s">
        <v>157</v>
      </c>
      <c r="D27" s="35" t="s">
        <v>158</v>
      </c>
      <c r="E27" s="33">
        <v>16.9636</v>
      </c>
      <c r="F27" s="34" t="s">
        <v>9</v>
      </c>
      <c r="G27" s="28">
        <v>46171</v>
      </c>
      <c r="H27" s="34" t="s">
        <v>132</v>
      </c>
    </row>
    <row r="28" spans="1:8" ht="15" customHeight="1" x14ac:dyDescent="0.2">
      <c r="A28" s="35" t="str">
        <f t="shared" si="0"/>
        <v>Mutual Fund|SCBGOLDH|SCBAM</v>
      </c>
      <c r="B28" s="9" t="s">
        <v>129</v>
      </c>
      <c r="C28" s="35" t="s">
        <v>159</v>
      </c>
      <c r="D28" s="35" t="s">
        <v>160</v>
      </c>
      <c r="E28" s="33">
        <v>20.101900000000001</v>
      </c>
      <c r="F28" s="34" t="s">
        <v>9</v>
      </c>
      <c r="G28" s="28">
        <v>46171</v>
      </c>
      <c r="H28" s="34" t="s">
        <v>132</v>
      </c>
    </row>
    <row r="29" spans="1:8" ht="15" customHeight="1" x14ac:dyDescent="0.2">
      <c r="A29" s="35" t="str">
        <f t="shared" si="0"/>
        <v>Mutual Fund|SCBKEQTG|SCBAM</v>
      </c>
      <c r="B29" s="9" t="s">
        <v>129</v>
      </c>
      <c r="C29" s="35" t="s">
        <v>161</v>
      </c>
      <c r="D29" s="35" t="s">
        <v>160</v>
      </c>
      <c r="E29" s="33">
        <v>28.2028</v>
      </c>
      <c r="F29" s="34" t="s">
        <v>9</v>
      </c>
      <c r="G29" s="28">
        <v>46170</v>
      </c>
      <c r="H29" s="34" t="s">
        <v>132</v>
      </c>
    </row>
    <row r="30" spans="1:8" ht="15" customHeight="1" x14ac:dyDescent="0.2">
      <c r="A30" s="35" t="str">
        <f t="shared" si="0"/>
        <v>Mutual Fund|SCBSEMI(A)|SCBAM</v>
      </c>
      <c r="B30" s="9" t="s">
        <v>129</v>
      </c>
      <c r="C30" s="35" t="s">
        <v>162</v>
      </c>
      <c r="D30" s="35" t="s">
        <v>160</v>
      </c>
      <c r="E30" s="33">
        <v>37.634099999999997</v>
      </c>
      <c r="F30" s="34" t="s">
        <v>9</v>
      </c>
      <c r="G30" s="28">
        <v>46170</v>
      </c>
      <c r="H30" s="34" t="s">
        <v>132</v>
      </c>
    </row>
    <row r="31" spans="1:8" ht="15" customHeight="1" x14ac:dyDescent="0.2">
      <c r="A31" s="35" t="str">
        <f t="shared" si="0"/>
        <v>Mutual Fund|SCBSET-SSFX|SCBAM</v>
      </c>
      <c r="B31" s="9" t="s">
        <v>129</v>
      </c>
      <c r="C31" s="35" t="s">
        <v>163</v>
      </c>
      <c r="D31" s="35" t="s">
        <v>160</v>
      </c>
      <c r="E31" s="33">
        <v>12.815300000000001</v>
      </c>
      <c r="F31" s="34" t="s">
        <v>9</v>
      </c>
      <c r="G31" s="28">
        <v>46171</v>
      </c>
      <c r="H31" s="34" t="s">
        <v>132</v>
      </c>
    </row>
    <row r="32" spans="1:8" ht="15" customHeight="1" x14ac:dyDescent="0.2">
      <c r="A32" s="35" t="str">
        <f t="shared" si="0"/>
        <v>Mutual Fund|SCBSFF|SCBAM</v>
      </c>
      <c r="B32" s="9" t="s">
        <v>129</v>
      </c>
      <c r="C32" s="35" t="s">
        <v>164</v>
      </c>
      <c r="D32" s="35" t="s">
        <v>160</v>
      </c>
      <c r="E32" s="33">
        <v>21.703399999999998</v>
      </c>
      <c r="F32" s="34" t="s">
        <v>9</v>
      </c>
      <c r="G32" s="28">
        <v>46171</v>
      </c>
      <c r="H32" s="34" t="s">
        <v>132</v>
      </c>
    </row>
    <row r="33" spans="1:8" ht="15" customHeight="1" x14ac:dyDescent="0.2">
      <c r="A33" s="35" t="str">
        <f t="shared" si="0"/>
        <v>Mutual Fund|SCBTAPX(25D)|SCBAM</v>
      </c>
      <c r="B33" s="9" t="s">
        <v>129</v>
      </c>
      <c r="C33" s="35" t="s">
        <v>165</v>
      </c>
      <c r="D33" s="35" t="s">
        <v>160</v>
      </c>
      <c r="E33" s="33">
        <v>12.446</v>
      </c>
      <c r="F33" s="34" t="s">
        <v>9</v>
      </c>
      <c r="G33" s="28">
        <v>46171</v>
      </c>
      <c r="H33" s="34" t="s">
        <v>132</v>
      </c>
    </row>
    <row r="34" spans="1:8" ht="15" customHeight="1" x14ac:dyDescent="0.2">
      <c r="A34" s="35" t="str">
        <f t="shared" si="0"/>
        <v>Mutual Fund|TCMF|UOBAM</v>
      </c>
      <c r="B34" s="9" t="s">
        <v>129</v>
      </c>
      <c r="C34" s="35" t="s">
        <v>166</v>
      </c>
      <c r="D34" s="35" t="s">
        <v>167</v>
      </c>
      <c r="E34" s="33">
        <v>16.200800000000001</v>
      </c>
      <c r="F34" s="34" t="s">
        <v>9</v>
      </c>
      <c r="G34" s="28">
        <v>46171</v>
      </c>
      <c r="H34" s="34" t="s">
        <v>132</v>
      </c>
    </row>
    <row r="35" spans="1:8" ht="15" customHeight="1" x14ac:dyDescent="0.2">
      <c r="A35" s="35" t="str">
        <f t="shared" si="0"/>
        <v>Mutual Fund|UOBSG-N|UOBAM</v>
      </c>
      <c r="B35" s="9" t="s">
        <v>129</v>
      </c>
      <c r="C35" s="35" t="s">
        <v>168</v>
      </c>
      <c r="D35" s="35" t="s">
        <v>167</v>
      </c>
      <c r="E35" s="33">
        <v>29.043199999999999</v>
      </c>
      <c r="F35" s="34" t="s">
        <v>9</v>
      </c>
      <c r="G35" s="28">
        <v>46170</v>
      </c>
      <c r="H35" s="34" t="s">
        <v>132</v>
      </c>
    </row>
    <row r="36" spans="1:8" ht="15" customHeight="1" x14ac:dyDescent="0.2">
      <c r="A36" s="35" t="str">
        <f t="shared" si="0"/>
        <v>Mutual Fund|UTSB-THAIESG|UOBAM</v>
      </c>
      <c r="B36" s="9" t="s">
        <v>129</v>
      </c>
      <c r="C36" s="35" t="s">
        <v>169</v>
      </c>
      <c r="D36" s="35" t="s">
        <v>167</v>
      </c>
      <c r="E36" s="33">
        <v>9.968</v>
      </c>
      <c r="F36" s="34" t="s">
        <v>9</v>
      </c>
      <c r="G36" s="28">
        <v>46171</v>
      </c>
      <c r="H36" s="34" t="s">
        <v>132</v>
      </c>
    </row>
    <row r="37" spans="1:8" ht="15" customHeight="1" x14ac:dyDescent="0.2">
      <c r="A37" s="35" t="str">
        <f t="shared" ref="A37:A68" si="1">B37&amp;"|"&amp;C37&amp;"|"&amp;D37</f>
        <v>Mutual Fund|UVALUE-DIV-LD|UOBAM</v>
      </c>
      <c r="B37" s="9" t="s">
        <v>129</v>
      </c>
      <c r="C37" s="35" t="s">
        <v>170</v>
      </c>
      <c r="D37" s="35" t="s">
        <v>167</v>
      </c>
      <c r="E37" s="33">
        <v>22.387</v>
      </c>
      <c r="F37" s="34" t="s">
        <v>9</v>
      </c>
      <c r="G37" s="28">
        <v>46171</v>
      </c>
      <c r="H37" s="34" t="s">
        <v>132</v>
      </c>
    </row>
    <row r="38" spans="1:8" ht="15" customHeight="1" x14ac:dyDescent="0.2">
      <c r="A38" s="35" t="str">
        <f t="shared" si="1"/>
        <v>Equity|BANPU|Asia Plus Securities</v>
      </c>
      <c r="B38" s="9" t="s">
        <v>57</v>
      </c>
      <c r="C38" s="35" t="s">
        <v>171</v>
      </c>
      <c r="D38" s="35" t="s">
        <v>172</v>
      </c>
      <c r="E38" s="33">
        <v>5.7</v>
      </c>
      <c r="F38" s="34" t="s">
        <v>9</v>
      </c>
      <c r="G38" s="28">
        <v>46173</v>
      </c>
      <c r="H38" s="34" t="s">
        <v>132</v>
      </c>
    </row>
    <row r="39" spans="1:8" ht="15" customHeight="1" x14ac:dyDescent="0.2">
      <c r="A39" s="35" t="str">
        <f t="shared" si="1"/>
        <v>Equity|BBL|Asia Plus Securities</v>
      </c>
      <c r="B39" s="9" t="s">
        <v>57</v>
      </c>
      <c r="C39" s="35" t="s">
        <v>173</v>
      </c>
      <c r="D39" s="35" t="s">
        <v>172</v>
      </c>
      <c r="E39" s="33">
        <v>173</v>
      </c>
      <c r="F39" s="34" t="s">
        <v>9</v>
      </c>
      <c r="G39" s="28">
        <v>46173</v>
      </c>
      <c r="H39" s="34" t="s">
        <v>132</v>
      </c>
    </row>
    <row r="40" spans="1:8" ht="15" customHeight="1" x14ac:dyDescent="0.2">
      <c r="A40" s="35" t="str">
        <f t="shared" si="1"/>
        <v>Equity|BLAND|Asia Plus Securities</v>
      </c>
      <c r="B40" s="9" t="s">
        <v>57</v>
      </c>
      <c r="C40" s="35" t="s">
        <v>174</v>
      </c>
      <c r="D40" s="35" t="s">
        <v>172</v>
      </c>
      <c r="E40" s="33">
        <v>0.44</v>
      </c>
      <c r="F40" s="34" t="s">
        <v>9</v>
      </c>
      <c r="G40" s="28">
        <v>46173</v>
      </c>
      <c r="H40" s="34" t="s">
        <v>132</v>
      </c>
    </row>
    <row r="41" spans="1:8" ht="15" customHeight="1" x14ac:dyDescent="0.2">
      <c r="A41" s="35" t="str">
        <f t="shared" si="1"/>
        <v>Equity|BWG|Asia Plus Securities</v>
      </c>
      <c r="B41" s="9" t="s">
        <v>57</v>
      </c>
      <c r="C41" s="35" t="s">
        <v>175</v>
      </c>
      <c r="D41" s="35" t="s">
        <v>172</v>
      </c>
      <c r="E41" s="33">
        <v>0.32</v>
      </c>
      <c r="F41" s="34" t="s">
        <v>9</v>
      </c>
      <c r="G41" s="28">
        <v>46173</v>
      </c>
      <c r="H41" s="34" t="s">
        <v>132</v>
      </c>
    </row>
    <row r="42" spans="1:8" ht="15" customHeight="1" x14ac:dyDescent="0.2">
      <c r="A42" s="35" t="str">
        <f t="shared" si="1"/>
        <v>Equity|BWG-W7|Asia Plus Securities</v>
      </c>
      <c r="B42" s="9" t="s">
        <v>57</v>
      </c>
      <c r="C42" s="35" t="s">
        <v>176</v>
      </c>
      <c r="D42" s="35" t="s">
        <v>172</v>
      </c>
      <c r="E42" s="33">
        <v>0.05</v>
      </c>
      <c r="F42" s="34" t="s">
        <v>9</v>
      </c>
      <c r="G42" s="28">
        <v>46165</v>
      </c>
      <c r="H42" s="34" t="s">
        <v>177</v>
      </c>
    </row>
    <row r="43" spans="1:8" ht="15" customHeight="1" x14ac:dyDescent="0.2">
      <c r="A43" s="35" t="str">
        <f t="shared" si="1"/>
        <v>Equity|GSTEEL|Asia Plus Securities</v>
      </c>
      <c r="B43" s="9" t="s">
        <v>57</v>
      </c>
      <c r="C43" s="35" t="s">
        <v>178</v>
      </c>
      <c r="D43" s="35" t="s">
        <v>172</v>
      </c>
      <c r="E43" s="33">
        <v>0.09</v>
      </c>
      <c r="F43" s="34" t="s">
        <v>9</v>
      </c>
      <c r="G43" s="28">
        <v>46173</v>
      </c>
      <c r="H43" s="34" t="s">
        <v>132</v>
      </c>
    </row>
    <row r="44" spans="1:8" ht="15" customHeight="1" x14ac:dyDescent="0.2">
      <c r="A44" s="35" t="str">
        <f t="shared" si="1"/>
        <v>Equity|GULF|Asia Plus Securities</v>
      </c>
      <c r="B44" s="9" t="s">
        <v>57</v>
      </c>
      <c r="C44" s="35" t="s">
        <v>179</v>
      </c>
      <c r="D44" s="35" t="s">
        <v>172</v>
      </c>
      <c r="E44" s="33">
        <v>62</v>
      </c>
      <c r="F44" s="34" t="s">
        <v>9</v>
      </c>
      <c r="G44" s="28">
        <v>46173</v>
      </c>
      <c r="H44" s="34" t="s">
        <v>132</v>
      </c>
    </row>
    <row r="45" spans="1:8" ht="15" customHeight="1" x14ac:dyDescent="0.2">
      <c r="A45" s="35" t="str">
        <f t="shared" si="1"/>
        <v>Equity|NETBAY|Asia Plus Securities</v>
      </c>
      <c r="B45" s="9" t="s">
        <v>57</v>
      </c>
      <c r="C45" s="35" t="s">
        <v>180</v>
      </c>
      <c r="D45" s="35" t="s">
        <v>172</v>
      </c>
      <c r="E45" s="33">
        <v>9.5</v>
      </c>
      <c r="F45" s="34" t="s">
        <v>9</v>
      </c>
      <c r="G45" s="28">
        <v>46173</v>
      </c>
      <c r="H45" s="34" t="s">
        <v>132</v>
      </c>
    </row>
    <row r="46" spans="1:8" ht="15" customHeight="1" x14ac:dyDescent="0.2">
      <c r="A46" s="35" t="str">
        <f t="shared" si="1"/>
        <v>Equity|OSP|Asia Plus Securities</v>
      </c>
      <c r="B46" s="9" t="s">
        <v>57</v>
      </c>
      <c r="C46" s="35" t="s">
        <v>181</v>
      </c>
      <c r="D46" s="35" t="s">
        <v>172</v>
      </c>
      <c r="E46" s="33">
        <v>15.3</v>
      </c>
      <c r="F46" s="34" t="s">
        <v>9</v>
      </c>
      <c r="G46" s="28">
        <v>46173</v>
      </c>
      <c r="H46" s="34" t="s">
        <v>132</v>
      </c>
    </row>
    <row r="47" spans="1:8" ht="15" customHeight="1" x14ac:dyDescent="0.2">
      <c r="A47" s="35" t="str">
        <f t="shared" si="1"/>
        <v>Equity|RJH|Asia Plus Securities</v>
      </c>
      <c r="B47" s="9" t="s">
        <v>57</v>
      </c>
      <c r="C47" s="35" t="s">
        <v>182</v>
      </c>
      <c r="D47" s="35" t="s">
        <v>172</v>
      </c>
      <c r="E47" s="33">
        <v>13</v>
      </c>
      <c r="F47" s="34" t="s">
        <v>9</v>
      </c>
      <c r="G47" s="28">
        <v>46173</v>
      </c>
      <c r="H47" s="34" t="s">
        <v>132</v>
      </c>
    </row>
    <row r="48" spans="1:8" ht="15" customHeight="1" x14ac:dyDescent="0.2">
      <c r="A48" s="35" t="str">
        <f t="shared" si="1"/>
        <v>Equity|SAMART|Asia Plus Securities</v>
      </c>
      <c r="B48" s="9" t="s">
        <v>57</v>
      </c>
      <c r="C48" s="35" t="s">
        <v>183</v>
      </c>
      <c r="D48" s="35" t="s">
        <v>172</v>
      </c>
      <c r="E48" s="33">
        <v>5.5</v>
      </c>
      <c r="F48" s="34" t="s">
        <v>9</v>
      </c>
      <c r="G48" s="28">
        <v>46173</v>
      </c>
      <c r="H48" s="34" t="s">
        <v>132</v>
      </c>
    </row>
    <row r="49" spans="1:8" ht="15" customHeight="1" x14ac:dyDescent="0.2">
      <c r="A49" s="35" t="str">
        <f t="shared" si="1"/>
        <v>Equity|SAWAD|Asia Plus Securities</v>
      </c>
      <c r="B49" s="9" t="s">
        <v>57</v>
      </c>
      <c r="C49" s="35" t="s">
        <v>184</v>
      </c>
      <c r="D49" s="35" t="s">
        <v>172</v>
      </c>
      <c r="E49" s="33">
        <v>21.9</v>
      </c>
      <c r="F49" s="34" t="s">
        <v>9</v>
      </c>
      <c r="G49" s="28">
        <v>46173</v>
      </c>
      <c r="H49" s="34" t="s">
        <v>132</v>
      </c>
    </row>
    <row r="50" spans="1:8" ht="15" customHeight="1" x14ac:dyDescent="0.2">
      <c r="A50" s="35" t="str">
        <f t="shared" si="1"/>
        <v>Equity|WORK|Asia Plus Securities</v>
      </c>
      <c r="B50" s="9" t="s">
        <v>57</v>
      </c>
      <c r="C50" s="35" t="s">
        <v>185</v>
      </c>
      <c r="D50" s="35" t="s">
        <v>172</v>
      </c>
      <c r="E50" s="33">
        <v>3.54</v>
      </c>
      <c r="F50" s="34" t="s">
        <v>9</v>
      </c>
      <c r="G50" s="28">
        <v>46173</v>
      </c>
      <c r="H50" s="34" t="s">
        <v>132</v>
      </c>
    </row>
    <row r="51" spans="1:8" ht="15" customHeight="1" x14ac:dyDescent="0.2">
      <c r="A51" s="35" t="str">
        <f t="shared" si="1"/>
        <v>Equity|HUMAN|DBS Vickers</v>
      </c>
      <c r="B51" s="9" t="s">
        <v>57</v>
      </c>
      <c r="C51" s="35" t="s">
        <v>186</v>
      </c>
      <c r="D51" s="35" t="s">
        <v>187</v>
      </c>
      <c r="E51" s="33">
        <v>4.5999999999999996</v>
      </c>
      <c r="F51" s="34" t="s">
        <v>9</v>
      </c>
      <c r="G51" s="28">
        <v>46173</v>
      </c>
      <c r="H51" s="34" t="s">
        <v>132</v>
      </c>
    </row>
    <row r="52" spans="1:8" ht="15" customHeight="1" x14ac:dyDescent="0.2">
      <c r="A52" s="35" t="str">
        <f t="shared" si="1"/>
        <v>Equity|NCAP|DBS Vickers</v>
      </c>
      <c r="B52" s="9" t="s">
        <v>57</v>
      </c>
      <c r="C52" s="35" t="s">
        <v>188</v>
      </c>
      <c r="D52" s="35" t="s">
        <v>187</v>
      </c>
      <c r="E52" s="33">
        <v>2.76</v>
      </c>
      <c r="F52" s="34" t="s">
        <v>9</v>
      </c>
      <c r="G52" s="28">
        <v>46173</v>
      </c>
      <c r="H52" s="34" t="s">
        <v>132</v>
      </c>
    </row>
    <row r="53" spans="1:8" ht="15" customHeight="1" x14ac:dyDescent="0.2">
      <c r="A53" s="35" t="str">
        <f t="shared" si="1"/>
        <v>Equity|OR|DBS Vickers</v>
      </c>
      <c r="B53" s="9" t="s">
        <v>57</v>
      </c>
      <c r="C53" s="35" t="s">
        <v>189</v>
      </c>
      <c r="D53" s="35" t="s">
        <v>187</v>
      </c>
      <c r="E53" s="33">
        <v>12.4</v>
      </c>
      <c r="F53" s="34" t="s">
        <v>9</v>
      </c>
      <c r="G53" s="28">
        <v>46173</v>
      </c>
      <c r="H53" s="34" t="s">
        <v>132</v>
      </c>
    </row>
    <row r="54" spans="1:8" ht="15" customHeight="1" x14ac:dyDescent="0.2">
      <c r="A54" s="35" t="str">
        <f t="shared" si="1"/>
        <v>Equity|TIDLOR|DBS Vickers</v>
      </c>
      <c r="B54" s="9" t="s">
        <v>57</v>
      </c>
      <c r="C54" s="35" t="s">
        <v>190</v>
      </c>
      <c r="D54" s="35" t="s">
        <v>187</v>
      </c>
      <c r="E54" s="33">
        <v>18.3</v>
      </c>
      <c r="F54" s="34" t="s">
        <v>9</v>
      </c>
      <c r="G54" s="28">
        <v>46173</v>
      </c>
      <c r="H54" s="34" t="s">
        <v>132</v>
      </c>
    </row>
    <row r="55" spans="1:8" ht="15" customHeight="1" x14ac:dyDescent="0.2">
      <c r="A55" s="35" t="str">
        <f t="shared" si="1"/>
        <v>Equity|ACLS|Dime</v>
      </c>
      <c r="B55" s="9" t="s">
        <v>57</v>
      </c>
      <c r="C55" s="35" t="s">
        <v>191</v>
      </c>
      <c r="D55" s="35" t="s">
        <v>192</v>
      </c>
      <c r="E55" s="33">
        <v>150.41</v>
      </c>
      <c r="F55" s="34" t="s">
        <v>193</v>
      </c>
      <c r="G55" s="28">
        <v>46173</v>
      </c>
      <c r="H55" s="34" t="s">
        <v>132</v>
      </c>
    </row>
    <row r="56" spans="1:8" ht="15" customHeight="1" x14ac:dyDescent="0.2">
      <c r="A56" s="35" t="str">
        <f t="shared" si="1"/>
        <v>Equity|ADBE|Dime</v>
      </c>
      <c r="B56" s="9" t="s">
        <v>57</v>
      </c>
      <c r="C56" s="35" t="s">
        <v>194</v>
      </c>
      <c r="D56" s="35" t="s">
        <v>192</v>
      </c>
      <c r="E56" s="33">
        <v>259.20999999999998</v>
      </c>
      <c r="F56" s="34" t="s">
        <v>193</v>
      </c>
      <c r="G56" s="28">
        <v>46173</v>
      </c>
      <c r="H56" s="34" t="s">
        <v>132</v>
      </c>
    </row>
    <row r="57" spans="1:8" ht="15" customHeight="1" x14ac:dyDescent="0.2">
      <c r="A57" s="35" t="str">
        <f t="shared" si="1"/>
        <v>Equity|AMAT|Dime</v>
      </c>
      <c r="B57" s="9" t="s">
        <v>57</v>
      </c>
      <c r="C57" s="35" t="s">
        <v>195</v>
      </c>
      <c r="D57" s="35" t="s">
        <v>192</v>
      </c>
      <c r="E57" s="33">
        <v>450.06</v>
      </c>
      <c r="F57" s="34" t="s">
        <v>193</v>
      </c>
      <c r="G57" s="28">
        <v>46173</v>
      </c>
      <c r="H57" s="34" t="s">
        <v>132</v>
      </c>
    </row>
    <row r="58" spans="1:8" ht="15" customHeight="1" x14ac:dyDescent="0.2">
      <c r="A58" s="35" t="str">
        <f t="shared" si="1"/>
        <v>Equity|CRUS|Dime</v>
      </c>
      <c r="B58" s="9" t="s">
        <v>57</v>
      </c>
      <c r="C58" s="35" t="s">
        <v>196</v>
      </c>
      <c r="D58" s="35" t="s">
        <v>192</v>
      </c>
      <c r="E58" s="33">
        <v>169.95</v>
      </c>
      <c r="F58" s="34" t="s">
        <v>193</v>
      </c>
      <c r="G58" s="28">
        <v>46173</v>
      </c>
      <c r="H58" s="34" t="s">
        <v>132</v>
      </c>
    </row>
    <row r="59" spans="1:8" ht="15" customHeight="1" x14ac:dyDescent="0.2">
      <c r="A59" s="35" t="str">
        <f t="shared" si="1"/>
        <v>Equity|ENPH|Dime</v>
      </c>
      <c r="B59" s="9" t="s">
        <v>57</v>
      </c>
      <c r="C59" s="35" t="s">
        <v>197</v>
      </c>
      <c r="D59" s="35" t="s">
        <v>192</v>
      </c>
      <c r="E59" s="33">
        <v>68.36</v>
      </c>
      <c r="F59" s="34" t="s">
        <v>193</v>
      </c>
      <c r="G59" s="28">
        <v>46173</v>
      </c>
      <c r="H59" s="34" t="s">
        <v>132</v>
      </c>
    </row>
    <row r="60" spans="1:8" ht="15" customHeight="1" x14ac:dyDescent="0.2">
      <c r="A60" s="35" t="str">
        <f t="shared" si="1"/>
        <v>Equity|EWY|Dime</v>
      </c>
      <c r="B60" s="9" t="s">
        <v>57</v>
      </c>
      <c r="C60" s="35" t="s">
        <v>198</v>
      </c>
      <c r="D60" s="35" t="s">
        <v>192</v>
      </c>
      <c r="E60" s="33">
        <v>205.83</v>
      </c>
      <c r="F60" s="34" t="s">
        <v>193</v>
      </c>
      <c r="G60" s="28">
        <v>46173</v>
      </c>
      <c r="H60" s="34" t="s">
        <v>132</v>
      </c>
    </row>
    <row r="61" spans="1:8" ht="15" customHeight="1" x14ac:dyDescent="0.2">
      <c r="A61" s="35" t="str">
        <f t="shared" si="1"/>
        <v>Equity|FTNT|Dime</v>
      </c>
      <c r="B61" s="9" t="s">
        <v>57</v>
      </c>
      <c r="C61" s="35" t="s">
        <v>199</v>
      </c>
      <c r="D61" s="35" t="s">
        <v>192</v>
      </c>
      <c r="E61" s="33">
        <v>137.97</v>
      </c>
      <c r="F61" s="34" t="s">
        <v>193</v>
      </c>
      <c r="G61" s="28">
        <v>46173</v>
      </c>
      <c r="H61" s="34" t="s">
        <v>132</v>
      </c>
    </row>
    <row r="62" spans="1:8" ht="15" customHeight="1" x14ac:dyDescent="0.2">
      <c r="A62" s="35" t="str">
        <f t="shared" si="1"/>
        <v>Equity|IT|Dime</v>
      </c>
      <c r="B62" s="9" t="s">
        <v>57</v>
      </c>
      <c r="C62" s="35" t="s">
        <v>200</v>
      </c>
      <c r="D62" s="35" t="s">
        <v>192</v>
      </c>
      <c r="E62" s="33">
        <v>162.19999999999999</v>
      </c>
      <c r="F62" s="34" t="s">
        <v>193</v>
      </c>
      <c r="G62" s="28">
        <v>46173</v>
      </c>
      <c r="H62" s="34" t="s">
        <v>132</v>
      </c>
    </row>
    <row r="63" spans="1:8" ht="15" customHeight="1" x14ac:dyDescent="0.2">
      <c r="A63" s="35" t="str">
        <f t="shared" si="1"/>
        <v>Equity|KLAC|Dime</v>
      </c>
      <c r="B63" s="9" t="s">
        <v>57</v>
      </c>
      <c r="C63" s="35" t="s">
        <v>201</v>
      </c>
      <c r="D63" s="35" t="s">
        <v>192</v>
      </c>
      <c r="E63" s="33">
        <v>1921.71</v>
      </c>
      <c r="F63" s="34" t="s">
        <v>193</v>
      </c>
      <c r="G63" s="28">
        <v>46173</v>
      </c>
      <c r="H63" s="34" t="s">
        <v>132</v>
      </c>
    </row>
    <row r="64" spans="1:8" ht="15" customHeight="1" x14ac:dyDescent="0.2">
      <c r="A64" s="35" t="str">
        <f t="shared" si="1"/>
        <v>Equity|LLY|Dime</v>
      </c>
      <c r="B64" s="9" t="s">
        <v>57</v>
      </c>
      <c r="C64" s="35" t="s">
        <v>202</v>
      </c>
      <c r="D64" s="35" t="s">
        <v>192</v>
      </c>
      <c r="E64" s="33">
        <v>1105</v>
      </c>
      <c r="F64" s="34" t="s">
        <v>193</v>
      </c>
      <c r="G64" s="28">
        <v>46173</v>
      </c>
      <c r="H64" s="34" t="s">
        <v>132</v>
      </c>
    </row>
    <row r="65" spans="1:8" ht="15" customHeight="1" x14ac:dyDescent="0.2">
      <c r="A65" s="35" t="str">
        <f t="shared" si="1"/>
        <v>Equity|MCHP|Dime</v>
      </c>
      <c r="B65" s="9" t="s">
        <v>57</v>
      </c>
      <c r="C65" s="35" t="s">
        <v>203</v>
      </c>
      <c r="D65" s="35" t="s">
        <v>192</v>
      </c>
      <c r="E65" s="33">
        <v>94.65</v>
      </c>
      <c r="F65" s="34" t="s">
        <v>193</v>
      </c>
      <c r="G65" s="28">
        <v>46173</v>
      </c>
      <c r="H65" s="34" t="s">
        <v>132</v>
      </c>
    </row>
    <row r="66" spans="1:8" ht="15" customHeight="1" x14ac:dyDescent="0.2">
      <c r="A66" s="35" t="str">
        <f t="shared" si="1"/>
        <v>Equity|MPWR|Dime</v>
      </c>
      <c r="B66" s="9" t="s">
        <v>57</v>
      </c>
      <c r="C66" s="35" t="s">
        <v>204</v>
      </c>
      <c r="D66" s="35" t="s">
        <v>192</v>
      </c>
      <c r="E66" s="33">
        <v>1566.21</v>
      </c>
      <c r="F66" s="34" t="s">
        <v>193</v>
      </c>
      <c r="G66" s="28">
        <v>46173</v>
      </c>
      <c r="H66" s="34" t="s">
        <v>132</v>
      </c>
    </row>
    <row r="67" spans="1:8" ht="15" customHeight="1" x14ac:dyDescent="0.2">
      <c r="A67" s="35" t="str">
        <f t="shared" si="1"/>
        <v>Equity|NSIT|Dime</v>
      </c>
      <c r="B67" s="9" t="s">
        <v>57</v>
      </c>
      <c r="C67" s="35" t="s">
        <v>205</v>
      </c>
      <c r="D67" s="35" t="s">
        <v>192</v>
      </c>
      <c r="E67" s="33">
        <v>106.38</v>
      </c>
      <c r="F67" s="34" t="s">
        <v>193</v>
      </c>
      <c r="G67" s="28">
        <v>46173</v>
      </c>
      <c r="H67" s="34" t="s">
        <v>132</v>
      </c>
    </row>
    <row r="68" spans="1:8" ht="15" customHeight="1" x14ac:dyDescent="0.2">
      <c r="A68" s="35" t="str">
        <f t="shared" si="1"/>
        <v>Equity|NVDA|Dime</v>
      </c>
      <c r="B68" s="9" t="s">
        <v>57</v>
      </c>
      <c r="C68" s="35" t="s">
        <v>206</v>
      </c>
      <c r="D68" s="35" t="s">
        <v>192</v>
      </c>
      <c r="E68" s="33">
        <v>211.14</v>
      </c>
      <c r="F68" s="34" t="s">
        <v>193</v>
      </c>
      <c r="G68" s="28">
        <v>46173</v>
      </c>
      <c r="H68" s="34" t="s">
        <v>132</v>
      </c>
    </row>
    <row r="69" spans="1:8" ht="15" customHeight="1" x14ac:dyDescent="0.2">
      <c r="A69" s="35" t="str">
        <f t="shared" ref="A69:A100" si="2">B69&amp;"|"&amp;C69&amp;"|"&amp;D69</f>
        <v>Equity|OLED|Dime</v>
      </c>
      <c r="B69" s="9" t="s">
        <v>57</v>
      </c>
      <c r="C69" s="35" t="s">
        <v>207</v>
      </c>
      <c r="D69" s="35" t="s">
        <v>192</v>
      </c>
      <c r="E69" s="33">
        <v>92.12</v>
      </c>
      <c r="F69" s="34" t="s">
        <v>193</v>
      </c>
      <c r="G69" s="28">
        <v>46173</v>
      </c>
      <c r="H69" s="34" t="s">
        <v>132</v>
      </c>
    </row>
    <row r="70" spans="1:8" ht="15" customHeight="1" x14ac:dyDescent="0.2">
      <c r="A70" s="35" t="str">
        <f t="shared" si="2"/>
        <v>Equity|QRVO|Dime</v>
      </c>
      <c r="B70" s="9" t="s">
        <v>57</v>
      </c>
      <c r="C70" s="35" t="s">
        <v>208</v>
      </c>
      <c r="D70" s="35" t="s">
        <v>192</v>
      </c>
      <c r="E70" s="33">
        <v>103.56</v>
      </c>
      <c r="F70" s="34" t="s">
        <v>193</v>
      </c>
      <c r="G70" s="28">
        <v>46173</v>
      </c>
      <c r="H70" s="34" t="s">
        <v>132</v>
      </c>
    </row>
    <row r="71" spans="1:8" ht="15" customHeight="1" x14ac:dyDescent="0.2">
      <c r="A71" s="35" t="str">
        <f t="shared" si="2"/>
        <v>Equity|TER|Dime</v>
      </c>
      <c r="B71" s="9" t="s">
        <v>57</v>
      </c>
      <c r="C71" s="35" t="s">
        <v>209</v>
      </c>
      <c r="D71" s="35" t="s">
        <v>192</v>
      </c>
      <c r="E71" s="33">
        <v>374.31</v>
      </c>
      <c r="F71" s="34" t="s">
        <v>193</v>
      </c>
      <c r="G71" s="28">
        <v>46173</v>
      </c>
      <c r="H71" s="34" t="s">
        <v>132</v>
      </c>
    </row>
    <row r="72" spans="1:8" ht="15" customHeight="1" x14ac:dyDescent="0.2">
      <c r="A72" s="35" t="str">
        <f t="shared" si="2"/>
        <v>Equity|TSLA|Dime</v>
      </c>
      <c r="B72" s="9" t="s">
        <v>57</v>
      </c>
      <c r="C72" s="35" t="s">
        <v>210</v>
      </c>
      <c r="D72" s="35" t="s">
        <v>192</v>
      </c>
      <c r="E72" s="33">
        <v>435.79</v>
      </c>
      <c r="F72" s="34" t="s">
        <v>193</v>
      </c>
      <c r="G72" s="28">
        <v>46173</v>
      </c>
      <c r="H72" s="34" t="s">
        <v>132</v>
      </c>
    </row>
    <row r="73" spans="1:8" ht="15" customHeight="1" x14ac:dyDescent="0.2">
      <c r="A73" s="35" t="str">
        <f t="shared" si="2"/>
        <v>Equity|YOU|Dime</v>
      </c>
      <c r="B73" s="9" t="s">
        <v>57</v>
      </c>
      <c r="C73" s="35" t="s">
        <v>211</v>
      </c>
      <c r="D73" s="35" t="s">
        <v>192</v>
      </c>
      <c r="E73" s="33">
        <v>55.45</v>
      </c>
      <c r="F73" s="34" t="s">
        <v>193</v>
      </c>
      <c r="G73" s="28">
        <v>46173</v>
      </c>
      <c r="H73" s="34" t="s">
        <v>132</v>
      </c>
    </row>
    <row r="74" spans="1:8" ht="15" customHeight="1" x14ac:dyDescent="0.2">
      <c r="A74" s="35" t="str">
        <f t="shared" si="2"/>
        <v>Equity|REMX|SCB SG</v>
      </c>
      <c r="B74" s="9" t="s">
        <v>57</v>
      </c>
      <c r="C74" s="35" t="s">
        <v>212</v>
      </c>
      <c r="D74" s="35" t="s">
        <v>213</v>
      </c>
      <c r="E74" s="33">
        <v>99.63</v>
      </c>
      <c r="F74" s="34" t="s">
        <v>193</v>
      </c>
      <c r="G74" s="28">
        <v>46173</v>
      </c>
      <c r="H74" s="34" t="s">
        <v>132</v>
      </c>
    </row>
    <row r="75" spans="1:8" ht="15" customHeight="1" x14ac:dyDescent="0.2">
      <c r="A75" s="35" t="str">
        <f t="shared" si="2"/>
        <v>Equity|AAPL|SCB SG</v>
      </c>
      <c r="B75" s="9" t="s">
        <v>57</v>
      </c>
      <c r="C75" s="35" t="s">
        <v>214</v>
      </c>
      <c r="D75" s="35" t="s">
        <v>213</v>
      </c>
      <c r="E75" s="33">
        <v>312.06</v>
      </c>
      <c r="F75" s="34" t="s">
        <v>193</v>
      </c>
      <c r="G75" s="28">
        <v>46173</v>
      </c>
      <c r="H75" s="34" t="s">
        <v>132</v>
      </c>
    </row>
    <row r="76" spans="1:8" ht="15" customHeight="1" x14ac:dyDescent="0.2">
      <c r="A76" s="35" t="str">
        <f t="shared" si="2"/>
        <v>Equity|COIN|SCB SG</v>
      </c>
      <c r="B76" s="9" t="s">
        <v>57</v>
      </c>
      <c r="C76" s="35" t="s">
        <v>215</v>
      </c>
      <c r="D76" s="35" t="s">
        <v>213</v>
      </c>
      <c r="E76" s="33">
        <v>189.03</v>
      </c>
      <c r="F76" s="34" t="s">
        <v>193</v>
      </c>
      <c r="G76" s="28">
        <v>46173</v>
      </c>
      <c r="H76" s="34" t="s">
        <v>132</v>
      </c>
    </row>
    <row r="77" spans="1:8" ht="15" customHeight="1" x14ac:dyDescent="0.2">
      <c r="A77" s="35" t="str">
        <f t="shared" si="2"/>
        <v>Equity|META|SCB SG</v>
      </c>
      <c r="B77" s="9" t="s">
        <v>57</v>
      </c>
      <c r="C77" s="35" t="s">
        <v>216</v>
      </c>
      <c r="D77" s="35" t="s">
        <v>213</v>
      </c>
      <c r="E77" s="33">
        <v>632.51</v>
      </c>
      <c r="F77" s="34" t="s">
        <v>193</v>
      </c>
      <c r="G77" s="28">
        <v>46173</v>
      </c>
      <c r="H77" s="34" t="s">
        <v>132</v>
      </c>
    </row>
    <row r="78" spans="1:8" ht="15" customHeight="1" x14ac:dyDescent="0.2">
      <c r="A78" s="35" t="str">
        <f t="shared" si="2"/>
        <v>Equity|VCX|SCB SG</v>
      </c>
      <c r="B78" s="9" t="s">
        <v>57</v>
      </c>
      <c r="C78" s="35" t="s">
        <v>217</v>
      </c>
      <c r="D78" s="35" t="s">
        <v>213</v>
      </c>
      <c r="E78" s="33">
        <v>211</v>
      </c>
      <c r="F78" s="34" t="s">
        <v>193</v>
      </c>
      <c r="G78" s="28">
        <v>46173</v>
      </c>
      <c r="H78" s="34" t="s">
        <v>132</v>
      </c>
    </row>
    <row r="79" spans="1:8" ht="15" customHeight="1" x14ac:dyDescent="0.2">
      <c r="A79" s="35" t="str">
        <f t="shared" si="2"/>
        <v>Crypto|AAVE|Binance</v>
      </c>
      <c r="B79" s="9" t="s">
        <v>218</v>
      </c>
      <c r="C79" s="35" t="s">
        <v>219</v>
      </c>
      <c r="D79" s="35" t="s">
        <v>220</v>
      </c>
      <c r="E79" s="33">
        <v>82.64</v>
      </c>
      <c r="F79" s="34" t="s">
        <v>193</v>
      </c>
      <c r="G79" s="28">
        <v>46173</v>
      </c>
      <c r="H79" s="34" t="s">
        <v>132</v>
      </c>
    </row>
    <row r="80" spans="1:8" ht="15" customHeight="1" x14ac:dyDescent="0.2">
      <c r="A80" s="35" t="str">
        <f t="shared" si="2"/>
        <v>Crypto|BNB|Binance</v>
      </c>
      <c r="B80" s="9" t="s">
        <v>218</v>
      </c>
      <c r="C80" s="35" t="s">
        <v>221</v>
      </c>
      <c r="D80" s="35" t="s">
        <v>220</v>
      </c>
      <c r="E80" s="33">
        <v>722.73</v>
      </c>
      <c r="F80" s="34" t="s">
        <v>193</v>
      </c>
      <c r="G80" s="28">
        <v>46173</v>
      </c>
      <c r="H80" s="34" t="s">
        <v>132</v>
      </c>
    </row>
    <row r="81" spans="1:8" ht="15" customHeight="1" x14ac:dyDescent="0.2">
      <c r="A81" s="35" t="str">
        <f t="shared" si="2"/>
        <v>Crypto|BTC|Binance</v>
      </c>
      <c r="B81" s="9" t="s">
        <v>218</v>
      </c>
      <c r="C81" s="35" t="s">
        <v>222</v>
      </c>
      <c r="D81" s="35" t="s">
        <v>220</v>
      </c>
      <c r="E81" s="33">
        <v>73849</v>
      </c>
      <c r="F81" s="34" t="s">
        <v>193</v>
      </c>
      <c r="G81" s="28">
        <v>46173</v>
      </c>
      <c r="H81" s="34" t="s">
        <v>132</v>
      </c>
    </row>
    <row r="82" spans="1:8" ht="15" customHeight="1" x14ac:dyDescent="0.2">
      <c r="A82" s="35" t="str">
        <f t="shared" si="2"/>
        <v>Crypto|PENGU|Binance</v>
      </c>
      <c r="B82" s="9" t="s">
        <v>218</v>
      </c>
      <c r="C82" s="35" t="s">
        <v>223</v>
      </c>
      <c r="D82" s="35" t="s">
        <v>220</v>
      </c>
      <c r="E82" s="33">
        <v>7.9979999999999999E-3</v>
      </c>
      <c r="F82" s="34" t="s">
        <v>193</v>
      </c>
      <c r="G82" s="28">
        <v>46173</v>
      </c>
      <c r="H82" s="34" t="s">
        <v>132</v>
      </c>
    </row>
    <row r="83" spans="1:8" ht="15" customHeight="1" x14ac:dyDescent="0.2">
      <c r="A83" s="35" t="str">
        <f t="shared" si="2"/>
        <v>Crypto|PLUME|Binance</v>
      </c>
      <c r="B83" s="9" t="s">
        <v>218</v>
      </c>
      <c r="C83" s="35" t="s">
        <v>224</v>
      </c>
      <c r="D83" s="35" t="s">
        <v>220</v>
      </c>
      <c r="E83" s="33">
        <v>1.2893999999999999E-2</v>
      </c>
      <c r="F83" s="34" t="s">
        <v>193</v>
      </c>
      <c r="G83" s="28">
        <v>46173</v>
      </c>
      <c r="H83" s="34" t="s">
        <v>132</v>
      </c>
    </row>
    <row r="84" spans="1:8" ht="15" customHeight="1" x14ac:dyDescent="0.2">
      <c r="A84" s="35" t="str">
        <f t="shared" si="2"/>
        <v>Crypto|SOL|Binance</v>
      </c>
      <c r="B84" s="9" t="s">
        <v>218</v>
      </c>
      <c r="C84" s="35" t="s">
        <v>225</v>
      </c>
      <c r="D84" s="35" t="s">
        <v>220</v>
      </c>
      <c r="E84" s="33">
        <v>82.58</v>
      </c>
      <c r="F84" s="34" t="s">
        <v>193</v>
      </c>
      <c r="G84" s="28">
        <v>46173</v>
      </c>
      <c r="H84" s="34" t="s">
        <v>132</v>
      </c>
    </row>
    <row r="85" spans="1:8" ht="15" customHeight="1" x14ac:dyDescent="0.2">
      <c r="A85" s="35" t="str">
        <f t="shared" si="2"/>
        <v>Crypto|TRUMP|Binance</v>
      </c>
      <c r="B85" s="9" t="s">
        <v>218</v>
      </c>
      <c r="C85" s="35" t="s">
        <v>226</v>
      </c>
      <c r="D85" s="35" t="s">
        <v>220</v>
      </c>
      <c r="E85" s="33">
        <v>2.0099999999999998</v>
      </c>
      <c r="F85" s="34" t="s">
        <v>193</v>
      </c>
      <c r="G85" s="28">
        <v>46173</v>
      </c>
      <c r="H85" s="34" t="s">
        <v>132</v>
      </c>
    </row>
    <row r="86" spans="1:8" ht="15" customHeight="1" x14ac:dyDescent="0.2">
      <c r="A86" s="35" t="str">
        <f t="shared" si="2"/>
        <v>Crypto|USDT|Binance</v>
      </c>
      <c r="B86" s="9" t="s">
        <v>218</v>
      </c>
      <c r="C86" s="35" t="s">
        <v>227</v>
      </c>
      <c r="D86" s="35" t="s">
        <v>220</v>
      </c>
      <c r="E86" s="33">
        <v>1</v>
      </c>
      <c r="F86" s="34" t="s">
        <v>193</v>
      </c>
      <c r="G86" s="28">
        <v>46173</v>
      </c>
      <c r="H86" s="34" t="s">
        <v>132</v>
      </c>
    </row>
    <row r="87" spans="1:8" ht="15" customHeight="1" x14ac:dyDescent="0.2">
      <c r="A87" s="35" t="str">
        <f t="shared" si="2"/>
        <v>Crypto|VELODROME|Binance</v>
      </c>
      <c r="B87" s="9" t="s">
        <v>218</v>
      </c>
      <c r="C87" s="35" t="s">
        <v>228</v>
      </c>
      <c r="D87" s="35" t="s">
        <v>220</v>
      </c>
      <c r="E87" s="33">
        <v>1.5837E-2</v>
      </c>
      <c r="F87" s="34" t="s">
        <v>193</v>
      </c>
      <c r="G87" s="28">
        <v>46173</v>
      </c>
      <c r="H87" s="34" t="s">
        <v>132</v>
      </c>
    </row>
    <row r="88" spans="1:8" ht="15" customHeight="1" x14ac:dyDescent="0.2">
      <c r="A88" s="35" t="str">
        <f t="shared" si="2"/>
        <v>Crypto|ARB|Bitazza</v>
      </c>
      <c r="B88" s="9" t="s">
        <v>218</v>
      </c>
      <c r="C88" s="35" t="s">
        <v>229</v>
      </c>
      <c r="D88" s="35" t="s">
        <v>230</v>
      </c>
      <c r="E88" s="33">
        <v>3.3345820000000002</v>
      </c>
      <c r="F88" s="34" t="s">
        <v>9</v>
      </c>
      <c r="G88" s="28">
        <v>46173</v>
      </c>
      <c r="H88" s="34" t="s">
        <v>132</v>
      </c>
    </row>
    <row r="89" spans="1:8" ht="15" customHeight="1" x14ac:dyDescent="0.2">
      <c r="A89" s="35" t="str">
        <f t="shared" si="2"/>
        <v>Crypto|SUI|Bitazza</v>
      </c>
      <c r="B89" s="9" t="s">
        <v>218</v>
      </c>
      <c r="C89" s="35" t="s">
        <v>231</v>
      </c>
      <c r="D89" s="35" t="s">
        <v>230</v>
      </c>
      <c r="E89" s="33">
        <v>29.216090000000001</v>
      </c>
      <c r="F89" s="34" t="s">
        <v>9</v>
      </c>
      <c r="G89" s="28">
        <v>46173</v>
      </c>
      <c r="H89" s="34" t="s">
        <v>132</v>
      </c>
    </row>
    <row r="90" spans="1:8" ht="15" customHeight="1" x14ac:dyDescent="0.2">
      <c r="A90" s="35" t="str">
        <f t="shared" si="2"/>
        <v>Crypto|VELO|Bitazza</v>
      </c>
      <c r="B90" s="9" t="s">
        <v>218</v>
      </c>
      <c r="C90" s="35" t="s">
        <v>232</v>
      </c>
      <c r="D90" s="35" t="s">
        <v>230</v>
      </c>
      <c r="E90" s="33">
        <v>0.13336400000000001</v>
      </c>
      <c r="F90" s="34" t="s">
        <v>9</v>
      </c>
      <c r="G90" s="28">
        <v>46173</v>
      </c>
      <c r="H90" s="34" t="s">
        <v>132</v>
      </c>
    </row>
    <row r="91" spans="1:8" ht="15" customHeight="1" x14ac:dyDescent="0.2">
      <c r="A91" s="35" t="str">
        <f t="shared" si="2"/>
        <v>Crypto|BNB|Bitkub</v>
      </c>
      <c r="B91" s="9" t="s">
        <v>218</v>
      </c>
      <c r="C91" s="35" t="s">
        <v>221</v>
      </c>
      <c r="D91" s="35" t="s">
        <v>233</v>
      </c>
      <c r="E91" s="33">
        <v>23438.133900000001</v>
      </c>
      <c r="F91" s="34" t="s">
        <v>9</v>
      </c>
      <c r="G91" s="28">
        <v>46173</v>
      </c>
      <c r="H91" s="34" t="s">
        <v>132</v>
      </c>
    </row>
    <row r="92" spans="1:8" ht="15" customHeight="1" x14ac:dyDescent="0.2">
      <c r="A92" s="35" t="str">
        <f t="shared" si="2"/>
        <v>Crypto|BTC|Bitkub</v>
      </c>
      <c r="B92" s="9" t="s">
        <v>218</v>
      </c>
      <c r="C92" s="35" t="s">
        <v>222</v>
      </c>
      <c r="D92" s="35" t="s">
        <v>233</v>
      </c>
      <c r="E92" s="33">
        <v>2394923.0699999998</v>
      </c>
      <c r="F92" s="34" t="s">
        <v>9</v>
      </c>
      <c r="G92" s="28">
        <v>46173</v>
      </c>
      <c r="H92" s="34" t="s">
        <v>132</v>
      </c>
    </row>
    <row r="93" spans="1:8" ht="15" customHeight="1" x14ac:dyDescent="0.2">
      <c r="A93" s="35" t="str">
        <f t="shared" si="2"/>
        <v>Crypto|DOGE|Bitkub</v>
      </c>
      <c r="B93" s="9" t="s">
        <v>218</v>
      </c>
      <c r="C93" s="35" t="s">
        <v>234</v>
      </c>
      <c r="D93" s="35" t="s">
        <v>233</v>
      </c>
      <c r="E93" s="33">
        <v>3.2632690000000002</v>
      </c>
      <c r="F93" s="34" t="s">
        <v>9</v>
      </c>
      <c r="G93" s="28">
        <v>46173</v>
      </c>
      <c r="H93" s="34" t="s">
        <v>132</v>
      </c>
    </row>
    <row r="94" spans="1:8" ht="15" customHeight="1" x14ac:dyDescent="0.2">
      <c r="A94" s="35" t="str">
        <f t="shared" si="2"/>
        <v>Crypto|ETH|Bitkub</v>
      </c>
      <c r="B94" s="9" t="s">
        <v>218</v>
      </c>
      <c r="C94" s="35" t="s">
        <v>235</v>
      </c>
      <c r="D94" s="35" t="s">
        <v>233</v>
      </c>
      <c r="E94" s="33">
        <v>65518.004699999998</v>
      </c>
      <c r="F94" s="34" t="s">
        <v>9</v>
      </c>
      <c r="G94" s="28">
        <v>46173</v>
      </c>
      <c r="H94" s="34" t="s">
        <v>132</v>
      </c>
    </row>
    <row r="95" spans="1:8" ht="15" customHeight="1" x14ac:dyDescent="0.2">
      <c r="A95" s="35" t="str">
        <f t="shared" si="2"/>
        <v>Crypto|KUB|Bitkub</v>
      </c>
      <c r="B95" s="9" t="s">
        <v>218</v>
      </c>
      <c r="C95" s="35" t="s">
        <v>236</v>
      </c>
      <c r="D95" s="35" t="s">
        <v>233</v>
      </c>
      <c r="E95" s="33">
        <v>26.150482</v>
      </c>
      <c r="F95" s="34" t="s">
        <v>9</v>
      </c>
      <c r="G95" s="28">
        <v>46173</v>
      </c>
      <c r="H95" s="34" t="s">
        <v>132</v>
      </c>
    </row>
    <row r="96" spans="1:8" ht="15" customHeight="1" x14ac:dyDescent="0.2">
      <c r="A96" s="35" t="str">
        <f t="shared" si="2"/>
        <v>Crypto|BTC|OKX</v>
      </c>
      <c r="B96" s="9" t="s">
        <v>218</v>
      </c>
      <c r="C96" s="35" t="s">
        <v>222</v>
      </c>
      <c r="D96" s="35" t="s">
        <v>237</v>
      </c>
      <c r="E96" s="33">
        <v>73849</v>
      </c>
      <c r="F96" s="34" t="s">
        <v>193</v>
      </c>
      <c r="G96" s="28">
        <v>46173</v>
      </c>
      <c r="H96" s="34" t="s">
        <v>132</v>
      </c>
    </row>
    <row r="97" spans="1:8" ht="15" customHeight="1" x14ac:dyDescent="0.2">
      <c r="A97" s="35" t="str">
        <f t="shared" si="2"/>
        <v>Crypto|COMP|OKX</v>
      </c>
      <c r="B97" s="9" t="s">
        <v>218</v>
      </c>
      <c r="C97" s="35" t="s">
        <v>238</v>
      </c>
      <c r="D97" s="35" t="s">
        <v>237</v>
      </c>
      <c r="E97" s="33">
        <v>18.440000000000001</v>
      </c>
      <c r="F97" s="34" t="s">
        <v>193</v>
      </c>
      <c r="G97" s="28">
        <v>46173</v>
      </c>
      <c r="H97" s="34" t="s">
        <v>132</v>
      </c>
    </row>
    <row r="98" spans="1:8" ht="15" customHeight="1" x14ac:dyDescent="0.2">
      <c r="A98" s="35" t="str">
        <f t="shared" si="2"/>
        <v>Crypto|NIGHT|OKX</v>
      </c>
      <c r="B98" s="9" t="s">
        <v>218</v>
      </c>
      <c r="C98" s="35" t="s">
        <v>239</v>
      </c>
      <c r="D98" s="35" t="s">
        <v>237</v>
      </c>
      <c r="E98" s="33">
        <v>7.25E-6</v>
      </c>
      <c r="F98" s="34" t="s">
        <v>193</v>
      </c>
      <c r="G98" s="28">
        <v>46172</v>
      </c>
      <c r="H98" s="34" t="s">
        <v>177</v>
      </c>
    </row>
    <row r="99" spans="1:8" ht="15" customHeight="1" x14ac:dyDescent="0.2">
      <c r="A99" s="35" t="str">
        <f t="shared" si="2"/>
        <v>Crypto|OKSOL|OKX</v>
      </c>
      <c r="B99" s="9" t="s">
        <v>218</v>
      </c>
      <c r="C99" s="35" t="s">
        <v>240</v>
      </c>
      <c r="D99" s="35" t="s">
        <v>237</v>
      </c>
      <c r="E99" s="33">
        <v>82.67</v>
      </c>
      <c r="F99" s="34" t="s">
        <v>193</v>
      </c>
      <c r="G99" s="28">
        <v>46172</v>
      </c>
      <c r="H99" s="34" t="s">
        <v>177</v>
      </c>
    </row>
    <row r="100" spans="1:8" ht="15" customHeight="1" x14ac:dyDescent="0.2">
      <c r="A100" s="35" t="str">
        <f t="shared" si="2"/>
        <v>Crypto|PENGU|OKX</v>
      </c>
      <c r="B100" s="9" t="s">
        <v>218</v>
      </c>
      <c r="C100" s="35" t="s">
        <v>223</v>
      </c>
      <c r="D100" s="35" t="s">
        <v>237</v>
      </c>
      <c r="E100" s="33">
        <v>7.9979999999999999E-3</v>
      </c>
      <c r="F100" s="34" t="s">
        <v>193</v>
      </c>
      <c r="G100" s="28">
        <v>46173</v>
      </c>
      <c r="H100" s="34" t="s">
        <v>132</v>
      </c>
    </row>
    <row r="101" spans="1:8" ht="15" customHeight="1" x14ac:dyDescent="0.2">
      <c r="A101" s="35" t="str">
        <f t="shared" ref="A101:A104" si="3">B101&amp;"|"&amp;C101&amp;"|"&amp;D101</f>
        <v>Crypto|SOL|OKX</v>
      </c>
      <c r="B101" s="9" t="s">
        <v>218</v>
      </c>
      <c r="C101" s="35" t="s">
        <v>225</v>
      </c>
      <c r="D101" s="35" t="s">
        <v>237</v>
      </c>
      <c r="E101" s="33">
        <v>82.58</v>
      </c>
      <c r="F101" s="34" t="s">
        <v>193</v>
      </c>
      <c r="G101" s="28">
        <v>46173</v>
      </c>
      <c r="H101" s="34" t="s">
        <v>132</v>
      </c>
    </row>
    <row r="102" spans="1:8" ht="15" customHeight="1" x14ac:dyDescent="0.2">
      <c r="A102" s="35" t="str">
        <f t="shared" si="3"/>
        <v>Crypto|USDT|OKX</v>
      </c>
      <c r="B102" s="9" t="s">
        <v>218</v>
      </c>
      <c r="C102" s="35" t="s">
        <v>227</v>
      </c>
      <c r="D102" s="35" t="s">
        <v>237</v>
      </c>
      <c r="E102" s="33">
        <v>1</v>
      </c>
      <c r="F102" s="34" t="s">
        <v>193</v>
      </c>
      <c r="G102" s="28">
        <v>46173</v>
      </c>
      <c r="H102" s="34" t="s">
        <v>132</v>
      </c>
    </row>
    <row r="103" spans="1:8" x14ac:dyDescent="0.2">
      <c r="A103" t="str">
        <f t="shared" si="3"/>
        <v>||</v>
      </c>
      <c r="G103" s="48"/>
    </row>
    <row r="104" spans="1:8" x14ac:dyDescent="0.2">
      <c r="A104" t="str">
        <f t="shared" si="3"/>
        <v>||</v>
      </c>
      <c r="G104" s="48"/>
    </row>
  </sheetData>
  <mergeCells count="1">
    <mergeCell ref="A2:H2"/>
  </mergeCells>
  <conditionalFormatting sqref="H5:H102">
    <cfRule type="expression" dxfId="6" priority="2">
      <formula>$H5="Missing"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S167"/>
  <sheetViews>
    <sheetView showGridLines="0" zoomScaleNormal="100" workbookViewId="0">
      <pane xSplit="3" ySplit="4" topLeftCell="D132" activePane="bottomRight" state="frozen"/>
      <selection pane="topRight" activeCell="D1" sqref="D1"/>
      <selection pane="bottomLeft" activeCell="A149" sqref="A149"/>
      <selection pane="bottomRight" activeCell="P167" sqref="P167"/>
    </sheetView>
  </sheetViews>
  <sheetFormatPr baseColWidth="10" defaultColWidth="8.6640625" defaultRowHeight="15" x14ac:dyDescent="0.2"/>
  <cols>
    <col min="1" max="1" width="5" customWidth="1"/>
    <col min="2" max="2" width="14" customWidth="1"/>
    <col min="3" max="3" width="20" customWidth="1"/>
    <col min="4" max="4" width="16" customWidth="1"/>
    <col min="5" max="5" width="22" customWidth="1"/>
    <col min="6" max="6" width="16" customWidth="1"/>
    <col min="7" max="9" width="14" customWidth="1"/>
    <col min="10" max="11" width="10" customWidth="1"/>
    <col min="12" max="13" width="12" customWidth="1"/>
    <col min="14" max="14" width="14" customWidth="1"/>
    <col min="15" max="17" width="16" customWidth="1"/>
    <col min="18" max="18" width="12" customWidth="1"/>
    <col min="19" max="19" width="26" customWidth="1"/>
  </cols>
  <sheetData>
    <row r="2" spans="1:19" ht="30" customHeight="1" x14ac:dyDescent="0.2">
      <c r="A2" s="49" t="s">
        <v>241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</row>
    <row r="4" spans="1:19" ht="42" customHeight="1" x14ac:dyDescent="0.2">
      <c r="A4" s="8" t="s">
        <v>242</v>
      </c>
      <c r="B4" s="8" t="s">
        <v>243</v>
      </c>
      <c r="C4" s="8" t="s">
        <v>244</v>
      </c>
      <c r="D4" s="8" t="s">
        <v>51</v>
      </c>
      <c r="E4" s="8" t="s">
        <v>88</v>
      </c>
      <c r="F4" s="8" t="s">
        <v>56</v>
      </c>
      <c r="G4" s="8" t="s">
        <v>74</v>
      </c>
      <c r="H4" s="8" t="s">
        <v>245</v>
      </c>
      <c r="I4" s="8" t="s">
        <v>246</v>
      </c>
      <c r="J4" s="8" t="s">
        <v>247</v>
      </c>
      <c r="K4" s="8" t="s">
        <v>248</v>
      </c>
      <c r="L4" s="8" t="s">
        <v>249</v>
      </c>
      <c r="M4" s="8" t="s">
        <v>250</v>
      </c>
      <c r="N4" s="8" t="s">
        <v>251</v>
      </c>
      <c r="O4" s="8" t="s">
        <v>252</v>
      </c>
      <c r="P4" s="8" t="s">
        <v>253</v>
      </c>
      <c r="Q4" s="8" t="s">
        <v>254</v>
      </c>
      <c r="R4" s="8" t="s">
        <v>115</v>
      </c>
      <c r="S4" s="8" t="s">
        <v>255</v>
      </c>
    </row>
    <row r="5" spans="1:19" ht="15" customHeight="1" x14ac:dyDescent="0.2">
      <c r="A5" s="35">
        <v>1</v>
      </c>
      <c r="B5" s="35" t="s">
        <v>148</v>
      </c>
      <c r="C5" s="35" t="s">
        <v>147</v>
      </c>
      <c r="D5" s="18" t="str">
        <f>IFERROR(INDEX(Reference!$E:$E,MATCH("Mutual Fund|"&amp;C5&amp;"|"&amp;B5,Reference!$A:$A,0)),"")</f>
        <v>Cash &amp; Equivalents</v>
      </c>
      <c r="E5" s="18" t="str">
        <f>IFERROR(INDEX(Reference!$H:$H,MATCH("Mutual Fund|"&amp;C5&amp;"|"&amp;B5,Reference!$A:$A,0)),"")</f>
        <v>TH Money Market</v>
      </c>
      <c r="F5" s="18" t="str">
        <f>IFERROR(INDEX(Reference!$G:$G,MATCH("Mutual Fund|"&amp;C5&amp;"|"&amp;B5,Reference!$A:$A,0)),"")</f>
        <v>Thailand</v>
      </c>
      <c r="G5" s="18" t="str">
        <f>IFERROR(INDEX(Reference!$I:$I,MATCH("Mutual Fund|"&amp;C5&amp;"|"&amp;B5,Reference!$A:$A,0)),"")</f>
        <v>Open-Ended</v>
      </c>
      <c r="H5" s="36">
        <v>44006</v>
      </c>
      <c r="I5" s="37">
        <v>2020</v>
      </c>
      <c r="J5" s="38" t="s">
        <v>256</v>
      </c>
      <c r="K5" s="39">
        <f t="shared" ref="K5:K36" si="0">IFERROR(IF(H5="","",(AsOfDate-H5)/365.25),"")</f>
        <v>5.9329226557152639</v>
      </c>
      <c r="L5" s="40">
        <v>9.0848999999999993</v>
      </c>
      <c r="M5" s="40">
        <v>22.014399999999998</v>
      </c>
      <c r="N5" s="41">
        <f>IFERROR(INDEX(Prices!$E:$E,MATCH("Mutual Fund|"&amp;C5&amp;"|"&amp;B5,Prices!$A:$A,0)),0)</f>
        <v>23.398299999999999</v>
      </c>
      <c r="O5" s="42">
        <v>200</v>
      </c>
      <c r="P5" s="42">
        <f t="shared" ref="P5:P36" si="1">L5*N5</f>
        <v>212.57121566999999</v>
      </c>
      <c r="Q5" s="42">
        <f t="shared" ref="Q5:Q36" si="2">P5-O5</f>
        <v>12.571215669999987</v>
      </c>
      <c r="R5" s="11">
        <f t="shared" ref="R5:R36" si="3">IFERROR(Q5/O5,0)</f>
        <v>6.2856078349999928E-2</v>
      </c>
      <c r="S5" s="35"/>
    </row>
    <row r="6" spans="1:19" ht="15" customHeight="1" x14ac:dyDescent="0.2">
      <c r="A6" s="35">
        <v>2</v>
      </c>
      <c r="B6" s="35" t="s">
        <v>148</v>
      </c>
      <c r="C6" s="35" t="s">
        <v>147</v>
      </c>
      <c r="D6" s="18" t="str">
        <f>IFERROR(INDEX(Reference!$E:$E,MATCH("Mutual Fund|"&amp;C6&amp;"|"&amp;B6,Reference!$A:$A,0)),"")</f>
        <v>Cash &amp; Equivalents</v>
      </c>
      <c r="E6" s="18" t="str">
        <f>IFERROR(INDEX(Reference!$H:$H,MATCH("Mutual Fund|"&amp;C6&amp;"|"&amp;B6,Reference!$A:$A,0)),"")</f>
        <v>TH Money Market</v>
      </c>
      <c r="F6" s="18" t="str">
        <f>IFERROR(INDEX(Reference!$G:$G,MATCH("Mutual Fund|"&amp;C6&amp;"|"&amp;B6,Reference!$A:$A,0)),"")</f>
        <v>Thailand</v>
      </c>
      <c r="G6" s="18" t="str">
        <f>IFERROR(INDEX(Reference!$I:$I,MATCH("Mutual Fund|"&amp;C6&amp;"|"&amp;B6,Reference!$A:$A,0)),"")</f>
        <v>Open-Ended</v>
      </c>
      <c r="H6" s="36">
        <v>44371</v>
      </c>
      <c r="I6" s="37">
        <v>2021</v>
      </c>
      <c r="J6" s="38" t="s">
        <v>256</v>
      </c>
      <c r="K6" s="39">
        <f t="shared" si="0"/>
        <v>4.9336071184120467</v>
      </c>
      <c r="L6" s="40">
        <v>9.0717999999999996</v>
      </c>
      <c r="M6" s="40">
        <v>22.046099999999999</v>
      </c>
      <c r="N6" s="41">
        <f>IFERROR(INDEX(Prices!$E:$E,MATCH("Mutual Fund|"&amp;C6&amp;"|"&amp;B6,Prices!$A:$A,0)),0)</f>
        <v>23.398299999999999</v>
      </c>
      <c r="O6" s="42">
        <v>200</v>
      </c>
      <c r="P6" s="42">
        <f t="shared" si="1"/>
        <v>212.26469793999999</v>
      </c>
      <c r="Q6" s="42">
        <f t="shared" si="2"/>
        <v>12.264697939999991</v>
      </c>
      <c r="R6" s="11">
        <f t="shared" si="3"/>
        <v>6.1323489699999956E-2</v>
      </c>
      <c r="S6" s="35"/>
    </row>
    <row r="7" spans="1:19" ht="15" customHeight="1" x14ac:dyDescent="0.2">
      <c r="A7" s="35">
        <v>3</v>
      </c>
      <c r="B7" s="35" t="s">
        <v>148</v>
      </c>
      <c r="C7" s="35" t="s">
        <v>147</v>
      </c>
      <c r="D7" s="18" t="str">
        <f>IFERROR(INDEX(Reference!$E:$E,MATCH("Mutual Fund|"&amp;C7&amp;"|"&amp;B7,Reference!$A:$A,0)),"")</f>
        <v>Cash &amp; Equivalents</v>
      </c>
      <c r="E7" s="18" t="str">
        <f>IFERROR(INDEX(Reference!$H:$H,MATCH("Mutual Fund|"&amp;C7&amp;"|"&amp;B7,Reference!$A:$A,0)),"")</f>
        <v>TH Money Market</v>
      </c>
      <c r="F7" s="18" t="str">
        <f>IFERROR(INDEX(Reference!$G:$G,MATCH("Mutual Fund|"&amp;C7&amp;"|"&amp;B7,Reference!$A:$A,0)),"")</f>
        <v>Thailand</v>
      </c>
      <c r="G7" s="18" t="str">
        <f>IFERROR(INDEX(Reference!$I:$I,MATCH("Mutual Fund|"&amp;C7&amp;"|"&amp;B7,Reference!$A:$A,0)),"")</f>
        <v>Open-Ended</v>
      </c>
      <c r="H7" s="36">
        <v>44735</v>
      </c>
      <c r="I7" s="37">
        <v>2022</v>
      </c>
      <c r="J7" s="38" t="s">
        <v>256</v>
      </c>
      <c r="K7" s="39">
        <f t="shared" si="0"/>
        <v>3.9370294318959616</v>
      </c>
      <c r="L7" s="40">
        <v>9.0507000000000009</v>
      </c>
      <c r="M7" s="40">
        <v>22.0977</v>
      </c>
      <c r="N7" s="41">
        <f>IFERROR(INDEX(Prices!$E:$E,MATCH("Mutual Fund|"&amp;C7&amp;"|"&amp;B7,Prices!$A:$A,0)),0)</f>
        <v>23.398299999999999</v>
      </c>
      <c r="O7" s="42">
        <v>200</v>
      </c>
      <c r="P7" s="42">
        <f t="shared" si="1"/>
        <v>211.77099381000002</v>
      </c>
      <c r="Q7" s="42">
        <f t="shared" si="2"/>
        <v>11.770993810000022</v>
      </c>
      <c r="R7" s="11">
        <f t="shared" si="3"/>
        <v>5.8854969050000108E-2</v>
      </c>
      <c r="S7" s="35"/>
    </row>
    <row r="8" spans="1:19" ht="15" customHeight="1" x14ac:dyDescent="0.2">
      <c r="A8" s="35">
        <v>4</v>
      </c>
      <c r="B8" s="35" t="s">
        <v>160</v>
      </c>
      <c r="C8" s="35" t="s">
        <v>164</v>
      </c>
      <c r="D8" s="18" t="str">
        <f>IFERROR(INDEX(Reference!$E:$E,MATCH("Mutual Fund|"&amp;C8&amp;"|"&amp;B8,Reference!$A:$A,0)),"")</f>
        <v>Cash &amp; Equivalents</v>
      </c>
      <c r="E8" s="18" t="str">
        <f>IFERROR(INDEX(Reference!$H:$H,MATCH("Mutual Fund|"&amp;C8&amp;"|"&amp;B8,Reference!$A:$A,0)),"")</f>
        <v>TH Short-Term Bond</v>
      </c>
      <c r="F8" s="18" t="str">
        <f>IFERROR(INDEX(Reference!$G:$G,MATCH("Mutual Fund|"&amp;C8&amp;"|"&amp;B8,Reference!$A:$A,0)),"")</f>
        <v>Thailand</v>
      </c>
      <c r="G8" s="18" t="str">
        <f>IFERROR(INDEX(Reference!$I:$I,MATCH("Mutual Fund|"&amp;C8&amp;"|"&amp;B8,Reference!$A:$A,0)),"")</f>
        <v>Open-Ended</v>
      </c>
      <c r="H8" s="36">
        <v>45897</v>
      </c>
      <c r="I8" s="37">
        <v>2025</v>
      </c>
      <c r="J8" s="38" t="s">
        <v>256</v>
      </c>
      <c r="K8" s="39">
        <f t="shared" si="0"/>
        <v>0.75564681724845995</v>
      </c>
      <c r="L8" s="40">
        <v>27.7818</v>
      </c>
      <c r="M8" s="40">
        <v>21.596800000000002</v>
      </c>
      <c r="N8" s="41">
        <f>IFERROR(INDEX(Prices!$E:$E,MATCH("Mutual Fund|"&amp;C8&amp;"|"&amp;B8,Prices!$A:$A,0)),0)</f>
        <v>21.703399999999998</v>
      </c>
      <c r="O8" s="42">
        <v>600</v>
      </c>
      <c r="P8" s="42">
        <f t="shared" si="1"/>
        <v>602.95951811999998</v>
      </c>
      <c r="Q8" s="42">
        <f t="shared" si="2"/>
        <v>2.9595181199999843</v>
      </c>
      <c r="R8" s="11">
        <f t="shared" si="3"/>
        <v>4.9325301999999741E-3</v>
      </c>
      <c r="S8" s="35"/>
    </row>
    <row r="9" spans="1:19" ht="15" customHeight="1" x14ac:dyDescent="0.2">
      <c r="A9" s="35">
        <v>5</v>
      </c>
      <c r="B9" s="35" t="s">
        <v>131</v>
      </c>
      <c r="C9" s="35" t="s">
        <v>133</v>
      </c>
      <c r="D9" s="18" t="str">
        <f>IFERROR(INDEX(Reference!$E:$E,MATCH("Mutual Fund|"&amp;C9&amp;"|"&amp;B9,Reference!$A:$A,0)),"")</f>
        <v>Cash &amp; Equivalents</v>
      </c>
      <c r="E9" s="18" t="str">
        <f>IFERROR(INDEX(Reference!$H:$H,MATCH("Mutual Fund|"&amp;C9&amp;"|"&amp;B9,Reference!$A:$A,0)),"")</f>
        <v>TH Short-Term Bond</v>
      </c>
      <c r="F9" s="18" t="str">
        <f>IFERROR(INDEX(Reference!$G:$G,MATCH("Mutual Fund|"&amp;C9&amp;"|"&amp;B9,Reference!$A:$A,0)),"")</f>
        <v>Thailand</v>
      </c>
      <c r="G9" s="18" t="str">
        <f>IFERROR(INDEX(Reference!$I:$I,MATCH("Mutual Fund|"&amp;C9&amp;"|"&amp;B9,Reference!$A:$A,0)),"")</f>
        <v>Open-Ended</v>
      </c>
      <c r="H9" s="36">
        <v>45685</v>
      </c>
      <c r="I9" s="37">
        <v>2025</v>
      </c>
      <c r="J9" s="38" t="s">
        <v>256</v>
      </c>
      <c r="K9" s="39">
        <f t="shared" si="0"/>
        <v>1.3360711841204653</v>
      </c>
      <c r="L9" s="40">
        <v>691.83180000000004</v>
      </c>
      <c r="M9" s="40">
        <v>10.5189</v>
      </c>
      <c r="N9" s="41">
        <f>IFERROR(INDEX(Prices!$E:$E,MATCH("Mutual Fund|"&amp;C9&amp;"|"&amp;B9,Prices!$A:$A,0)),0)</f>
        <v>10.684799999999999</v>
      </c>
      <c r="O9" s="42">
        <v>7277.31</v>
      </c>
      <c r="P9" s="42">
        <f t="shared" si="1"/>
        <v>7392.0844166400002</v>
      </c>
      <c r="Q9" s="42">
        <f t="shared" si="2"/>
        <v>114.7744166399998</v>
      </c>
      <c r="R9" s="11">
        <f t="shared" si="3"/>
        <v>1.5771544243683419E-2</v>
      </c>
      <c r="S9" s="35"/>
    </row>
    <row r="10" spans="1:19" ht="15" customHeight="1" x14ac:dyDescent="0.2">
      <c r="A10" s="35">
        <v>6</v>
      </c>
      <c r="B10" s="35" t="s">
        <v>131</v>
      </c>
      <c r="C10" s="35" t="s">
        <v>133</v>
      </c>
      <c r="D10" s="18" t="str">
        <f>IFERROR(INDEX(Reference!$E:$E,MATCH("Mutual Fund|"&amp;C10&amp;"|"&amp;B10,Reference!$A:$A,0)),"")</f>
        <v>Cash &amp; Equivalents</v>
      </c>
      <c r="E10" s="18" t="str">
        <f>IFERROR(INDEX(Reference!$H:$H,MATCH("Mutual Fund|"&amp;C10&amp;"|"&amp;B10,Reference!$A:$A,0)),"")</f>
        <v>TH Short-Term Bond</v>
      </c>
      <c r="F10" s="18" t="str">
        <f>IFERROR(INDEX(Reference!$G:$G,MATCH("Mutual Fund|"&amp;C10&amp;"|"&amp;B10,Reference!$A:$A,0)),"")</f>
        <v>Thailand</v>
      </c>
      <c r="G10" s="18" t="str">
        <f>IFERROR(INDEX(Reference!$I:$I,MATCH("Mutual Fund|"&amp;C10&amp;"|"&amp;B10,Reference!$A:$A,0)),"")</f>
        <v>Open-Ended</v>
      </c>
      <c r="H10" s="36">
        <v>45777</v>
      </c>
      <c r="I10" s="37">
        <v>2025</v>
      </c>
      <c r="J10" s="38" t="s">
        <v>256</v>
      </c>
      <c r="K10" s="39">
        <f t="shared" si="0"/>
        <v>1.0841889117043122</v>
      </c>
      <c r="L10" s="40">
        <v>151.60079999999999</v>
      </c>
      <c r="M10" s="40">
        <v>10.563000000000001</v>
      </c>
      <c r="N10" s="41">
        <f>IFERROR(INDEX(Prices!$E:$E,MATCH("Mutual Fund|"&amp;C10&amp;"|"&amp;B10,Prices!$A:$A,0)),0)</f>
        <v>10.684799999999999</v>
      </c>
      <c r="O10" s="42">
        <v>1601.36</v>
      </c>
      <c r="P10" s="42">
        <f t="shared" si="1"/>
        <v>1619.8242278399998</v>
      </c>
      <c r="Q10" s="42">
        <f t="shared" si="2"/>
        <v>18.464227839999921</v>
      </c>
      <c r="R10" s="11">
        <f t="shared" si="3"/>
        <v>1.1530341609631765E-2</v>
      </c>
      <c r="S10" s="35"/>
    </row>
    <row r="11" spans="1:19" ht="15" customHeight="1" x14ac:dyDescent="0.2">
      <c r="A11" s="35">
        <v>7</v>
      </c>
      <c r="B11" s="35" t="s">
        <v>131</v>
      </c>
      <c r="C11" s="35" t="s">
        <v>136</v>
      </c>
      <c r="D11" s="18" t="str">
        <f>IFERROR(INDEX(Reference!$E:$E,MATCH("Mutual Fund|"&amp;C11&amp;"|"&amp;B11,Reference!$A:$A,0)),"")</f>
        <v>Multi-Asset</v>
      </c>
      <c r="E11" s="18" t="str">
        <f>IFERROR(INDEX(Reference!$H:$H,MATCH("Mutual Fund|"&amp;C11&amp;"|"&amp;B11,Reference!$A:$A,0)),"")</f>
        <v>Thai Balanced</v>
      </c>
      <c r="F11" s="18" t="str">
        <f>IFERROR(INDEX(Reference!$G:$G,MATCH("Mutual Fund|"&amp;C11&amp;"|"&amp;B11,Reference!$A:$A,0)),"")</f>
        <v>Thailand</v>
      </c>
      <c r="G11" s="18" t="str">
        <f>IFERROR(INDEX(Reference!$I:$I,MATCH("Mutual Fund|"&amp;C11&amp;"|"&amp;B11,Reference!$A:$A,0)),"")</f>
        <v>Open-Ended</v>
      </c>
      <c r="H11" s="36">
        <v>42948</v>
      </c>
      <c r="I11" s="37">
        <v>2017</v>
      </c>
      <c r="J11" s="38" t="s">
        <v>256</v>
      </c>
      <c r="K11" s="39">
        <f t="shared" si="0"/>
        <v>8.8295687885010263</v>
      </c>
      <c r="L11" s="40">
        <v>4957.8581999999997</v>
      </c>
      <c r="M11" s="40">
        <v>10.085000000000001</v>
      </c>
      <c r="N11" s="41">
        <f>IFERROR(INDEX(Prices!$E:$E,MATCH("Mutual Fund|"&amp;C11&amp;"|"&amp;B11,Prices!$A:$A,0)),0)</f>
        <v>9.3216000000000001</v>
      </c>
      <c r="O11" s="42">
        <v>50000</v>
      </c>
      <c r="P11" s="42">
        <f t="shared" si="1"/>
        <v>46215.170997119996</v>
      </c>
      <c r="Q11" s="42">
        <f t="shared" si="2"/>
        <v>-3784.8290028800038</v>
      </c>
      <c r="R11" s="11">
        <f t="shared" si="3"/>
        <v>-7.5696580057600077E-2</v>
      </c>
      <c r="S11" s="35"/>
    </row>
    <row r="12" spans="1:19" ht="15" customHeight="1" x14ac:dyDescent="0.2">
      <c r="A12" s="35">
        <v>8</v>
      </c>
      <c r="B12" s="35" t="s">
        <v>131</v>
      </c>
      <c r="C12" s="35" t="s">
        <v>138</v>
      </c>
      <c r="D12" s="18" t="str">
        <f>IFERROR(INDEX(Reference!$E:$E,MATCH("Mutual Fund|"&amp;C12&amp;"|"&amp;B12,Reference!$A:$A,0)),"")</f>
        <v>Equity</v>
      </c>
      <c r="E12" s="18" t="str">
        <f>IFERROR(INDEX(Reference!$H:$H,MATCH("Mutual Fund|"&amp;C12&amp;"|"&amp;B12,Reference!$A:$A,0)),"")</f>
        <v>Thai Equity</v>
      </c>
      <c r="F12" s="18" t="str">
        <f>IFERROR(INDEX(Reference!$G:$G,MATCH("Mutual Fund|"&amp;C12&amp;"|"&amp;B12,Reference!$A:$A,0)),"")</f>
        <v>Thailand</v>
      </c>
      <c r="G12" s="18" t="str">
        <f>IFERROR(INDEX(Reference!$I:$I,MATCH("Mutual Fund|"&amp;C12&amp;"|"&amp;B12,Reference!$A:$A,0)),"")</f>
        <v>Open-Ended</v>
      </c>
      <c r="H12" s="36">
        <v>42948</v>
      </c>
      <c r="I12" s="37">
        <v>2017</v>
      </c>
      <c r="J12" s="38" t="s">
        <v>256</v>
      </c>
      <c r="K12" s="39">
        <f t="shared" si="0"/>
        <v>8.8295687885010263</v>
      </c>
      <c r="L12" s="40">
        <v>4957.8581999999997</v>
      </c>
      <c r="M12" s="40">
        <v>10.085000000000001</v>
      </c>
      <c r="N12" s="41">
        <f>IFERROR(INDEX(Prices!$E:$E,MATCH("Mutual Fund|"&amp;C12&amp;"|"&amp;B12,Prices!$A:$A,0)),0)</f>
        <v>13.0748</v>
      </c>
      <c r="O12" s="42">
        <v>50000</v>
      </c>
      <c r="P12" s="42">
        <f t="shared" si="1"/>
        <v>64823.004393359995</v>
      </c>
      <c r="Q12" s="42">
        <f t="shared" si="2"/>
        <v>14823.004393359995</v>
      </c>
      <c r="R12" s="11">
        <f t="shared" si="3"/>
        <v>0.29646008786719991</v>
      </c>
      <c r="S12" s="35"/>
    </row>
    <row r="13" spans="1:19" ht="15" customHeight="1" x14ac:dyDescent="0.2">
      <c r="A13" s="35">
        <v>9</v>
      </c>
      <c r="B13" s="35" t="s">
        <v>131</v>
      </c>
      <c r="C13" s="35" t="s">
        <v>138</v>
      </c>
      <c r="D13" s="18" t="str">
        <f>IFERROR(INDEX(Reference!$E:$E,MATCH("Mutual Fund|"&amp;C13&amp;"|"&amp;B13,Reference!$A:$A,0)),"")</f>
        <v>Equity</v>
      </c>
      <c r="E13" s="18" t="str">
        <f>IFERROR(INDEX(Reference!$H:$H,MATCH("Mutual Fund|"&amp;C13&amp;"|"&amp;B13,Reference!$A:$A,0)),"")</f>
        <v>Thai Equity</v>
      </c>
      <c r="F13" s="18" t="str">
        <f>IFERROR(INDEX(Reference!$G:$G,MATCH("Mutual Fund|"&amp;C13&amp;"|"&amp;B13,Reference!$A:$A,0)),"")</f>
        <v>Thailand</v>
      </c>
      <c r="G13" s="18" t="str">
        <f>IFERROR(INDEX(Reference!$I:$I,MATCH("Mutual Fund|"&amp;C13&amp;"|"&amp;B13,Reference!$A:$A,0)),"")</f>
        <v>Open-Ended</v>
      </c>
      <c r="H13" s="36">
        <v>44223</v>
      </c>
      <c r="I13" s="37">
        <v>2021</v>
      </c>
      <c r="J13" s="38" t="s">
        <v>256</v>
      </c>
      <c r="K13" s="39">
        <f t="shared" si="0"/>
        <v>5.3388090349075972</v>
      </c>
      <c r="L13" s="40">
        <v>10696.254800000001</v>
      </c>
      <c r="M13" s="40">
        <v>14.0236</v>
      </c>
      <c r="N13" s="41">
        <f>IFERROR(INDEX(Prices!$E:$E,MATCH("Mutual Fund|"&amp;C13&amp;"|"&amp;B13,Prices!$A:$A,0)),0)</f>
        <v>13.0748</v>
      </c>
      <c r="O13" s="42">
        <v>150000</v>
      </c>
      <c r="P13" s="42">
        <f t="shared" si="1"/>
        <v>139851.39225904</v>
      </c>
      <c r="Q13" s="42">
        <f t="shared" si="2"/>
        <v>-10148.607740959997</v>
      </c>
      <c r="R13" s="11">
        <f t="shared" si="3"/>
        <v>-6.7657384939733306E-2</v>
      </c>
      <c r="S13" s="35"/>
    </row>
    <row r="14" spans="1:19" ht="15" customHeight="1" x14ac:dyDescent="0.2">
      <c r="A14" s="35">
        <v>10</v>
      </c>
      <c r="B14" s="35" t="s">
        <v>131</v>
      </c>
      <c r="C14" s="35" t="s">
        <v>138</v>
      </c>
      <c r="D14" s="18" t="str">
        <f>IFERROR(INDEX(Reference!$E:$E,MATCH("Mutual Fund|"&amp;C14&amp;"|"&amp;B14,Reference!$A:$A,0)),"")</f>
        <v>Equity</v>
      </c>
      <c r="E14" s="18" t="str">
        <f>IFERROR(INDEX(Reference!$H:$H,MATCH("Mutual Fund|"&amp;C14&amp;"|"&amp;B14,Reference!$A:$A,0)),"")</f>
        <v>Thai Equity</v>
      </c>
      <c r="F14" s="18" t="str">
        <f>IFERROR(INDEX(Reference!$G:$G,MATCH("Mutual Fund|"&amp;C14&amp;"|"&amp;B14,Reference!$A:$A,0)),"")</f>
        <v>Thailand</v>
      </c>
      <c r="G14" s="18" t="str">
        <f>IFERROR(INDEX(Reference!$I:$I,MATCH("Mutual Fund|"&amp;C14&amp;"|"&amp;B14,Reference!$A:$A,0)),"")</f>
        <v>Open-Ended</v>
      </c>
      <c r="H14" s="36">
        <v>44557</v>
      </c>
      <c r="I14" s="37">
        <v>2021</v>
      </c>
      <c r="J14" s="38" t="s">
        <v>256</v>
      </c>
      <c r="K14" s="39">
        <f t="shared" si="0"/>
        <v>4.4243668720054758</v>
      </c>
      <c r="L14" s="40">
        <v>12954.575999999999</v>
      </c>
      <c r="M14" s="40">
        <v>19.298200000000001</v>
      </c>
      <c r="N14" s="41">
        <f>IFERROR(INDEX(Prices!$E:$E,MATCH("Mutual Fund|"&amp;C14&amp;"|"&amp;B14,Prices!$A:$A,0)),0)</f>
        <v>13.0748</v>
      </c>
      <c r="O14" s="42">
        <v>250000</v>
      </c>
      <c r="P14" s="42">
        <f t="shared" si="1"/>
        <v>169378.49028479998</v>
      </c>
      <c r="Q14" s="42">
        <f t="shared" si="2"/>
        <v>-80621.509715200023</v>
      </c>
      <c r="R14" s="11">
        <f t="shared" si="3"/>
        <v>-0.32248603886080007</v>
      </c>
      <c r="S14" s="35"/>
    </row>
    <row r="15" spans="1:19" ht="15" customHeight="1" x14ac:dyDescent="0.2">
      <c r="A15" s="35">
        <v>11</v>
      </c>
      <c r="B15" s="35" t="s">
        <v>131</v>
      </c>
      <c r="C15" s="35" t="s">
        <v>130</v>
      </c>
      <c r="D15" s="18" t="str">
        <f>IFERROR(INDEX(Reference!$E:$E,MATCH("Mutual Fund|"&amp;C15&amp;"|"&amp;B15,Reference!$A:$A,0)),"")</f>
        <v>Equity</v>
      </c>
      <c r="E15" s="18" t="str">
        <f>IFERROR(INDEX(Reference!$H:$H,MATCH("Mutual Fund|"&amp;C15&amp;"|"&amp;B15,Reference!$A:$A,0)),"")</f>
        <v>AI / Innovation</v>
      </c>
      <c r="F15" s="18" t="str">
        <f>IFERROR(INDEX(Reference!$G:$G,MATCH("Mutual Fund|"&amp;C15&amp;"|"&amp;B15,Reference!$A:$A,0)),"")</f>
        <v>Global</v>
      </c>
      <c r="G15" s="18" t="str">
        <f>IFERROR(INDEX(Reference!$I:$I,MATCH("Mutual Fund|"&amp;C15&amp;"|"&amp;B15,Reference!$A:$A,0)),"")</f>
        <v>Open-Ended</v>
      </c>
      <c r="H15" s="36">
        <v>42979</v>
      </c>
      <c r="I15" s="37">
        <v>2017</v>
      </c>
      <c r="J15" s="38" t="s">
        <v>256</v>
      </c>
      <c r="K15" s="39">
        <f t="shared" si="0"/>
        <v>8.7446954140999313</v>
      </c>
      <c r="L15" s="40">
        <v>9900.9901000000009</v>
      </c>
      <c r="M15" s="40">
        <v>10.1</v>
      </c>
      <c r="N15" s="41">
        <f>IFERROR(INDEX(Prices!$E:$E,MATCH("Mutual Fund|"&amp;C15&amp;"|"&amp;B15,Prices!$A:$A,0)),0)</f>
        <v>25.066600000000001</v>
      </c>
      <c r="O15" s="42">
        <v>100000</v>
      </c>
      <c r="P15" s="42">
        <f t="shared" si="1"/>
        <v>248184.15844066005</v>
      </c>
      <c r="Q15" s="42">
        <f t="shared" si="2"/>
        <v>148184.15844066005</v>
      </c>
      <c r="R15" s="11">
        <f t="shared" si="3"/>
        <v>1.4818415844066004</v>
      </c>
      <c r="S15" s="35"/>
    </row>
    <row r="16" spans="1:19" ht="15" customHeight="1" x14ac:dyDescent="0.2">
      <c r="A16" s="35">
        <v>12</v>
      </c>
      <c r="B16" s="35" t="s">
        <v>131</v>
      </c>
      <c r="C16" s="35" t="s">
        <v>137</v>
      </c>
      <c r="D16" s="18" t="str">
        <f>IFERROR(INDEX(Reference!$E:$E,MATCH("Mutual Fund|"&amp;C16&amp;"|"&amp;B16,Reference!$A:$A,0)),"")</f>
        <v>Equity</v>
      </c>
      <c r="E16" s="18" t="str">
        <f>IFERROR(INDEX(Reference!$H:$H,MATCH("Mutual Fund|"&amp;C16&amp;"|"&amp;B16,Reference!$A:$A,0)),"")</f>
        <v>Japan Equity</v>
      </c>
      <c r="F16" s="18" t="str">
        <f>IFERROR(INDEX(Reference!$G:$G,MATCH("Mutual Fund|"&amp;C16&amp;"|"&amp;B16,Reference!$A:$A,0)),"")</f>
        <v>Japan</v>
      </c>
      <c r="G16" s="18" t="str">
        <f>IFERROR(INDEX(Reference!$I:$I,MATCH("Mutual Fund|"&amp;C16&amp;"|"&amp;B16,Reference!$A:$A,0)),"")</f>
        <v>Open-Ended</v>
      </c>
      <c r="H16" s="36">
        <v>44224</v>
      </c>
      <c r="I16" s="37">
        <v>2021</v>
      </c>
      <c r="J16" s="38" t="s">
        <v>256</v>
      </c>
      <c r="K16" s="39">
        <f t="shared" si="0"/>
        <v>5.3360711841204651</v>
      </c>
      <c r="L16" s="40">
        <v>9876.5432000000001</v>
      </c>
      <c r="M16" s="40">
        <v>10.125</v>
      </c>
      <c r="N16" s="41">
        <f>IFERROR(INDEX(Prices!$E:$E,MATCH("Mutual Fund|"&amp;C16&amp;"|"&amp;B16,Prices!$A:$A,0)),0)</f>
        <v>13.2248</v>
      </c>
      <c r="O16" s="42">
        <v>100000</v>
      </c>
      <c r="P16" s="42">
        <f t="shared" si="1"/>
        <v>130615.30851136</v>
      </c>
      <c r="Q16" s="42">
        <f t="shared" si="2"/>
        <v>30615.308511359995</v>
      </c>
      <c r="R16" s="11">
        <f t="shared" si="3"/>
        <v>0.30615308511359995</v>
      </c>
      <c r="S16" s="35"/>
    </row>
    <row r="17" spans="1:19" ht="15" customHeight="1" x14ac:dyDescent="0.2">
      <c r="A17" s="35">
        <v>13</v>
      </c>
      <c r="B17" s="35" t="s">
        <v>131</v>
      </c>
      <c r="C17" s="35" t="s">
        <v>134</v>
      </c>
      <c r="D17" s="18" t="str">
        <f>IFERROR(INDEX(Reference!$E:$E,MATCH("Mutual Fund|"&amp;C17&amp;"|"&amp;B17,Reference!$A:$A,0)),"")</f>
        <v>Equity</v>
      </c>
      <c r="E17" s="18" t="str">
        <f>IFERROR(INDEX(Reference!$H:$H,MATCH("Mutual Fund|"&amp;C17&amp;"|"&amp;B17,Reference!$A:$A,0)),"")</f>
        <v>Europe Equity</v>
      </c>
      <c r="F17" s="18" t="str">
        <f>IFERROR(INDEX(Reference!$G:$G,MATCH("Mutual Fund|"&amp;C17&amp;"|"&amp;B17,Reference!$A:$A,0)),"")</f>
        <v>Europe</v>
      </c>
      <c r="G17" s="18" t="str">
        <f>IFERROR(INDEX(Reference!$I:$I,MATCH("Mutual Fund|"&amp;C17&amp;"|"&amp;B17,Reference!$A:$A,0)),"")</f>
        <v>Open-Ended</v>
      </c>
      <c r="H17" s="36">
        <v>44224</v>
      </c>
      <c r="I17" s="37">
        <v>2021</v>
      </c>
      <c r="J17" s="38" t="s">
        <v>256</v>
      </c>
      <c r="K17" s="39">
        <f t="shared" si="0"/>
        <v>5.3360711841204651</v>
      </c>
      <c r="L17" s="40">
        <v>9876.5432000000001</v>
      </c>
      <c r="M17" s="40">
        <v>10.125</v>
      </c>
      <c r="N17" s="41">
        <f>IFERROR(INDEX(Prices!$E:$E,MATCH("Mutual Fund|"&amp;C17&amp;"|"&amp;B17,Prices!$A:$A,0)),0)</f>
        <v>7.1688999999999998</v>
      </c>
      <c r="O17" s="42">
        <v>100000</v>
      </c>
      <c r="P17" s="42">
        <f t="shared" si="1"/>
        <v>70803.950546480002</v>
      </c>
      <c r="Q17" s="42">
        <f t="shared" si="2"/>
        <v>-29196.049453519998</v>
      </c>
      <c r="R17" s="11">
        <f t="shared" si="3"/>
        <v>-0.29196049453519995</v>
      </c>
      <c r="S17" s="35"/>
    </row>
    <row r="18" spans="1:19" ht="15" customHeight="1" x14ac:dyDescent="0.2">
      <c r="A18" s="35">
        <v>14</v>
      </c>
      <c r="B18" s="35" t="s">
        <v>131</v>
      </c>
      <c r="C18" s="35" t="s">
        <v>135</v>
      </c>
      <c r="D18" s="18" t="str">
        <f>IFERROR(INDEX(Reference!$E:$E,MATCH("Mutual Fund|"&amp;C18&amp;"|"&amp;B18,Reference!$A:$A,0)),"")</f>
        <v>Equity</v>
      </c>
      <c r="E18" s="18" t="str">
        <f>IFERROR(INDEX(Reference!$H:$H,MATCH("Mutual Fund|"&amp;C18&amp;"|"&amp;B18,Reference!$A:$A,0)),"")</f>
        <v>China Equity</v>
      </c>
      <c r="F18" s="18" t="str">
        <f>IFERROR(INDEX(Reference!$G:$G,MATCH("Mutual Fund|"&amp;C18&amp;"|"&amp;B18,Reference!$A:$A,0)),"")</f>
        <v>China</v>
      </c>
      <c r="G18" s="18" t="str">
        <f>IFERROR(INDEX(Reference!$I:$I,MATCH("Mutual Fund|"&amp;C18&amp;"|"&amp;B18,Reference!$A:$A,0)),"")</f>
        <v>Open-Ended</v>
      </c>
      <c r="H18" s="36">
        <v>44223</v>
      </c>
      <c r="I18" s="37">
        <v>2021</v>
      </c>
      <c r="J18" s="38" t="s">
        <v>256</v>
      </c>
      <c r="K18" s="39">
        <f t="shared" si="0"/>
        <v>5.3388090349075972</v>
      </c>
      <c r="L18" s="40">
        <v>14024.200500000001</v>
      </c>
      <c r="M18" s="40">
        <v>22.817699999999999</v>
      </c>
      <c r="N18" s="41">
        <f>IFERROR(INDEX(Prices!$E:$E,MATCH("Mutual Fund|"&amp;C18&amp;"|"&amp;B18,Prices!$A:$A,0)),0)</f>
        <v>9.7523999999999997</v>
      </c>
      <c r="O18" s="42">
        <v>320000</v>
      </c>
      <c r="P18" s="42">
        <f t="shared" si="1"/>
        <v>136769.6129562</v>
      </c>
      <c r="Q18" s="42">
        <f t="shared" si="2"/>
        <v>-183230.3870438</v>
      </c>
      <c r="R18" s="11">
        <f t="shared" si="3"/>
        <v>-0.572594959511875</v>
      </c>
      <c r="S18" s="35"/>
    </row>
    <row r="19" spans="1:19" ht="15" customHeight="1" x14ac:dyDescent="0.2">
      <c r="A19" s="35">
        <v>15</v>
      </c>
      <c r="B19" s="35" t="s">
        <v>151</v>
      </c>
      <c r="C19" s="35" t="s">
        <v>154</v>
      </c>
      <c r="D19" s="18" t="str">
        <f>IFERROR(INDEX(Reference!$E:$E,MATCH("Mutual Fund|"&amp;C19&amp;"|"&amp;B19,Reference!$A:$A,0)),"")</f>
        <v>Equity</v>
      </c>
      <c r="E19" s="18" t="str">
        <f>IFERROR(INDEX(Reference!$H:$H,MATCH("Mutual Fund|"&amp;C19&amp;"|"&amp;B19,Reference!$A:$A,0)),"")</f>
        <v>US Large Cap</v>
      </c>
      <c r="F19" s="18" t="str">
        <f>IFERROR(INDEX(Reference!$G:$G,MATCH("Mutual Fund|"&amp;C19&amp;"|"&amp;B19,Reference!$A:$A,0)),"")</f>
        <v>United States</v>
      </c>
      <c r="G19" s="18" t="str">
        <f>IFERROR(INDEX(Reference!$I:$I,MATCH("Mutual Fund|"&amp;C19&amp;"|"&amp;B19,Reference!$A:$A,0)),"")</f>
        <v>Open-Ended</v>
      </c>
      <c r="H19" s="36">
        <v>43847</v>
      </c>
      <c r="I19" s="37">
        <v>2020</v>
      </c>
      <c r="J19" s="38" t="s">
        <v>256</v>
      </c>
      <c r="K19" s="39">
        <f t="shared" si="0"/>
        <v>6.368240930869268</v>
      </c>
      <c r="L19" s="40">
        <v>61110.873399999997</v>
      </c>
      <c r="M19" s="40">
        <v>16.363700000000001</v>
      </c>
      <c r="N19" s="41">
        <f>IFERROR(INDEX(Prices!$E:$E,MATCH("Mutual Fund|"&amp;C19&amp;"|"&amp;B19,Prices!$A:$A,0)),0)</f>
        <v>12.122999999999999</v>
      </c>
      <c r="O19" s="42">
        <v>1000000</v>
      </c>
      <c r="P19" s="42">
        <f t="shared" si="1"/>
        <v>740847.11822819989</v>
      </c>
      <c r="Q19" s="42">
        <f t="shared" si="2"/>
        <v>-259152.88177180011</v>
      </c>
      <c r="R19" s="11">
        <f t="shared" si="3"/>
        <v>-0.25915288177180013</v>
      </c>
      <c r="S19" s="35"/>
    </row>
    <row r="20" spans="1:19" ht="15" customHeight="1" x14ac:dyDescent="0.2">
      <c r="A20" s="35">
        <v>16</v>
      </c>
      <c r="B20" s="35" t="s">
        <v>151</v>
      </c>
      <c r="C20" s="35" t="s">
        <v>150</v>
      </c>
      <c r="D20" s="18" t="str">
        <f>IFERROR(INDEX(Reference!$E:$E,MATCH("Mutual Fund|"&amp;C20&amp;"|"&amp;B20,Reference!$A:$A,0)),"")</f>
        <v>Equity</v>
      </c>
      <c r="E20" s="18" t="str">
        <f>IFERROR(INDEX(Reference!$H:$H,MATCH("Mutual Fund|"&amp;C20&amp;"|"&amp;B20,Reference!$A:$A,0)),"")</f>
        <v>China Equity</v>
      </c>
      <c r="F20" s="18" t="str">
        <f>IFERROR(INDEX(Reference!$G:$G,MATCH("Mutual Fund|"&amp;C20&amp;"|"&amp;B20,Reference!$A:$A,0)),"")</f>
        <v>China</v>
      </c>
      <c r="G20" s="18" t="str">
        <f>IFERROR(INDEX(Reference!$I:$I,MATCH("Mutual Fund|"&amp;C20&amp;"|"&amp;B20,Reference!$A:$A,0)),"")</f>
        <v>Open-Ended</v>
      </c>
      <c r="H20" s="36">
        <v>44203</v>
      </c>
      <c r="I20" s="37">
        <v>2021</v>
      </c>
      <c r="J20" s="38" t="s">
        <v>256</v>
      </c>
      <c r="K20" s="39">
        <f t="shared" si="0"/>
        <v>5.3935660506502394</v>
      </c>
      <c r="L20" s="40">
        <v>58910.161999999997</v>
      </c>
      <c r="M20" s="40">
        <v>16.975000000000001</v>
      </c>
      <c r="N20" s="41">
        <f>IFERROR(INDEX(Prices!$E:$E,MATCH("Mutual Fund|"&amp;C20&amp;"|"&amp;B20,Prices!$A:$A,0)),0)</f>
        <v>13.352499999999999</v>
      </c>
      <c r="O20" s="42">
        <v>1000000</v>
      </c>
      <c r="P20" s="42">
        <f t="shared" si="1"/>
        <v>786597.93810499995</v>
      </c>
      <c r="Q20" s="42">
        <f t="shared" si="2"/>
        <v>-213402.06189500005</v>
      </c>
      <c r="R20" s="11">
        <f t="shared" si="3"/>
        <v>-0.21340206189500005</v>
      </c>
      <c r="S20" s="35"/>
    </row>
    <row r="21" spans="1:19" ht="15" customHeight="1" x14ac:dyDescent="0.2">
      <c r="A21" s="35">
        <v>17</v>
      </c>
      <c r="B21" s="35" t="s">
        <v>151</v>
      </c>
      <c r="C21" s="35" t="s">
        <v>156</v>
      </c>
      <c r="D21" s="18" t="str">
        <f>IFERROR(INDEX(Reference!$E:$E,MATCH("Mutual Fund|"&amp;C21&amp;"|"&amp;B21,Reference!$A:$A,0)),"")</f>
        <v>Equity</v>
      </c>
      <c r="E21" s="18" t="str">
        <f>IFERROR(INDEX(Reference!$H:$H,MATCH("Mutual Fund|"&amp;C21&amp;"|"&amp;B21,Reference!$A:$A,0)),"")</f>
        <v>Vietnam Equity</v>
      </c>
      <c r="F21" s="18" t="str">
        <f>IFERROR(INDEX(Reference!$G:$G,MATCH("Mutual Fund|"&amp;C21&amp;"|"&amp;B21,Reference!$A:$A,0)),"")</f>
        <v>Vietnam</v>
      </c>
      <c r="G21" s="18" t="str">
        <f>IFERROR(INDEX(Reference!$I:$I,MATCH("Mutual Fund|"&amp;C21&amp;"|"&amp;B21,Reference!$A:$A,0)),"")</f>
        <v>Open-Ended</v>
      </c>
      <c r="H21" s="36">
        <v>45329</v>
      </c>
      <c r="I21" s="37">
        <v>2024</v>
      </c>
      <c r="J21" s="38" t="s">
        <v>256</v>
      </c>
      <c r="K21" s="39">
        <f t="shared" si="0"/>
        <v>2.3107460643394937</v>
      </c>
      <c r="L21" s="40">
        <v>8783.7374999999993</v>
      </c>
      <c r="M21" s="40">
        <v>13.1493</v>
      </c>
      <c r="N21" s="41">
        <f>IFERROR(INDEX(Prices!$E:$E,MATCH("Mutual Fund|"&amp;C21&amp;"|"&amp;B21,Prices!$A:$A,0)),0)</f>
        <v>14.027200000000001</v>
      </c>
      <c r="O21" s="42">
        <v>115500</v>
      </c>
      <c r="P21" s="42">
        <f t="shared" si="1"/>
        <v>123211.24265999999</v>
      </c>
      <c r="Q21" s="42">
        <f t="shared" si="2"/>
        <v>7711.242659999989</v>
      </c>
      <c r="R21" s="11">
        <f t="shared" si="3"/>
        <v>6.6764005714285618E-2</v>
      </c>
      <c r="S21" s="35"/>
    </row>
    <row r="22" spans="1:19" ht="15" customHeight="1" x14ac:dyDescent="0.2">
      <c r="A22" s="35">
        <v>18</v>
      </c>
      <c r="B22" s="35" t="s">
        <v>167</v>
      </c>
      <c r="C22" s="35" t="s">
        <v>168</v>
      </c>
      <c r="D22" s="18" t="str">
        <f>IFERROR(INDEX(Reference!$E:$E,MATCH("Mutual Fund|"&amp;C22&amp;"|"&amp;B22,Reference!$A:$A,0)),"")</f>
        <v>Alternatives</v>
      </c>
      <c r="E22" s="18" t="str">
        <f>IFERROR(INDEX(Reference!$H:$H,MATCH("Mutual Fund|"&amp;C22&amp;"|"&amp;B22,Reference!$A:$A,0)),"")</f>
        <v>Gold</v>
      </c>
      <c r="F22" s="18" t="str">
        <f>IFERROR(INDEX(Reference!$G:$G,MATCH("Mutual Fund|"&amp;C22&amp;"|"&amp;B22,Reference!$A:$A,0)),"")</f>
        <v>Global</v>
      </c>
      <c r="G22" s="18" t="str">
        <f>IFERROR(INDEX(Reference!$I:$I,MATCH("Mutual Fund|"&amp;C22&amp;"|"&amp;B22,Reference!$A:$A,0)),"")</f>
        <v>Open-Ended</v>
      </c>
      <c r="H22" s="36">
        <v>46028</v>
      </c>
      <c r="I22" s="37">
        <v>2026</v>
      </c>
      <c r="J22" s="38" t="s">
        <v>256</v>
      </c>
      <c r="K22" s="39">
        <f t="shared" si="0"/>
        <v>0.39698836413415467</v>
      </c>
      <c r="L22" s="40">
        <v>17947.392599999999</v>
      </c>
      <c r="M22" s="40">
        <v>27.859200000000001</v>
      </c>
      <c r="N22" s="41">
        <f>IFERROR(INDEX(Prices!$E:$E,MATCH("Mutual Fund|"&amp;C22&amp;"|"&amp;B22,Prices!$A:$A,0)),0)</f>
        <v>29.043199999999999</v>
      </c>
      <c r="O22" s="42">
        <v>500000</v>
      </c>
      <c r="P22" s="42">
        <f t="shared" si="1"/>
        <v>521249.71276031993</v>
      </c>
      <c r="Q22" s="42">
        <f t="shared" si="2"/>
        <v>21249.712760319933</v>
      </c>
      <c r="R22" s="11">
        <f t="shared" si="3"/>
        <v>4.2499425520639865E-2</v>
      </c>
      <c r="S22" s="35"/>
    </row>
    <row r="23" spans="1:19" ht="15" customHeight="1" x14ac:dyDescent="0.2">
      <c r="A23" s="35">
        <v>19</v>
      </c>
      <c r="B23" s="35" t="s">
        <v>160</v>
      </c>
      <c r="C23" s="35" t="s">
        <v>159</v>
      </c>
      <c r="D23" s="18" t="str">
        <f>IFERROR(INDEX(Reference!$E:$E,MATCH("Mutual Fund|"&amp;C23&amp;"|"&amp;B23,Reference!$A:$A,0)),"")</f>
        <v>Alternatives</v>
      </c>
      <c r="E23" s="18" t="str">
        <f>IFERROR(INDEX(Reference!$H:$H,MATCH("Mutual Fund|"&amp;C23&amp;"|"&amp;B23,Reference!$A:$A,0)),"")</f>
        <v>Gold</v>
      </c>
      <c r="F23" s="18" t="str">
        <f>IFERROR(INDEX(Reference!$G:$G,MATCH("Mutual Fund|"&amp;C23&amp;"|"&amp;B23,Reference!$A:$A,0)),"")</f>
        <v>Global</v>
      </c>
      <c r="G23" s="18" t="str">
        <f>IFERROR(INDEX(Reference!$I:$I,MATCH("Mutual Fund|"&amp;C23&amp;"|"&amp;B23,Reference!$A:$A,0)),"")</f>
        <v>Open-Ended</v>
      </c>
      <c r="H23" s="36">
        <v>44069</v>
      </c>
      <c r="I23" s="37">
        <v>2020</v>
      </c>
      <c r="J23" s="38" t="s">
        <v>256</v>
      </c>
      <c r="K23" s="39">
        <f t="shared" si="0"/>
        <v>5.760438056125941</v>
      </c>
      <c r="L23" s="40">
        <v>38.540399999999998</v>
      </c>
      <c r="M23" s="40">
        <v>10.3787</v>
      </c>
      <c r="N23" s="41">
        <f>IFERROR(INDEX(Prices!$E:$E,MATCH("Mutual Fund|"&amp;C23&amp;"|"&amp;B23,Prices!$A:$A,0)),0)</f>
        <v>20.101900000000001</v>
      </c>
      <c r="O23" s="42">
        <v>400</v>
      </c>
      <c r="P23" s="42">
        <f t="shared" si="1"/>
        <v>774.73526675999994</v>
      </c>
      <c r="Q23" s="42">
        <f t="shared" si="2"/>
        <v>374.73526675999994</v>
      </c>
      <c r="R23" s="11">
        <f t="shared" si="3"/>
        <v>0.93683816689999988</v>
      </c>
      <c r="S23" s="35"/>
    </row>
    <row r="24" spans="1:19" ht="15" customHeight="1" x14ac:dyDescent="0.2">
      <c r="A24" s="35">
        <v>20</v>
      </c>
      <c r="B24" s="35" t="s">
        <v>160</v>
      </c>
      <c r="C24" s="35" t="s">
        <v>162</v>
      </c>
      <c r="D24" s="18" t="str">
        <f>IFERROR(INDEX(Reference!$E:$E,MATCH("Mutual Fund|"&amp;C24&amp;"|"&amp;B24,Reference!$A:$A,0)),"")</f>
        <v>Equity</v>
      </c>
      <c r="E24" s="18" t="str">
        <f>IFERROR(INDEX(Reference!$H:$H,MATCH("Mutual Fund|"&amp;C24&amp;"|"&amp;B24,Reference!$A:$A,0)),"")</f>
        <v>Semiconductor</v>
      </c>
      <c r="F24" s="18" t="str">
        <f>IFERROR(INDEX(Reference!$G:$G,MATCH("Mutual Fund|"&amp;C24&amp;"|"&amp;B24,Reference!$A:$A,0)),"")</f>
        <v>Global</v>
      </c>
      <c r="G24" s="18" t="str">
        <f>IFERROR(INDEX(Reference!$I:$I,MATCH("Mutual Fund|"&amp;C24&amp;"|"&amp;B24,Reference!$A:$A,0)),"")</f>
        <v>Open-Ended</v>
      </c>
      <c r="H24" s="36">
        <v>45288</v>
      </c>
      <c r="I24" s="37">
        <v>2023</v>
      </c>
      <c r="J24" s="38" t="s">
        <v>256</v>
      </c>
      <c r="K24" s="39">
        <f t="shared" si="0"/>
        <v>2.4229979466119098</v>
      </c>
      <c r="L24" s="40">
        <v>882.05709999999999</v>
      </c>
      <c r="M24" s="40">
        <v>12.819599999999999</v>
      </c>
      <c r="N24" s="41">
        <f>IFERROR(INDEX(Prices!$E:$E,MATCH("Mutual Fund|"&amp;C24&amp;"|"&amp;B24,Prices!$A:$A,0)),0)</f>
        <v>37.634099999999997</v>
      </c>
      <c r="O24" s="42">
        <v>11307.62</v>
      </c>
      <c r="P24" s="42">
        <f t="shared" si="1"/>
        <v>33195.425107109993</v>
      </c>
      <c r="Q24" s="42">
        <f t="shared" si="2"/>
        <v>21887.805107109991</v>
      </c>
      <c r="R24" s="11">
        <f t="shared" si="3"/>
        <v>1.9356686117069719</v>
      </c>
      <c r="S24" s="35" t="s">
        <v>257</v>
      </c>
    </row>
    <row r="25" spans="1:19" ht="15" customHeight="1" x14ac:dyDescent="0.2">
      <c r="A25" s="35">
        <v>21</v>
      </c>
      <c r="B25" s="35" t="s">
        <v>160</v>
      </c>
      <c r="C25" s="35" t="s">
        <v>162</v>
      </c>
      <c r="D25" s="18" t="str">
        <f>IFERROR(INDEX(Reference!$E:$E,MATCH("Mutual Fund|"&amp;C25&amp;"|"&amp;B25,Reference!$A:$A,0)),"")</f>
        <v>Equity</v>
      </c>
      <c r="E25" s="18" t="str">
        <f>IFERROR(INDEX(Reference!$H:$H,MATCH("Mutual Fund|"&amp;C25&amp;"|"&amp;B25,Reference!$A:$A,0)),"")</f>
        <v>Semiconductor</v>
      </c>
      <c r="F25" s="18" t="str">
        <f>IFERROR(INDEX(Reference!$G:$G,MATCH("Mutual Fund|"&amp;C25&amp;"|"&amp;B25,Reference!$A:$A,0)),"")</f>
        <v>Global</v>
      </c>
      <c r="G25" s="18" t="str">
        <f>IFERROR(INDEX(Reference!$I:$I,MATCH("Mutual Fund|"&amp;C25&amp;"|"&amp;B25,Reference!$A:$A,0)),"")</f>
        <v>Open-Ended</v>
      </c>
      <c r="H25" s="36">
        <v>45414</v>
      </c>
      <c r="I25" s="37">
        <v>2024</v>
      </c>
      <c r="J25" s="38" t="s">
        <v>256</v>
      </c>
      <c r="K25" s="39">
        <f t="shared" si="0"/>
        <v>2.0780287474332648</v>
      </c>
      <c r="L25" s="40">
        <v>2994.3622999999998</v>
      </c>
      <c r="M25" s="40">
        <v>14.5273</v>
      </c>
      <c r="N25" s="41">
        <f>IFERROR(INDEX(Prices!$E:$E,MATCH("Mutual Fund|"&amp;C25&amp;"|"&amp;B25,Prices!$A:$A,0)),0)</f>
        <v>37.634099999999997</v>
      </c>
      <c r="O25" s="42">
        <v>43500</v>
      </c>
      <c r="P25" s="42">
        <f t="shared" si="1"/>
        <v>112690.13023442998</v>
      </c>
      <c r="Q25" s="42">
        <f t="shared" si="2"/>
        <v>69190.130234429977</v>
      </c>
      <c r="R25" s="11">
        <f t="shared" si="3"/>
        <v>1.5905777065386202</v>
      </c>
      <c r="S25" s="35" t="s">
        <v>257</v>
      </c>
    </row>
    <row r="26" spans="1:19" ht="15" customHeight="1" x14ac:dyDescent="0.2">
      <c r="A26" s="35">
        <v>22</v>
      </c>
      <c r="B26" s="35" t="s">
        <v>160</v>
      </c>
      <c r="C26" s="35" t="s">
        <v>161</v>
      </c>
      <c r="D26" s="18" t="str">
        <f>IFERROR(INDEX(Reference!$E:$E,MATCH("Mutual Fund|"&amp;C26&amp;"|"&amp;B26,Reference!$A:$A,0)),"")</f>
        <v>Equity</v>
      </c>
      <c r="E26" s="18" t="str">
        <f>IFERROR(INDEX(Reference!$H:$H,MATCH("Mutual Fund|"&amp;C26&amp;"|"&amp;B26,Reference!$A:$A,0)),"")</f>
        <v>Korea</v>
      </c>
      <c r="F26" s="18" t="str">
        <f>IFERROR(INDEX(Reference!$G:$G,MATCH("Mutual Fund|"&amp;C26&amp;"|"&amp;B26,Reference!$A:$A,0)),"")</f>
        <v>South Korea</v>
      </c>
      <c r="G26" s="18" t="str">
        <f>IFERROR(INDEX(Reference!$I:$I,MATCH("Mutual Fund|"&amp;C26&amp;"|"&amp;B26,Reference!$A:$A,0)),"")</f>
        <v>Open-Ended</v>
      </c>
      <c r="H26" s="36">
        <v>45887</v>
      </c>
      <c r="I26" s="37">
        <v>2025</v>
      </c>
      <c r="J26" s="38" t="s">
        <v>256</v>
      </c>
      <c r="K26" s="39">
        <f t="shared" si="0"/>
        <v>0.78302532511978096</v>
      </c>
      <c r="L26" s="40">
        <v>19650.998200000002</v>
      </c>
      <c r="M26" s="40">
        <v>10.1776</v>
      </c>
      <c r="N26" s="41">
        <f>IFERROR(INDEX(Prices!$E:$E,MATCH("Mutual Fund|"&amp;C26&amp;"|"&amp;B26,Prices!$A:$A,0)),0)</f>
        <v>28.2028</v>
      </c>
      <c r="O26" s="42">
        <v>200000</v>
      </c>
      <c r="P26" s="42">
        <f t="shared" si="1"/>
        <v>554213.17203496001</v>
      </c>
      <c r="Q26" s="42">
        <f t="shared" si="2"/>
        <v>354213.17203496001</v>
      </c>
      <c r="R26" s="11">
        <f t="shared" si="3"/>
        <v>1.7710658601747999</v>
      </c>
      <c r="S26" s="35" t="s">
        <v>257</v>
      </c>
    </row>
    <row r="27" spans="1:19" ht="15" customHeight="1" x14ac:dyDescent="0.2">
      <c r="A27" s="35">
        <v>23</v>
      </c>
      <c r="B27" s="35" t="s">
        <v>160</v>
      </c>
      <c r="C27" s="35" t="s">
        <v>161</v>
      </c>
      <c r="D27" s="18" t="str">
        <f>IFERROR(INDEX(Reference!$E:$E,MATCH("Mutual Fund|"&amp;C27&amp;"|"&amp;B27,Reference!$A:$A,0)),"")</f>
        <v>Equity</v>
      </c>
      <c r="E27" s="18" t="str">
        <f>IFERROR(INDEX(Reference!$H:$H,MATCH("Mutual Fund|"&amp;C27&amp;"|"&amp;B27,Reference!$A:$A,0)),"")</f>
        <v>Korea</v>
      </c>
      <c r="F27" s="18" t="str">
        <f>IFERROR(INDEX(Reference!$G:$G,MATCH("Mutual Fund|"&amp;C27&amp;"|"&amp;B27,Reference!$A:$A,0)),"")</f>
        <v>South Korea</v>
      </c>
      <c r="G27" s="18" t="str">
        <f>IFERROR(INDEX(Reference!$I:$I,MATCH("Mutual Fund|"&amp;C27&amp;"|"&amp;B27,Reference!$A:$A,0)),"")</f>
        <v>Open-Ended</v>
      </c>
      <c r="H27" s="36">
        <v>45964</v>
      </c>
      <c r="I27" s="37">
        <v>2025</v>
      </c>
      <c r="J27" s="38" t="s">
        <v>256</v>
      </c>
      <c r="K27" s="39">
        <f t="shared" si="0"/>
        <v>0.57221081451060918</v>
      </c>
      <c r="L27" s="40">
        <v>10067.8863</v>
      </c>
      <c r="M27" s="40">
        <v>13.9056</v>
      </c>
      <c r="N27" s="41">
        <f>IFERROR(INDEX(Prices!$E:$E,MATCH("Mutual Fund|"&amp;C27&amp;"|"&amp;B27,Prices!$A:$A,0)),0)</f>
        <v>28.2028</v>
      </c>
      <c r="O27" s="42">
        <v>140000</v>
      </c>
      <c r="P27" s="42">
        <f t="shared" si="1"/>
        <v>283942.58374163997</v>
      </c>
      <c r="Q27" s="42">
        <f t="shared" si="2"/>
        <v>143942.58374163997</v>
      </c>
      <c r="R27" s="11">
        <f t="shared" si="3"/>
        <v>1.0281613124402855</v>
      </c>
      <c r="S27" s="35" t="s">
        <v>257</v>
      </c>
    </row>
    <row r="28" spans="1:19" ht="15" customHeight="1" x14ac:dyDescent="0.2">
      <c r="A28" s="35">
        <v>24</v>
      </c>
      <c r="B28" s="35" t="s">
        <v>160</v>
      </c>
      <c r="C28" s="35" t="s">
        <v>161</v>
      </c>
      <c r="D28" s="18" t="str">
        <f>IFERROR(INDEX(Reference!$E:$E,MATCH("Mutual Fund|"&amp;C28&amp;"|"&amp;B28,Reference!$A:$A,0)),"")</f>
        <v>Equity</v>
      </c>
      <c r="E28" s="18" t="str">
        <f>IFERROR(INDEX(Reference!$H:$H,MATCH("Mutual Fund|"&amp;C28&amp;"|"&amp;B28,Reference!$A:$A,0)),"")</f>
        <v>Korea</v>
      </c>
      <c r="F28" s="18" t="str">
        <f>IFERROR(INDEX(Reference!$G:$G,MATCH("Mutual Fund|"&amp;C28&amp;"|"&amp;B28,Reference!$A:$A,0)),"")</f>
        <v>South Korea</v>
      </c>
      <c r="G28" s="18" t="str">
        <f>IFERROR(INDEX(Reference!$I:$I,MATCH("Mutual Fund|"&amp;C28&amp;"|"&amp;B28,Reference!$A:$A,0)),"")</f>
        <v>Open-Ended</v>
      </c>
      <c r="H28" s="36">
        <v>45964</v>
      </c>
      <c r="I28" s="37">
        <v>2025</v>
      </c>
      <c r="J28" s="38" t="s">
        <v>256</v>
      </c>
      <c r="K28" s="39">
        <f t="shared" si="0"/>
        <v>0.57221081451060918</v>
      </c>
      <c r="L28" s="40">
        <v>71913.473700000002</v>
      </c>
      <c r="M28" s="40">
        <v>13.9056</v>
      </c>
      <c r="N28" s="41">
        <f>IFERROR(INDEX(Prices!$E:$E,MATCH("Mutual Fund|"&amp;C28&amp;"|"&amp;B28,Prices!$A:$A,0)),0)</f>
        <v>28.2028</v>
      </c>
      <c r="O28" s="42">
        <v>1000000</v>
      </c>
      <c r="P28" s="42">
        <f t="shared" si="1"/>
        <v>2028161.3160663601</v>
      </c>
      <c r="Q28" s="42">
        <f t="shared" si="2"/>
        <v>1028161.3160663601</v>
      </c>
      <c r="R28" s="11">
        <f t="shared" si="3"/>
        <v>1.0281613160663601</v>
      </c>
      <c r="S28" s="35"/>
    </row>
    <row r="29" spans="1:19" ht="15" customHeight="1" x14ac:dyDescent="0.2">
      <c r="A29" s="35">
        <v>25</v>
      </c>
      <c r="B29" s="35" t="s">
        <v>160</v>
      </c>
      <c r="C29" s="35" t="s">
        <v>161</v>
      </c>
      <c r="D29" s="18" t="str">
        <f>IFERROR(INDEX(Reference!$E:$E,MATCH("Mutual Fund|"&amp;C29&amp;"|"&amp;B29,Reference!$A:$A,0)),"")</f>
        <v>Equity</v>
      </c>
      <c r="E29" s="18" t="str">
        <f>IFERROR(INDEX(Reference!$H:$H,MATCH("Mutual Fund|"&amp;C29&amp;"|"&amp;B29,Reference!$A:$A,0)),"")</f>
        <v>Korea</v>
      </c>
      <c r="F29" s="18" t="str">
        <f>IFERROR(INDEX(Reference!$G:$G,MATCH("Mutual Fund|"&amp;C29&amp;"|"&amp;B29,Reference!$A:$A,0)),"")</f>
        <v>South Korea</v>
      </c>
      <c r="G29" s="18" t="str">
        <f>IFERROR(INDEX(Reference!$I:$I,MATCH("Mutual Fund|"&amp;C29&amp;"|"&amp;B29,Reference!$A:$A,0)),"")</f>
        <v>Open-Ended</v>
      </c>
      <c r="H29" s="36">
        <v>46055</v>
      </c>
      <c r="I29" s="37">
        <v>2026</v>
      </c>
      <c r="J29" s="38" t="s">
        <v>256</v>
      </c>
      <c r="K29" s="39">
        <f t="shared" si="0"/>
        <v>0.32306639288158795</v>
      </c>
      <c r="L29" s="40">
        <v>7208.4627</v>
      </c>
      <c r="M29" s="40">
        <v>16.647099999999998</v>
      </c>
      <c r="N29" s="41">
        <f>IFERROR(INDEX(Prices!$E:$E,MATCH("Mutual Fund|"&amp;C29&amp;"|"&amp;B29,Prices!$A:$A,0)),0)</f>
        <v>28.2028</v>
      </c>
      <c r="O29" s="42">
        <v>120000</v>
      </c>
      <c r="P29" s="42">
        <f t="shared" si="1"/>
        <v>203298.83183556001</v>
      </c>
      <c r="Q29" s="42">
        <f t="shared" si="2"/>
        <v>83298.831835560006</v>
      </c>
      <c r="R29" s="11">
        <f t="shared" si="3"/>
        <v>0.6941569319630001</v>
      </c>
      <c r="S29" s="35" t="s">
        <v>257</v>
      </c>
    </row>
    <row r="30" spans="1:19" ht="15" customHeight="1" x14ac:dyDescent="0.2">
      <c r="A30" s="35">
        <v>26</v>
      </c>
      <c r="B30" s="35" t="s">
        <v>160</v>
      </c>
      <c r="C30" s="35" t="s">
        <v>161</v>
      </c>
      <c r="D30" s="18" t="str">
        <f>IFERROR(INDEX(Reference!$E:$E,MATCH("Mutual Fund|"&amp;C30&amp;"|"&amp;B30,Reference!$A:$A,0)),"")</f>
        <v>Equity</v>
      </c>
      <c r="E30" s="18" t="str">
        <f>IFERROR(INDEX(Reference!$H:$H,MATCH("Mutual Fund|"&amp;C30&amp;"|"&amp;B30,Reference!$A:$A,0)),"")</f>
        <v>Korea</v>
      </c>
      <c r="F30" s="18" t="str">
        <f>IFERROR(INDEX(Reference!$G:$G,MATCH("Mutual Fund|"&amp;C30&amp;"|"&amp;B30,Reference!$A:$A,0)),"")</f>
        <v>South Korea</v>
      </c>
      <c r="G30" s="18" t="str">
        <f>IFERROR(INDEX(Reference!$I:$I,MATCH("Mutual Fund|"&amp;C30&amp;"|"&amp;B30,Reference!$A:$A,0)),"")</f>
        <v>Open-Ended</v>
      </c>
      <c r="H30" s="36">
        <v>46071</v>
      </c>
      <c r="I30" s="37">
        <v>2026</v>
      </c>
      <c r="J30" s="38" t="s">
        <v>256</v>
      </c>
      <c r="K30" s="39">
        <f t="shared" si="0"/>
        <v>0.27926078028747431</v>
      </c>
      <c r="L30" s="40">
        <v>68660.569600000003</v>
      </c>
      <c r="M30" s="40">
        <v>18.205500000000001</v>
      </c>
      <c r="N30" s="41">
        <f>IFERROR(INDEX(Prices!$E:$E,MATCH("Mutual Fund|"&amp;C30&amp;"|"&amp;B30,Prices!$A:$A,0)),0)</f>
        <v>28.2028</v>
      </c>
      <c r="O30" s="42">
        <v>1250000</v>
      </c>
      <c r="P30" s="42">
        <f t="shared" si="1"/>
        <v>1936420.3123148801</v>
      </c>
      <c r="Q30" s="42">
        <f t="shared" si="2"/>
        <v>686420.31231488008</v>
      </c>
      <c r="R30" s="11">
        <f t="shared" si="3"/>
        <v>0.54913624985190401</v>
      </c>
      <c r="S30" s="35"/>
    </row>
    <row r="31" spans="1:19" ht="15" customHeight="1" x14ac:dyDescent="0.2">
      <c r="A31" s="35">
        <v>27</v>
      </c>
      <c r="B31" s="35" t="s">
        <v>160</v>
      </c>
      <c r="C31" s="35" t="s">
        <v>161</v>
      </c>
      <c r="D31" s="18" t="str">
        <f>IFERROR(INDEX(Reference!$E:$E,MATCH("Mutual Fund|"&amp;C31&amp;"|"&amp;B31,Reference!$A:$A,0)),"")</f>
        <v>Equity</v>
      </c>
      <c r="E31" s="18" t="str">
        <f>IFERROR(INDEX(Reference!$H:$H,MATCH("Mutual Fund|"&amp;C31&amp;"|"&amp;B31,Reference!$A:$A,0)),"")</f>
        <v>Korea</v>
      </c>
      <c r="F31" s="18" t="str">
        <f>IFERROR(INDEX(Reference!$G:$G,MATCH("Mutual Fund|"&amp;C31&amp;"|"&amp;B31,Reference!$A:$A,0)),"")</f>
        <v>South Korea</v>
      </c>
      <c r="G31" s="18" t="str">
        <f>IFERROR(INDEX(Reference!$I:$I,MATCH("Mutual Fund|"&amp;C31&amp;"|"&amp;B31,Reference!$A:$A,0)),"")</f>
        <v>Open-Ended</v>
      </c>
      <c r="H31" s="36">
        <v>46121</v>
      </c>
      <c r="I31" s="37">
        <v>2026</v>
      </c>
      <c r="J31" s="38" t="s">
        <v>256</v>
      </c>
      <c r="K31" s="39">
        <f t="shared" si="0"/>
        <v>0.14236824093086928</v>
      </c>
      <c r="L31" s="40">
        <v>6491.8067000000001</v>
      </c>
      <c r="M31" s="40">
        <v>19.100999999999999</v>
      </c>
      <c r="N31" s="41">
        <f>IFERROR(INDEX(Prices!$E:$E,MATCH("Mutual Fund|"&amp;C31&amp;"|"&amp;B31,Prices!$A:$A,0)),0)</f>
        <v>28.2028</v>
      </c>
      <c r="O31" s="42">
        <v>124000</v>
      </c>
      <c r="P31" s="42">
        <f t="shared" si="1"/>
        <v>183087.12599875999</v>
      </c>
      <c r="Q31" s="42">
        <f t="shared" si="2"/>
        <v>59087.125998759991</v>
      </c>
      <c r="R31" s="11">
        <f t="shared" si="3"/>
        <v>0.47650908063516123</v>
      </c>
      <c r="S31" s="35" t="s">
        <v>257</v>
      </c>
    </row>
    <row r="32" spans="1:19" ht="15" customHeight="1" x14ac:dyDescent="0.2">
      <c r="A32" s="35">
        <v>28</v>
      </c>
      <c r="B32" s="35" t="s">
        <v>158</v>
      </c>
      <c r="C32" s="35" t="s">
        <v>157</v>
      </c>
      <c r="D32" s="18" t="str">
        <f>IFERROR(INDEX(Reference!$E:$E,MATCH("Mutual Fund|"&amp;C32&amp;"|"&amp;B32,Reference!$A:$A,0)),"")</f>
        <v>Equity</v>
      </c>
      <c r="E32" s="18" t="str">
        <f>IFERROR(INDEX(Reference!$H:$H,MATCH("Mutual Fund|"&amp;C32&amp;"|"&amp;B32,Reference!$A:$A,0)),"")</f>
        <v>Thai SET50</v>
      </c>
      <c r="F32" s="18" t="str">
        <f>IFERROR(INDEX(Reference!$G:$G,MATCH("Mutual Fund|"&amp;C32&amp;"|"&amp;B32,Reference!$A:$A,0)),"")</f>
        <v>Thailand</v>
      </c>
      <c r="G32" s="18" t="str">
        <f>IFERROR(INDEX(Reference!$I:$I,MATCH("Mutual Fund|"&amp;C32&amp;"|"&amp;B32,Reference!$A:$A,0)),"")</f>
        <v>LTF</v>
      </c>
      <c r="H32" s="36">
        <v>43052</v>
      </c>
      <c r="I32" s="37">
        <v>2017</v>
      </c>
      <c r="J32" s="37">
        <v>2023</v>
      </c>
      <c r="K32" s="39">
        <f t="shared" si="0"/>
        <v>8.5448323066392877</v>
      </c>
      <c r="L32" s="40">
        <v>1907.9381000000001</v>
      </c>
      <c r="M32" s="40">
        <v>26.206299999999999</v>
      </c>
      <c r="N32" s="41">
        <f>IFERROR(INDEX(Prices!$E:$E,MATCH("Mutual Fund|"&amp;C32&amp;"|"&amp;B32,Prices!$A:$A,0)),0)</f>
        <v>16.9636</v>
      </c>
      <c r="O32" s="42">
        <v>50000</v>
      </c>
      <c r="P32" s="42">
        <f t="shared" si="1"/>
        <v>32365.498753160002</v>
      </c>
      <c r="Q32" s="42">
        <f t="shared" si="2"/>
        <v>-17634.501246839998</v>
      </c>
      <c r="R32" s="11">
        <f t="shared" si="3"/>
        <v>-0.35269002493679996</v>
      </c>
      <c r="S32" s="35"/>
    </row>
    <row r="33" spans="1:19" ht="15" customHeight="1" x14ac:dyDescent="0.2">
      <c r="A33" s="35">
        <v>29</v>
      </c>
      <c r="B33" s="35" t="s">
        <v>158</v>
      </c>
      <c r="C33" s="35" t="s">
        <v>157</v>
      </c>
      <c r="D33" s="18" t="str">
        <f>IFERROR(INDEX(Reference!$E:$E,MATCH("Mutual Fund|"&amp;C33&amp;"|"&amp;B33,Reference!$A:$A,0)),"")</f>
        <v>Equity</v>
      </c>
      <c r="E33" s="18" t="str">
        <f>IFERROR(INDEX(Reference!$H:$H,MATCH("Mutual Fund|"&amp;C33&amp;"|"&amp;B33,Reference!$A:$A,0)),"")</f>
        <v>Thai SET50</v>
      </c>
      <c r="F33" s="18" t="str">
        <f>IFERROR(INDEX(Reference!$G:$G,MATCH("Mutual Fund|"&amp;C33&amp;"|"&amp;B33,Reference!$A:$A,0)),"")</f>
        <v>Thailand</v>
      </c>
      <c r="G33" s="18" t="str">
        <f>IFERROR(INDEX(Reference!$I:$I,MATCH("Mutual Fund|"&amp;C33&amp;"|"&amp;B33,Reference!$A:$A,0)),"")</f>
        <v>LTF</v>
      </c>
      <c r="H33" s="36">
        <v>43095</v>
      </c>
      <c r="I33" s="37">
        <v>2017</v>
      </c>
      <c r="J33" s="37">
        <v>2023</v>
      </c>
      <c r="K33" s="39">
        <f t="shared" si="0"/>
        <v>8.4271047227926079</v>
      </c>
      <c r="L33" s="40">
        <v>3724.6999000000001</v>
      </c>
      <c r="M33" s="40">
        <v>26.847799999999999</v>
      </c>
      <c r="N33" s="41">
        <f>IFERROR(INDEX(Prices!$E:$E,MATCH("Mutual Fund|"&amp;C33&amp;"|"&amp;B33,Prices!$A:$A,0)),0)</f>
        <v>16.9636</v>
      </c>
      <c r="O33" s="42">
        <v>100000</v>
      </c>
      <c r="P33" s="42">
        <f t="shared" si="1"/>
        <v>63184.319223639999</v>
      </c>
      <c r="Q33" s="42">
        <f t="shared" si="2"/>
        <v>-36815.680776360001</v>
      </c>
      <c r="R33" s="11">
        <f t="shared" si="3"/>
        <v>-0.36815680776359999</v>
      </c>
      <c r="S33" s="35"/>
    </row>
    <row r="34" spans="1:19" ht="15" customHeight="1" x14ac:dyDescent="0.2">
      <c r="A34" s="35">
        <v>30</v>
      </c>
      <c r="B34" s="35" t="s">
        <v>158</v>
      </c>
      <c r="C34" s="35" t="s">
        <v>157</v>
      </c>
      <c r="D34" s="18" t="str">
        <f>IFERROR(INDEX(Reference!$E:$E,MATCH("Mutual Fund|"&amp;C34&amp;"|"&amp;B34,Reference!$A:$A,0)),"")</f>
        <v>Equity</v>
      </c>
      <c r="E34" s="18" t="str">
        <f>IFERROR(INDEX(Reference!$H:$H,MATCH("Mutual Fund|"&amp;C34&amp;"|"&amp;B34,Reference!$A:$A,0)),"")</f>
        <v>Thai SET50</v>
      </c>
      <c r="F34" s="18" t="str">
        <f>IFERROR(INDEX(Reference!$G:$G,MATCH("Mutual Fund|"&amp;C34&amp;"|"&amp;B34,Reference!$A:$A,0)),"")</f>
        <v>Thailand</v>
      </c>
      <c r="G34" s="18" t="str">
        <f>IFERROR(INDEX(Reference!$I:$I,MATCH("Mutual Fund|"&amp;C34&amp;"|"&amp;B34,Reference!$A:$A,0)),"")</f>
        <v>LTF</v>
      </c>
      <c r="H34" s="36">
        <v>43097</v>
      </c>
      <c r="I34" s="37">
        <v>2017</v>
      </c>
      <c r="J34" s="37">
        <v>2023</v>
      </c>
      <c r="K34" s="39">
        <f t="shared" si="0"/>
        <v>8.4216290212183438</v>
      </c>
      <c r="L34" s="40">
        <v>3713.317</v>
      </c>
      <c r="M34" s="40">
        <v>26.930099999999999</v>
      </c>
      <c r="N34" s="41">
        <f>IFERROR(INDEX(Prices!$E:$E,MATCH("Mutual Fund|"&amp;C34&amp;"|"&amp;B34,Prices!$A:$A,0)),0)</f>
        <v>16.9636</v>
      </c>
      <c r="O34" s="42">
        <v>100000</v>
      </c>
      <c r="P34" s="42">
        <f t="shared" si="1"/>
        <v>62991.224261199997</v>
      </c>
      <c r="Q34" s="42">
        <f t="shared" si="2"/>
        <v>-37008.775738800003</v>
      </c>
      <c r="R34" s="11">
        <f t="shared" si="3"/>
        <v>-0.37008775738800004</v>
      </c>
      <c r="S34" s="35"/>
    </row>
    <row r="35" spans="1:19" ht="15" customHeight="1" x14ac:dyDescent="0.2">
      <c r="A35" s="35">
        <v>31</v>
      </c>
      <c r="B35" s="35" t="s">
        <v>158</v>
      </c>
      <c r="C35" s="35" t="s">
        <v>157</v>
      </c>
      <c r="D35" s="18" t="str">
        <f>IFERROR(INDEX(Reference!$E:$E,MATCH("Mutual Fund|"&amp;C35&amp;"|"&amp;B35,Reference!$A:$A,0)),"")</f>
        <v>Equity</v>
      </c>
      <c r="E35" s="18" t="str">
        <f>IFERROR(INDEX(Reference!$H:$H,MATCH("Mutual Fund|"&amp;C35&amp;"|"&amp;B35,Reference!$A:$A,0)),"")</f>
        <v>Thai SET50</v>
      </c>
      <c r="F35" s="18" t="str">
        <f>IFERROR(INDEX(Reference!$G:$G,MATCH("Mutual Fund|"&amp;C35&amp;"|"&amp;B35,Reference!$A:$A,0)),"")</f>
        <v>Thailand</v>
      </c>
      <c r="G35" s="18" t="str">
        <f>IFERROR(INDEX(Reference!$I:$I,MATCH("Mutual Fund|"&amp;C35&amp;"|"&amp;B35,Reference!$A:$A,0)),"")</f>
        <v>LTF</v>
      </c>
      <c r="H35" s="36">
        <v>43384</v>
      </c>
      <c r="I35" s="37">
        <v>2018</v>
      </c>
      <c r="J35" s="37">
        <v>2024</v>
      </c>
      <c r="K35" s="39">
        <f t="shared" si="0"/>
        <v>7.6358658453114305</v>
      </c>
      <c r="L35" s="40">
        <v>2176.2170999999998</v>
      </c>
      <c r="M35" s="40">
        <v>24.813700000000001</v>
      </c>
      <c r="N35" s="41">
        <f>IFERROR(INDEX(Prices!$E:$E,MATCH("Mutual Fund|"&amp;C35&amp;"|"&amp;B35,Prices!$A:$A,0)),0)</f>
        <v>16.9636</v>
      </c>
      <c r="O35" s="42">
        <v>54000</v>
      </c>
      <c r="P35" s="42">
        <f t="shared" si="1"/>
        <v>36916.47639756</v>
      </c>
      <c r="Q35" s="42">
        <f t="shared" si="2"/>
        <v>-17083.52360244</v>
      </c>
      <c r="R35" s="11">
        <f t="shared" si="3"/>
        <v>-0.31636154819333334</v>
      </c>
      <c r="S35" s="35"/>
    </row>
    <row r="36" spans="1:19" ht="15" customHeight="1" x14ac:dyDescent="0.2">
      <c r="A36" s="35">
        <v>32</v>
      </c>
      <c r="B36" s="35" t="s">
        <v>158</v>
      </c>
      <c r="C36" s="35" t="s">
        <v>157</v>
      </c>
      <c r="D36" s="18" t="str">
        <f>IFERROR(INDEX(Reference!$E:$E,MATCH("Mutual Fund|"&amp;C36&amp;"|"&amp;B36,Reference!$A:$A,0)),"")</f>
        <v>Equity</v>
      </c>
      <c r="E36" s="18" t="str">
        <f>IFERROR(INDEX(Reference!$H:$H,MATCH("Mutual Fund|"&amp;C36&amp;"|"&amp;B36,Reference!$A:$A,0)),"")</f>
        <v>Thai SET50</v>
      </c>
      <c r="F36" s="18" t="str">
        <f>IFERROR(INDEX(Reference!$G:$G,MATCH("Mutual Fund|"&amp;C36&amp;"|"&amp;B36,Reference!$A:$A,0)),"")</f>
        <v>Thailand</v>
      </c>
      <c r="G36" s="18" t="str">
        <f>IFERROR(INDEX(Reference!$I:$I,MATCH("Mutual Fund|"&amp;C36&amp;"|"&amp;B36,Reference!$A:$A,0)),"")</f>
        <v>LTF</v>
      </c>
      <c r="H36" s="36">
        <v>43440</v>
      </c>
      <c r="I36" s="37">
        <v>2018</v>
      </c>
      <c r="J36" s="37">
        <v>2024</v>
      </c>
      <c r="K36" s="39">
        <f t="shared" si="0"/>
        <v>7.482546201232033</v>
      </c>
      <c r="L36" s="40">
        <v>2051.5176999999999</v>
      </c>
      <c r="M36" s="40">
        <v>24.372199999999999</v>
      </c>
      <c r="N36" s="41">
        <f>IFERROR(INDEX(Prices!$E:$E,MATCH("Mutual Fund|"&amp;C36&amp;"|"&amp;B36,Prices!$A:$A,0)),0)</f>
        <v>16.9636</v>
      </c>
      <c r="O36" s="42">
        <v>50000</v>
      </c>
      <c r="P36" s="42">
        <f t="shared" si="1"/>
        <v>34801.125655719996</v>
      </c>
      <c r="Q36" s="42">
        <f t="shared" si="2"/>
        <v>-15198.874344280004</v>
      </c>
      <c r="R36" s="11">
        <f t="shared" si="3"/>
        <v>-0.30397748688560006</v>
      </c>
      <c r="S36" s="35"/>
    </row>
    <row r="37" spans="1:19" ht="15" customHeight="1" x14ac:dyDescent="0.2">
      <c r="A37" s="35">
        <v>33</v>
      </c>
      <c r="B37" s="35" t="s">
        <v>141</v>
      </c>
      <c r="C37" s="35" t="s">
        <v>142</v>
      </c>
      <c r="D37" s="18" t="str">
        <f>IFERROR(INDEX(Reference!$E:$E,MATCH("Mutual Fund|"&amp;C37&amp;"|"&amp;B37,Reference!$A:$A,0)),"")</f>
        <v>Multi-Asset</v>
      </c>
      <c r="E37" s="18" t="str">
        <f>IFERROR(INDEX(Reference!$H:$H,MATCH("Mutual Fund|"&amp;C37&amp;"|"&amp;B37,Reference!$A:$A,0)),"")</f>
        <v>Thai Balanced</v>
      </c>
      <c r="F37" s="18" t="str">
        <f>IFERROR(INDEX(Reference!$G:$G,MATCH("Mutual Fund|"&amp;C37&amp;"|"&amp;B37,Reference!$A:$A,0)),"")</f>
        <v>Thailand</v>
      </c>
      <c r="G37" s="18" t="str">
        <f>IFERROR(INDEX(Reference!$I:$I,MATCH("Mutual Fund|"&amp;C37&amp;"|"&amp;B37,Reference!$A:$A,0)),"")</f>
        <v>LTF</v>
      </c>
      <c r="H37" s="36">
        <v>41968</v>
      </c>
      <c r="I37" s="37">
        <v>2014</v>
      </c>
      <c r="J37" s="37">
        <v>2018</v>
      </c>
      <c r="K37" s="39">
        <f t="shared" ref="K37:K68" si="4">IFERROR(IF(H37="","",(AsOfDate-H37)/365.25),"")</f>
        <v>11.512662559890487</v>
      </c>
      <c r="L37" s="40">
        <v>193.071</v>
      </c>
      <c r="M37" s="40">
        <v>25.897200000000002</v>
      </c>
      <c r="N37" s="41">
        <f>IFERROR(INDEX(Prices!$E:$E,MATCH("Mutual Fund|"&amp;C37&amp;"|"&amp;B37,Prices!$A:$A,0)),0)</f>
        <v>25.235099999999999</v>
      </c>
      <c r="O37" s="42">
        <v>5000</v>
      </c>
      <c r="P37" s="42">
        <f t="shared" ref="P37:P68" si="5">L37*N37</f>
        <v>4872.1659921</v>
      </c>
      <c r="Q37" s="42">
        <f t="shared" ref="Q37:Q68" si="6">P37-O37</f>
        <v>-127.83400789999996</v>
      </c>
      <c r="R37" s="11">
        <f t="shared" ref="R37:R68" si="7">IFERROR(Q37/O37,0)</f>
        <v>-2.5566801579999993E-2</v>
      </c>
      <c r="S37" s="35"/>
    </row>
    <row r="38" spans="1:19" ht="15" customHeight="1" x14ac:dyDescent="0.2">
      <c r="A38" s="35">
        <v>34</v>
      </c>
      <c r="B38" s="35" t="s">
        <v>141</v>
      </c>
      <c r="C38" s="35" t="s">
        <v>142</v>
      </c>
      <c r="D38" s="18" t="str">
        <f>IFERROR(INDEX(Reference!$E:$E,MATCH("Mutual Fund|"&amp;C38&amp;"|"&amp;B38,Reference!$A:$A,0)),"")</f>
        <v>Multi-Asset</v>
      </c>
      <c r="E38" s="18" t="str">
        <f>IFERROR(INDEX(Reference!$H:$H,MATCH("Mutual Fund|"&amp;C38&amp;"|"&amp;B38,Reference!$A:$A,0)),"")</f>
        <v>Thai Balanced</v>
      </c>
      <c r="F38" s="18" t="str">
        <f>IFERROR(INDEX(Reference!$G:$G,MATCH("Mutual Fund|"&amp;C38&amp;"|"&amp;B38,Reference!$A:$A,0)),"")</f>
        <v>Thailand</v>
      </c>
      <c r="G38" s="18" t="str">
        <f>IFERROR(INDEX(Reference!$I:$I,MATCH("Mutual Fund|"&amp;C38&amp;"|"&amp;B38,Reference!$A:$A,0)),"")</f>
        <v>LTF</v>
      </c>
      <c r="H38" s="36">
        <v>42255</v>
      </c>
      <c r="I38" s="37">
        <v>2015</v>
      </c>
      <c r="J38" s="37">
        <v>2019</v>
      </c>
      <c r="K38" s="39">
        <f t="shared" si="4"/>
        <v>10.726899383983573</v>
      </c>
      <c r="L38" s="40">
        <v>2043.7944</v>
      </c>
      <c r="M38" s="40">
        <v>24.464300000000001</v>
      </c>
      <c r="N38" s="41">
        <f>IFERROR(INDEX(Prices!$E:$E,MATCH("Mutual Fund|"&amp;C38&amp;"|"&amp;B38,Prices!$A:$A,0)),0)</f>
        <v>25.235099999999999</v>
      </c>
      <c r="O38" s="42">
        <v>50000</v>
      </c>
      <c r="P38" s="42">
        <f t="shared" si="5"/>
        <v>51575.356063439998</v>
      </c>
      <c r="Q38" s="42">
        <f t="shared" si="6"/>
        <v>1575.3560634399983</v>
      </c>
      <c r="R38" s="11">
        <f t="shared" si="7"/>
        <v>3.1507121268799967E-2</v>
      </c>
      <c r="S38" s="35"/>
    </row>
    <row r="39" spans="1:19" ht="15" customHeight="1" x14ac:dyDescent="0.2">
      <c r="A39" s="35">
        <v>35</v>
      </c>
      <c r="B39" s="35" t="s">
        <v>141</v>
      </c>
      <c r="C39" s="35" t="s">
        <v>142</v>
      </c>
      <c r="D39" s="18" t="str">
        <f>IFERROR(INDEX(Reference!$E:$E,MATCH("Mutual Fund|"&amp;C39&amp;"|"&amp;B39,Reference!$A:$A,0)),"")</f>
        <v>Multi-Asset</v>
      </c>
      <c r="E39" s="18" t="str">
        <f>IFERROR(INDEX(Reference!$H:$H,MATCH("Mutual Fund|"&amp;C39&amp;"|"&amp;B39,Reference!$A:$A,0)),"")</f>
        <v>Thai Balanced</v>
      </c>
      <c r="F39" s="18" t="str">
        <f>IFERROR(INDEX(Reference!$G:$G,MATCH("Mutual Fund|"&amp;C39&amp;"|"&amp;B39,Reference!$A:$A,0)),"")</f>
        <v>Thailand</v>
      </c>
      <c r="G39" s="18" t="str">
        <f>IFERROR(INDEX(Reference!$I:$I,MATCH("Mutual Fund|"&amp;C39&amp;"|"&amp;B39,Reference!$A:$A,0)),"")</f>
        <v>LTF</v>
      </c>
      <c r="H39" s="36">
        <v>42545</v>
      </c>
      <c r="I39" s="37">
        <v>2016</v>
      </c>
      <c r="J39" s="37">
        <v>2022</v>
      </c>
      <c r="K39" s="39">
        <f t="shared" si="4"/>
        <v>9.932922655715263</v>
      </c>
      <c r="L39" s="40">
        <v>1945.0636</v>
      </c>
      <c r="M39" s="40">
        <v>25.706099999999999</v>
      </c>
      <c r="N39" s="41">
        <f>IFERROR(INDEX(Prices!$E:$E,MATCH("Mutual Fund|"&amp;C39&amp;"|"&amp;B39,Prices!$A:$A,0)),0)</f>
        <v>25.235099999999999</v>
      </c>
      <c r="O39" s="42">
        <v>50000</v>
      </c>
      <c r="P39" s="42">
        <f t="shared" si="5"/>
        <v>49083.874452359996</v>
      </c>
      <c r="Q39" s="42">
        <f t="shared" si="6"/>
        <v>-916.12554764000379</v>
      </c>
      <c r="R39" s="11">
        <f t="shared" si="7"/>
        <v>-1.8322510952800075E-2</v>
      </c>
      <c r="S39" s="35"/>
    </row>
    <row r="40" spans="1:19" ht="15" customHeight="1" x14ac:dyDescent="0.2">
      <c r="A40" s="35">
        <v>36</v>
      </c>
      <c r="B40" s="35" t="s">
        <v>141</v>
      </c>
      <c r="C40" s="35" t="s">
        <v>142</v>
      </c>
      <c r="D40" s="18" t="str">
        <f>IFERROR(INDEX(Reference!$E:$E,MATCH("Mutual Fund|"&amp;C40&amp;"|"&amp;B40,Reference!$A:$A,0)),"")</f>
        <v>Multi-Asset</v>
      </c>
      <c r="E40" s="18" t="str">
        <f>IFERROR(INDEX(Reference!$H:$H,MATCH("Mutual Fund|"&amp;C40&amp;"|"&amp;B40,Reference!$A:$A,0)),"")</f>
        <v>Thai Balanced</v>
      </c>
      <c r="F40" s="18" t="str">
        <f>IFERROR(INDEX(Reference!$G:$G,MATCH("Mutual Fund|"&amp;C40&amp;"|"&amp;B40,Reference!$A:$A,0)),"")</f>
        <v>Thailand</v>
      </c>
      <c r="G40" s="18" t="str">
        <f>IFERROR(INDEX(Reference!$I:$I,MATCH("Mutual Fund|"&amp;C40&amp;"|"&amp;B40,Reference!$A:$A,0)),"")</f>
        <v>LTF</v>
      </c>
      <c r="H40" s="36">
        <v>42683</v>
      </c>
      <c r="I40" s="37">
        <v>2016</v>
      </c>
      <c r="J40" s="37">
        <v>2022</v>
      </c>
      <c r="K40" s="39">
        <f t="shared" si="4"/>
        <v>9.5550992470910341</v>
      </c>
      <c r="L40" s="40">
        <v>1760.3340000000001</v>
      </c>
      <c r="M40" s="40">
        <v>28.403700000000001</v>
      </c>
      <c r="N40" s="41">
        <f>IFERROR(INDEX(Prices!$E:$E,MATCH("Mutual Fund|"&amp;C40&amp;"|"&amp;B40,Prices!$A:$A,0)),0)</f>
        <v>25.235099999999999</v>
      </c>
      <c r="O40" s="42">
        <v>50000</v>
      </c>
      <c r="P40" s="42">
        <f t="shared" si="5"/>
        <v>44422.204523400003</v>
      </c>
      <c r="Q40" s="42">
        <f t="shared" si="6"/>
        <v>-5577.7954765999966</v>
      </c>
      <c r="R40" s="11">
        <f t="shared" si="7"/>
        <v>-0.11155590953199994</v>
      </c>
      <c r="S40" s="35"/>
    </row>
    <row r="41" spans="1:19" ht="15" customHeight="1" x14ac:dyDescent="0.2">
      <c r="A41" s="35">
        <v>37</v>
      </c>
      <c r="B41" s="35" t="s">
        <v>141</v>
      </c>
      <c r="C41" s="35" t="s">
        <v>142</v>
      </c>
      <c r="D41" s="18" t="str">
        <f>IFERROR(INDEX(Reference!$E:$E,MATCH("Mutual Fund|"&amp;C41&amp;"|"&amp;B41,Reference!$A:$A,0)),"")</f>
        <v>Multi-Asset</v>
      </c>
      <c r="E41" s="18" t="str">
        <f>IFERROR(INDEX(Reference!$H:$H,MATCH("Mutual Fund|"&amp;C41&amp;"|"&amp;B41,Reference!$A:$A,0)),"")</f>
        <v>Thai Balanced</v>
      </c>
      <c r="F41" s="18" t="str">
        <f>IFERROR(INDEX(Reference!$G:$G,MATCH("Mutual Fund|"&amp;C41&amp;"|"&amp;B41,Reference!$A:$A,0)),"")</f>
        <v>Thailand</v>
      </c>
      <c r="G41" s="18" t="str">
        <f>IFERROR(INDEX(Reference!$I:$I,MATCH("Mutual Fund|"&amp;C41&amp;"|"&amp;B41,Reference!$A:$A,0)),"")</f>
        <v>LTF</v>
      </c>
      <c r="H41" s="36">
        <v>42688</v>
      </c>
      <c r="I41" s="37">
        <v>2016</v>
      </c>
      <c r="J41" s="37">
        <v>2022</v>
      </c>
      <c r="K41" s="39">
        <f t="shared" si="4"/>
        <v>9.5414099931553729</v>
      </c>
      <c r="L41" s="40">
        <v>1786.5373</v>
      </c>
      <c r="M41" s="40">
        <v>27.987100000000002</v>
      </c>
      <c r="N41" s="41">
        <f>IFERROR(INDEX(Prices!$E:$E,MATCH("Mutual Fund|"&amp;C41&amp;"|"&amp;B41,Prices!$A:$A,0)),0)</f>
        <v>25.235099999999999</v>
      </c>
      <c r="O41" s="42">
        <v>50000</v>
      </c>
      <c r="P41" s="42">
        <f t="shared" si="5"/>
        <v>45083.447419229997</v>
      </c>
      <c r="Q41" s="42">
        <f t="shared" si="6"/>
        <v>-4916.5525807700033</v>
      </c>
      <c r="R41" s="11">
        <f t="shared" si="7"/>
        <v>-9.8331051615400067E-2</v>
      </c>
      <c r="S41" s="35"/>
    </row>
    <row r="42" spans="1:19" ht="15" customHeight="1" x14ac:dyDescent="0.2">
      <c r="A42" s="35">
        <v>38</v>
      </c>
      <c r="B42" s="35" t="s">
        <v>141</v>
      </c>
      <c r="C42" s="35" t="s">
        <v>140</v>
      </c>
      <c r="D42" s="18" t="str">
        <f>IFERROR(INDEX(Reference!$E:$E,MATCH("Mutual Fund|"&amp;C42&amp;"|"&amp;B42,Reference!$A:$A,0)),"")</f>
        <v>Equity</v>
      </c>
      <c r="E42" s="18" t="str">
        <f>IFERROR(INDEX(Reference!$H:$H,MATCH("Mutual Fund|"&amp;C42&amp;"|"&amp;B42,Reference!$A:$A,0)),"")</f>
        <v>Thai Equity</v>
      </c>
      <c r="F42" s="18" t="str">
        <f>IFERROR(INDEX(Reference!$G:$G,MATCH("Mutual Fund|"&amp;C42&amp;"|"&amp;B42,Reference!$A:$A,0)),"")</f>
        <v>Thailand</v>
      </c>
      <c r="G42" s="18" t="str">
        <f>IFERROR(INDEX(Reference!$I:$I,MATCH("Mutual Fund|"&amp;C42&amp;"|"&amp;B42,Reference!$A:$A,0)),"")</f>
        <v>LTF</v>
      </c>
      <c r="H42" s="36">
        <v>41968</v>
      </c>
      <c r="I42" s="37">
        <v>2014</v>
      </c>
      <c r="J42" s="37">
        <v>2018</v>
      </c>
      <c r="K42" s="39">
        <f t="shared" si="4"/>
        <v>11.512662559890487</v>
      </c>
      <c r="L42" s="40">
        <v>135.76660000000001</v>
      </c>
      <c r="M42" s="40">
        <v>36.8279</v>
      </c>
      <c r="N42" s="41">
        <f>IFERROR(INDEX(Prices!$E:$E,MATCH("Mutual Fund|"&amp;C42&amp;"|"&amp;B42,Prices!$A:$A,0)),0)</f>
        <v>35.9236</v>
      </c>
      <c r="O42" s="42">
        <v>5000</v>
      </c>
      <c r="P42" s="42">
        <f t="shared" si="5"/>
        <v>4877.2250317600001</v>
      </c>
      <c r="Q42" s="42">
        <f t="shared" si="6"/>
        <v>-122.77496823999991</v>
      </c>
      <c r="R42" s="11">
        <f t="shared" si="7"/>
        <v>-2.4554993647999981E-2</v>
      </c>
      <c r="S42" s="35"/>
    </row>
    <row r="43" spans="1:19" ht="15" customHeight="1" x14ac:dyDescent="0.2">
      <c r="A43" s="35">
        <v>39</v>
      </c>
      <c r="B43" s="35" t="s">
        <v>141</v>
      </c>
      <c r="C43" s="35" t="s">
        <v>140</v>
      </c>
      <c r="D43" s="18" t="str">
        <f>IFERROR(INDEX(Reference!$E:$E,MATCH("Mutual Fund|"&amp;C43&amp;"|"&amp;B43,Reference!$A:$A,0)),"")</f>
        <v>Equity</v>
      </c>
      <c r="E43" s="18" t="str">
        <f>IFERROR(INDEX(Reference!$H:$H,MATCH("Mutual Fund|"&amp;C43&amp;"|"&amp;B43,Reference!$A:$A,0)),"")</f>
        <v>Thai Equity</v>
      </c>
      <c r="F43" s="18" t="str">
        <f>IFERROR(INDEX(Reference!$G:$G,MATCH("Mutual Fund|"&amp;C43&amp;"|"&amp;B43,Reference!$A:$A,0)),"")</f>
        <v>Thailand</v>
      </c>
      <c r="G43" s="18" t="str">
        <f>IFERROR(INDEX(Reference!$I:$I,MATCH("Mutual Fund|"&amp;C43&amp;"|"&amp;B43,Reference!$A:$A,0)),"")</f>
        <v>LTF</v>
      </c>
      <c r="H43" s="36">
        <v>42191</v>
      </c>
      <c r="I43" s="37">
        <v>2015</v>
      </c>
      <c r="J43" s="37">
        <v>2019</v>
      </c>
      <c r="K43" s="39">
        <f t="shared" si="4"/>
        <v>10.902121834360027</v>
      </c>
      <c r="L43" s="40">
        <v>1414.6392000000001</v>
      </c>
      <c r="M43" s="40">
        <v>35.344700000000003</v>
      </c>
      <c r="N43" s="41">
        <f>IFERROR(INDEX(Prices!$E:$E,MATCH("Mutual Fund|"&amp;C43&amp;"|"&amp;B43,Prices!$A:$A,0)),0)</f>
        <v>35.9236</v>
      </c>
      <c r="O43" s="42">
        <v>50000</v>
      </c>
      <c r="P43" s="42">
        <f t="shared" si="5"/>
        <v>50818.93276512</v>
      </c>
      <c r="Q43" s="42">
        <f t="shared" si="6"/>
        <v>818.93276512000011</v>
      </c>
      <c r="R43" s="11">
        <f t="shared" si="7"/>
        <v>1.6378655302400003E-2</v>
      </c>
      <c r="S43" s="35"/>
    </row>
    <row r="44" spans="1:19" ht="15" customHeight="1" x14ac:dyDescent="0.2">
      <c r="A44" s="35">
        <v>40</v>
      </c>
      <c r="B44" s="35" t="s">
        <v>141</v>
      </c>
      <c r="C44" s="35" t="s">
        <v>140</v>
      </c>
      <c r="D44" s="18" t="str">
        <f>IFERROR(INDEX(Reference!$E:$E,MATCH("Mutual Fund|"&amp;C44&amp;"|"&amp;B44,Reference!$A:$A,0)),"")</f>
        <v>Equity</v>
      </c>
      <c r="E44" s="18" t="str">
        <f>IFERROR(INDEX(Reference!$H:$H,MATCH("Mutual Fund|"&amp;C44&amp;"|"&amp;B44,Reference!$A:$A,0)),"")</f>
        <v>Thai Equity</v>
      </c>
      <c r="F44" s="18" t="str">
        <f>IFERROR(INDEX(Reference!$G:$G,MATCH("Mutual Fund|"&amp;C44&amp;"|"&amp;B44,Reference!$A:$A,0)),"")</f>
        <v>Thailand</v>
      </c>
      <c r="G44" s="18" t="str">
        <f>IFERROR(INDEX(Reference!$I:$I,MATCH("Mutual Fund|"&amp;C44&amp;"|"&amp;B44,Reference!$A:$A,0)),"")</f>
        <v>LTF</v>
      </c>
      <c r="H44" s="36">
        <v>42545</v>
      </c>
      <c r="I44" s="37">
        <v>2016</v>
      </c>
      <c r="J44" s="37">
        <v>2022</v>
      </c>
      <c r="K44" s="39">
        <f t="shared" si="4"/>
        <v>9.932922655715263</v>
      </c>
      <c r="L44" s="40">
        <v>1396.3945000000001</v>
      </c>
      <c r="M44" s="40">
        <v>35.8065</v>
      </c>
      <c r="N44" s="41">
        <f>IFERROR(INDEX(Prices!$E:$E,MATCH("Mutual Fund|"&amp;C44&amp;"|"&amp;B44,Prices!$A:$A,0)),0)</f>
        <v>35.9236</v>
      </c>
      <c r="O44" s="42">
        <v>50000</v>
      </c>
      <c r="P44" s="42">
        <f t="shared" si="5"/>
        <v>50163.517460200004</v>
      </c>
      <c r="Q44" s="42">
        <f t="shared" si="6"/>
        <v>163.51746020000428</v>
      </c>
      <c r="R44" s="11">
        <f t="shared" si="7"/>
        <v>3.2703492040000856E-3</v>
      </c>
      <c r="S44" s="35"/>
    </row>
    <row r="45" spans="1:19" ht="15" customHeight="1" x14ac:dyDescent="0.2">
      <c r="A45" s="35">
        <v>41</v>
      </c>
      <c r="B45" s="35" t="s">
        <v>141</v>
      </c>
      <c r="C45" s="35" t="s">
        <v>140</v>
      </c>
      <c r="D45" s="18" t="str">
        <f>IFERROR(INDEX(Reference!$E:$E,MATCH("Mutual Fund|"&amp;C45&amp;"|"&amp;B45,Reference!$A:$A,0)),"")</f>
        <v>Equity</v>
      </c>
      <c r="E45" s="18" t="str">
        <f>IFERROR(INDEX(Reference!$H:$H,MATCH("Mutual Fund|"&amp;C45&amp;"|"&amp;B45,Reference!$A:$A,0)),"")</f>
        <v>Thai Equity</v>
      </c>
      <c r="F45" s="18" t="str">
        <f>IFERROR(INDEX(Reference!$G:$G,MATCH("Mutual Fund|"&amp;C45&amp;"|"&amp;B45,Reference!$A:$A,0)),"")</f>
        <v>Thailand</v>
      </c>
      <c r="G45" s="18" t="str">
        <f>IFERROR(INDEX(Reference!$I:$I,MATCH("Mutual Fund|"&amp;C45&amp;"|"&amp;B45,Reference!$A:$A,0)),"")</f>
        <v>LTF</v>
      </c>
      <c r="H45" s="36">
        <v>42621</v>
      </c>
      <c r="I45" s="37">
        <v>2016</v>
      </c>
      <c r="J45" s="37">
        <v>2022</v>
      </c>
      <c r="K45" s="39">
        <f t="shared" si="4"/>
        <v>9.7248459958932241</v>
      </c>
      <c r="L45" s="40">
        <v>1326.2634</v>
      </c>
      <c r="M45" s="40">
        <v>37.6999</v>
      </c>
      <c r="N45" s="41">
        <f>IFERROR(INDEX(Prices!$E:$E,MATCH("Mutual Fund|"&amp;C45&amp;"|"&amp;B45,Prices!$A:$A,0)),0)</f>
        <v>35.9236</v>
      </c>
      <c r="O45" s="42">
        <v>50000</v>
      </c>
      <c r="P45" s="42">
        <f t="shared" si="5"/>
        <v>47644.155876240002</v>
      </c>
      <c r="Q45" s="42">
        <f t="shared" si="6"/>
        <v>-2355.8441237599982</v>
      </c>
      <c r="R45" s="11">
        <f t="shared" si="7"/>
        <v>-4.7116882475199962E-2</v>
      </c>
      <c r="S45" s="35"/>
    </row>
    <row r="46" spans="1:19" ht="15" customHeight="1" x14ac:dyDescent="0.2">
      <c r="A46" s="35">
        <v>42</v>
      </c>
      <c r="B46" s="35" t="s">
        <v>141</v>
      </c>
      <c r="C46" s="35" t="s">
        <v>140</v>
      </c>
      <c r="D46" s="18" t="str">
        <f>IFERROR(INDEX(Reference!$E:$E,MATCH("Mutual Fund|"&amp;C46&amp;"|"&amp;B46,Reference!$A:$A,0)),"")</f>
        <v>Equity</v>
      </c>
      <c r="E46" s="18" t="str">
        <f>IFERROR(INDEX(Reference!$H:$H,MATCH("Mutual Fund|"&amp;C46&amp;"|"&amp;B46,Reference!$A:$A,0)),"")</f>
        <v>Thai Equity</v>
      </c>
      <c r="F46" s="18" t="str">
        <f>IFERROR(INDEX(Reference!$G:$G,MATCH("Mutual Fund|"&amp;C46&amp;"|"&amp;B46,Reference!$A:$A,0)),"")</f>
        <v>Thailand</v>
      </c>
      <c r="G46" s="18" t="str">
        <f>IFERROR(INDEX(Reference!$I:$I,MATCH("Mutual Fund|"&amp;C46&amp;"|"&amp;B46,Reference!$A:$A,0)),"")</f>
        <v>LTF</v>
      </c>
      <c r="H46" s="36">
        <v>42683</v>
      </c>
      <c r="I46" s="37">
        <v>2016</v>
      </c>
      <c r="J46" s="37">
        <v>2022</v>
      </c>
      <c r="K46" s="39">
        <f t="shared" si="4"/>
        <v>9.5550992470910341</v>
      </c>
      <c r="L46" s="40">
        <v>1245.7239999999999</v>
      </c>
      <c r="M46" s="40">
        <v>40.137300000000003</v>
      </c>
      <c r="N46" s="41">
        <f>IFERROR(INDEX(Prices!$E:$E,MATCH("Mutual Fund|"&amp;C46&amp;"|"&amp;B46,Prices!$A:$A,0)),0)</f>
        <v>35.9236</v>
      </c>
      <c r="O46" s="42">
        <v>50000</v>
      </c>
      <c r="P46" s="42">
        <f t="shared" si="5"/>
        <v>44750.890686399995</v>
      </c>
      <c r="Q46" s="42">
        <f t="shared" si="6"/>
        <v>-5249.1093136000054</v>
      </c>
      <c r="R46" s="11">
        <f t="shared" si="7"/>
        <v>-0.10498218627200011</v>
      </c>
      <c r="S46" s="35"/>
    </row>
    <row r="47" spans="1:19" ht="15" customHeight="1" x14ac:dyDescent="0.2">
      <c r="A47" s="35">
        <v>43</v>
      </c>
      <c r="B47" s="35" t="s">
        <v>141</v>
      </c>
      <c r="C47" s="35" t="s">
        <v>140</v>
      </c>
      <c r="D47" s="18" t="str">
        <f>IFERROR(INDEX(Reference!$E:$E,MATCH("Mutual Fund|"&amp;C47&amp;"|"&amp;B47,Reference!$A:$A,0)),"")</f>
        <v>Equity</v>
      </c>
      <c r="E47" s="18" t="str">
        <f>IFERROR(INDEX(Reference!$H:$H,MATCH("Mutual Fund|"&amp;C47&amp;"|"&amp;B47,Reference!$A:$A,0)),"")</f>
        <v>Thai Equity</v>
      </c>
      <c r="F47" s="18" t="str">
        <f>IFERROR(INDEX(Reference!$G:$G,MATCH("Mutual Fund|"&amp;C47&amp;"|"&amp;B47,Reference!$A:$A,0)),"")</f>
        <v>Thailand</v>
      </c>
      <c r="G47" s="18" t="str">
        <f>IFERROR(INDEX(Reference!$I:$I,MATCH("Mutual Fund|"&amp;C47&amp;"|"&amp;B47,Reference!$A:$A,0)),"")</f>
        <v>LTF</v>
      </c>
      <c r="H47" s="36">
        <v>42688</v>
      </c>
      <c r="I47" s="37">
        <v>2016</v>
      </c>
      <c r="J47" s="37">
        <v>2022</v>
      </c>
      <c r="K47" s="39">
        <f t="shared" si="4"/>
        <v>9.5414099931553729</v>
      </c>
      <c r="L47" s="40">
        <v>1268.2114999999999</v>
      </c>
      <c r="M47" s="40">
        <v>39.425600000000003</v>
      </c>
      <c r="N47" s="41">
        <f>IFERROR(INDEX(Prices!$E:$E,MATCH("Mutual Fund|"&amp;C47&amp;"|"&amp;B47,Prices!$A:$A,0)),0)</f>
        <v>35.9236</v>
      </c>
      <c r="O47" s="42">
        <v>50000</v>
      </c>
      <c r="P47" s="42">
        <f t="shared" si="5"/>
        <v>45558.722641399996</v>
      </c>
      <c r="Q47" s="42">
        <f t="shared" si="6"/>
        <v>-4441.2773586000039</v>
      </c>
      <c r="R47" s="11">
        <f t="shared" si="7"/>
        <v>-8.8825547172000086E-2</v>
      </c>
      <c r="S47" s="35"/>
    </row>
    <row r="48" spans="1:19" ht="15" customHeight="1" x14ac:dyDescent="0.2">
      <c r="A48" s="35">
        <v>44</v>
      </c>
      <c r="B48" s="35" t="s">
        <v>141</v>
      </c>
      <c r="C48" s="35" t="s">
        <v>140</v>
      </c>
      <c r="D48" s="18" t="str">
        <f>IFERROR(INDEX(Reference!$E:$E,MATCH("Mutual Fund|"&amp;C48&amp;"|"&amp;B48,Reference!$A:$A,0)),"")</f>
        <v>Equity</v>
      </c>
      <c r="E48" s="18" t="str">
        <f>IFERROR(INDEX(Reference!$H:$H,MATCH("Mutual Fund|"&amp;C48&amp;"|"&amp;B48,Reference!$A:$A,0)),"")</f>
        <v>Thai Equity</v>
      </c>
      <c r="F48" s="18" t="str">
        <f>IFERROR(INDEX(Reference!$G:$G,MATCH("Mutual Fund|"&amp;C48&amp;"|"&amp;B48,Reference!$A:$A,0)),"")</f>
        <v>Thailand</v>
      </c>
      <c r="G48" s="18" t="str">
        <f>IFERROR(INDEX(Reference!$I:$I,MATCH("Mutual Fund|"&amp;C48&amp;"|"&amp;B48,Reference!$A:$A,0)),"")</f>
        <v>LTF</v>
      </c>
      <c r="H48" s="36">
        <v>42726</v>
      </c>
      <c r="I48" s="37">
        <v>2016</v>
      </c>
      <c r="J48" s="37">
        <v>2022</v>
      </c>
      <c r="K48" s="39">
        <f t="shared" si="4"/>
        <v>9.4373716632443525</v>
      </c>
      <c r="L48" s="40">
        <v>1269.2707</v>
      </c>
      <c r="M48" s="40">
        <v>39.392699999999998</v>
      </c>
      <c r="N48" s="41">
        <f>IFERROR(INDEX(Prices!$E:$E,MATCH("Mutual Fund|"&amp;C48&amp;"|"&amp;B48,Prices!$A:$A,0)),0)</f>
        <v>35.9236</v>
      </c>
      <c r="O48" s="42">
        <v>50000</v>
      </c>
      <c r="P48" s="42">
        <f t="shared" si="5"/>
        <v>45596.772918520001</v>
      </c>
      <c r="Q48" s="42">
        <f t="shared" si="6"/>
        <v>-4403.2270814799995</v>
      </c>
      <c r="R48" s="11">
        <f t="shared" si="7"/>
        <v>-8.8064541629599993E-2</v>
      </c>
      <c r="S48" s="35"/>
    </row>
    <row r="49" spans="1:19" ht="15" customHeight="1" x14ac:dyDescent="0.2">
      <c r="A49" s="35">
        <v>45</v>
      </c>
      <c r="B49" s="35" t="s">
        <v>141</v>
      </c>
      <c r="C49" s="35" t="s">
        <v>140</v>
      </c>
      <c r="D49" s="18" t="str">
        <f>IFERROR(INDEX(Reference!$E:$E,MATCH("Mutual Fund|"&amp;C49&amp;"|"&amp;B49,Reference!$A:$A,0)),"")</f>
        <v>Equity</v>
      </c>
      <c r="E49" s="18" t="str">
        <f>IFERROR(INDEX(Reference!$H:$H,MATCH("Mutual Fund|"&amp;C49&amp;"|"&amp;B49,Reference!$A:$A,0)),"")</f>
        <v>Thai Equity</v>
      </c>
      <c r="F49" s="18" t="str">
        <f>IFERROR(INDEX(Reference!$G:$G,MATCH("Mutual Fund|"&amp;C49&amp;"|"&amp;B49,Reference!$A:$A,0)),"")</f>
        <v>Thailand</v>
      </c>
      <c r="G49" s="18" t="str">
        <f>IFERROR(INDEX(Reference!$I:$I,MATCH("Mutual Fund|"&amp;C49&amp;"|"&amp;B49,Reference!$A:$A,0)),"")</f>
        <v>LTF</v>
      </c>
      <c r="H49" s="36">
        <v>43280</v>
      </c>
      <c r="I49" s="37">
        <v>2018</v>
      </c>
      <c r="J49" s="37">
        <v>2024</v>
      </c>
      <c r="K49" s="39">
        <f t="shared" si="4"/>
        <v>7.9206023271731691</v>
      </c>
      <c r="L49" s="40">
        <v>898.84140000000002</v>
      </c>
      <c r="M49" s="40">
        <v>41.164099999999998</v>
      </c>
      <c r="N49" s="41">
        <f>IFERROR(INDEX(Prices!$E:$E,MATCH("Mutual Fund|"&amp;C49&amp;"|"&amp;B49,Prices!$A:$A,0)),0)</f>
        <v>35.9236</v>
      </c>
      <c r="O49" s="42">
        <v>37000</v>
      </c>
      <c r="P49" s="42">
        <f t="shared" si="5"/>
        <v>32289.618917039999</v>
      </c>
      <c r="Q49" s="42">
        <f t="shared" si="6"/>
        <v>-4710.3810829600006</v>
      </c>
      <c r="R49" s="11">
        <f t="shared" si="7"/>
        <v>-0.12730759683675677</v>
      </c>
      <c r="S49" s="35"/>
    </row>
    <row r="50" spans="1:19" ht="15" customHeight="1" x14ac:dyDescent="0.2">
      <c r="A50" s="35">
        <v>46</v>
      </c>
      <c r="B50" s="35" t="s">
        <v>151</v>
      </c>
      <c r="C50" s="35" t="s">
        <v>153</v>
      </c>
      <c r="D50" s="18" t="str">
        <f>IFERROR(INDEX(Reference!$E:$E,MATCH("Mutual Fund|"&amp;C50&amp;"|"&amp;B50,Reference!$A:$A,0)),"")</f>
        <v>Equity</v>
      </c>
      <c r="E50" s="18" t="str">
        <f>IFERROR(INDEX(Reference!$H:$H,MATCH("Mutual Fund|"&amp;C50&amp;"|"&amp;B50,Reference!$A:$A,0)),"")</f>
        <v>Thai Equity</v>
      </c>
      <c r="F50" s="18" t="str">
        <f>IFERROR(INDEX(Reference!$G:$G,MATCH("Mutual Fund|"&amp;C50&amp;"|"&amp;B50,Reference!$A:$A,0)),"")</f>
        <v>Thailand</v>
      </c>
      <c r="G50" s="18" t="str">
        <f>IFERROR(INDEX(Reference!$I:$I,MATCH("Mutual Fund|"&amp;C50&amp;"|"&amp;B50,Reference!$A:$A,0)),"")</f>
        <v>Thai ESG</v>
      </c>
      <c r="H50" s="36">
        <v>45281</v>
      </c>
      <c r="I50" s="37">
        <v>2023</v>
      </c>
      <c r="J50" s="37">
        <v>2031</v>
      </c>
      <c r="K50" s="39">
        <f t="shared" si="4"/>
        <v>2.4421629021218343</v>
      </c>
      <c r="L50" s="40">
        <v>10000</v>
      </c>
      <c r="M50" s="40">
        <v>10</v>
      </c>
      <c r="N50" s="41">
        <f>IFERROR(INDEX(Prices!$E:$E,MATCH("Mutual Fund|"&amp;C50&amp;"|"&amp;B50,Prices!$A:$A,0)),0)</f>
        <v>12.289199999999999</v>
      </c>
      <c r="O50" s="42">
        <v>100000</v>
      </c>
      <c r="P50" s="42">
        <f t="shared" si="5"/>
        <v>122891.99999999999</v>
      </c>
      <c r="Q50" s="42">
        <f t="shared" si="6"/>
        <v>22891.999999999985</v>
      </c>
      <c r="R50" s="11">
        <f t="shared" si="7"/>
        <v>0.22891999999999985</v>
      </c>
      <c r="S50" s="35"/>
    </row>
    <row r="51" spans="1:19" ht="15" customHeight="1" x14ac:dyDescent="0.2">
      <c r="A51" s="35">
        <v>47</v>
      </c>
      <c r="B51" s="35" t="s">
        <v>151</v>
      </c>
      <c r="C51" s="35" t="s">
        <v>153</v>
      </c>
      <c r="D51" s="18" t="str">
        <f>IFERROR(INDEX(Reference!$E:$E,MATCH("Mutual Fund|"&amp;C51&amp;"|"&amp;B51,Reference!$A:$A,0)),"")</f>
        <v>Equity</v>
      </c>
      <c r="E51" s="18" t="str">
        <f>IFERROR(INDEX(Reference!$H:$H,MATCH("Mutual Fund|"&amp;C51&amp;"|"&amp;B51,Reference!$A:$A,0)),"")</f>
        <v>Thai Equity</v>
      </c>
      <c r="F51" s="18" t="str">
        <f>IFERROR(INDEX(Reference!$G:$G,MATCH("Mutual Fund|"&amp;C51&amp;"|"&amp;B51,Reference!$A:$A,0)),"")</f>
        <v>Thailand</v>
      </c>
      <c r="G51" s="18" t="str">
        <f>IFERROR(INDEX(Reference!$I:$I,MATCH("Mutual Fund|"&amp;C51&amp;"|"&amp;B51,Reference!$A:$A,0)),"")</f>
        <v>Thai ESG</v>
      </c>
      <c r="H51" s="36">
        <v>45639</v>
      </c>
      <c r="I51" s="37">
        <v>2024</v>
      </c>
      <c r="J51" s="37">
        <v>2029</v>
      </c>
      <c r="K51" s="39">
        <f t="shared" si="4"/>
        <v>1.462012320328542</v>
      </c>
      <c r="L51" s="40">
        <v>14173.4069</v>
      </c>
      <c r="M51" s="40">
        <v>10.5832</v>
      </c>
      <c r="N51" s="41">
        <f>IFERROR(INDEX(Prices!$E:$E,MATCH("Mutual Fund|"&amp;C51&amp;"|"&amp;B51,Prices!$A:$A,0)),0)</f>
        <v>12.289199999999999</v>
      </c>
      <c r="O51" s="42">
        <v>150000</v>
      </c>
      <c r="P51" s="42">
        <f t="shared" si="5"/>
        <v>174179.83207547999</v>
      </c>
      <c r="Q51" s="42">
        <f t="shared" si="6"/>
        <v>24179.832075479993</v>
      </c>
      <c r="R51" s="11">
        <f t="shared" si="7"/>
        <v>0.16119888050319994</v>
      </c>
      <c r="S51" s="35"/>
    </row>
    <row r="52" spans="1:19" ht="15" customHeight="1" x14ac:dyDescent="0.2">
      <c r="A52" s="35">
        <v>48</v>
      </c>
      <c r="B52" s="35" t="s">
        <v>151</v>
      </c>
      <c r="C52" s="35" t="s">
        <v>153</v>
      </c>
      <c r="D52" s="18" t="str">
        <f>IFERROR(INDEX(Reference!$E:$E,MATCH("Mutual Fund|"&amp;C52&amp;"|"&amp;B52,Reference!$A:$A,0)),"")</f>
        <v>Equity</v>
      </c>
      <c r="E52" s="18" t="str">
        <f>IFERROR(INDEX(Reference!$H:$H,MATCH("Mutual Fund|"&amp;C52&amp;"|"&amp;B52,Reference!$A:$A,0)),"")</f>
        <v>Thai Equity</v>
      </c>
      <c r="F52" s="18" t="str">
        <f>IFERROR(INDEX(Reference!$G:$G,MATCH("Mutual Fund|"&amp;C52&amp;"|"&amp;B52,Reference!$A:$A,0)),"")</f>
        <v>Thailand</v>
      </c>
      <c r="G52" s="18" t="str">
        <f>IFERROR(INDEX(Reference!$I:$I,MATCH("Mutual Fund|"&amp;C52&amp;"|"&amp;B52,Reference!$A:$A,0)),"")</f>
        <v>Thai ESG</v>
      </c>
      <c r="H52" s="36">
        <v>45653</v>
      </c>
      <c r="I52" s="37">
        <v>2024</v>
      </c>
      <c r="J52" s="37">
        <v>2029</v>
      </c>
      <c r="K52" s="39">
        <f t="shared" si="4"/>
        <v>1.4236824093086926</v>
      </c>
      <c r="L52" s="40">
        <v>14391.8024</v>
      </c>
      <c r="M52" s="40">
        <v>10.422599999999999</v>
      </c>
      <c r="N52" s="41">
        <f>IFERROR(INDEX(Prices!$E:$E,MATCH("Mutual Fund|"&amp;C52&amp;"|"&amp;B52,Prices!$A:$A,0)),0)</f>
        <v>12.289199999999999</v>
      </c>
      <c r="O52" s="42">
        <v>150000</v>
      </c>
      <c r="P52" s="42">
        <f t="shared" si="5"/>
        <v>176863.73805407999</v>
      </c>
      <c r="Q52" s="42">
        <f t="shared" si="6"/>
        <v>26863.738054079993</v>
      </c>
      <c r="R52" s="11">
        <f t="shared" si="7"/>
        <v>0.17909158702719996</v>
      </c>
      <c r="S52" s="35"/>
    </row>
    <row r="53" spans="1:19" ht="15" customHeight="1" x14ac:dyDescent="0.2">
      <c r="A53" s="35">
        <v>49</v>
      </c>
      <c r="B53" s="35" t="s">
        <v>167</v>
      </c>
      <c r="C53" s="35" t="s">
        <v>170</v>
      </c>
      <c r="D53" s="18" t="str">
        <f>IFERROR(INDEX(Reference!$E:$E,MATCH("Mutual Fund|"&amp;C53&amp;"|"&amp;B53,Reference!$A:$A,0)),"")</f>
        <v>Equity</v>
      </c>
      <c r="E53" s="18" t="str">
        <f>IFERROR(INDEX(Reference!$H:$H,MATCH("Mutual Fund|"&amp;C53&amp;"|"&amp;B53,Reference!$A:$A,0)),"")</f>
        <v>Thai Equity</v>
      </c>
      <c r="F53" s="18" t="str">
        <f>IFERROR(INDEX(Reference!$G:$G,MATCH("Mutual Fund|"&amp;C53&amp;"|"&amp;B53,Reference!$A:$A,0)),"")</f>
        <v>Thailand</v>
      </c>
      <c r="G53" s="18" t="str">
        <f>IFERROR(INDEX(Reference!$I:$I,MATCH("Mutual Fund|"&amp;C53&amp;"|"&amp;B53,Reference!$A:$A,0)),"")</f>
        <v>LTF</v>
      </c>
      <c r="H53" s="36">
        <v>42303</v>
      </c>
      <c r="I53" s="37">
        <v>2015</v>
      </c>
      <c r="J53" s="37">
        <v>2019</v>
      </c>
      <c r="K53" s="39">
        <f t="shared" si="4"/>
        <v>10.595482546201232</v>
      </c>
      <c r="L53" s="40">
        <v>231.3015</v>
      </c>
      <c r="M53" s="40">
        <v>21.616800000000001</v>
      </c>
      <c r="N53" s="41">
        <f>IFERROR(INDEX(Prices!$E:$E,MATCH("Mutual Fund|"&amp;C53&amp;"|"&amp;B53,Prices!$A:$A,0)),0)</f>
        <v>22.387</v>
      </c>
      <c r="O53" s="42">
        <v>5000</v>
      </c>
      <c r="P53" s="42">
        <f t="shared" si="5"/>
        <v>5178.1466805</v>
      </c>
      <c r="Q53" s="42">
        <f t="shared" si="6"/>
        <v>178.1466805</v>
      </c>
      <c r="R53" s="11">
        <f t="shared" si="7"/>
        <v>3.5629336099999999E-2</v>
      </c>
      <c r="S53" s="35"/>
    </row>
    <row r="54" spans="1:19" ht="15" customHeight="1" x14ac:dyDescent="0.2">
      <c r="A54" s="35">
        <v>50</v>
      </c>
      <c r="B54" s="35" t="s">
        <v>167</v>
      </c>
      <c r="C54" s="35" t="s">
        <v>170</v>
      </c>
      <c r="D54" s="18" t="str">
        <f>IFERROR(INDEX(Reference!$E:$E,MATCH("Mutual Fund|"&amp;C54&amp;"|"&amp;B54,Reference!$A:$A,0)),"")</f>
        <v>Equity</v>
      </c>
      <c r="E54" s="18" t="str">
        <f>IFERROR(INDEX(Reference!$H:$H,MATCH("Mutual Fund|"&amp;C54&amp;"|"&amp;B54,Reference!$A:$A,0)),"")</f>
        <v>Thai Equity</v>
      </c>
      <c r="F54" s="18" t="str">
        <f>IFERROR(INDEX(Reference!$G:$G,MATCH("Mutual Fund|"&amp;C54&amp;"|"&amp;B54,Reference!$A:$A,0)),"")</f>
        <v>Thailand</v>
      </c>
      <c r="G54" s="18" t="str">
        <f>IFERROR(INDEX(Reference!$I:$I,MATCH("Mutual Fund|"&amp;C54&amp;"|"&amp;B54,Reference!$A:$A,0)),"")</f>
        <v>LTF</v>
      </c>
      <c r="H54" s="36">
        <v>43129</v>
      </c>
      <c r="I54" s="37">
        <v>2018</v>
      </c>
      <c r="J54" s="37">
        <v>2024</v>
      </c>
      <c r="K54" s="39">
        <f t="shared" si="4"/>
        <v>8.3340177960301158</v>
      </c>
      <c r="L54" s="40">
        <v>1355.5508</v>
      </c>
      <c r="M54" s="40">
        <v>29.508299999999998</v>
      </c>
      <c r="N54" s="41">
        <f>IFERROR(INDEX(Prices!$E:$E,MATCH("Mutual Fund|"&amp;C54&amp;"|"&amp;B54,Prices!$A:$A,0)),0)</f>
        <v>22.387</v>
      </c>
      <c r="O54" s="42">
        <v>40000</v>
      </c>
      <c r="P54" s="42">
        <f t="shared" si="5"/>
        <v>30346.7157596</v>
      </c>
      <c r="Q54" s="42">
        <f t="shared" si="6"/>
        <v>-9653.2842404000003</v>
      </c>
      <c r="R54" s="11">
        <f t="shared" si="7"/>
        <v>-0.24133210601000002</v>
      </c>
      <c r="S54" s="35"/>
    </row>
    <row r="55" spans="1:19" ht="15" customHeight="1" x14ac:dyDescent="0.2">
      <c r="A55" s="35">
        <v>51</v>
      </c>
      <c r="B55" s="35" t="s">
        <v>167</v>
      </c>
      <c r="C55" s="35" t="s">
        <v>170</v>
      </c>
      <c r="D55" s="18" t="str">
        <f>IFERROR(INDEX(Reference!$E:$E,MATCH("Mutual Fund|"&amp;C55&amp;"|"&amp;B55,Reference!$A:$A,0)),"")</f>
        <v>Equity</v>
      </c>
      <c r="E55" s="18" t="str">
        <f>IFERROR(INDEX(Reference!$H:$H,MATCH("Mutual Fund|"&amp;C55&amp;"|"&amp;B55,Reference!$A:$A,0)),"")</f>
        <v>Thai Equity</v>
      </c>
      <c r="F55" s="18" t="str">
        <f>IFERROR(INDEX(Reference!$G:$G,MATCH("Mutual Fund|"&amp;C55&amp;"|"&amp;B55,Reference!$A:$A,0)),"")</f>
        <v>Thailand</v>
      </c>
      <c r="G55" s="18" t="str">
        <f>IFERROR(INDEX(Reference!$I:$I,MATCH("Mutual Fund|"&amp;C55&amp;"|"&amp;B55,Reference!$A:$A,0)),"")</f>
        <v>LTF</v>
      </c>
      <c r="H55" s="36">
        <v>43166</v>
      </c>
      <c r="I55" s="37">
        <v>2018</v>
      </c>
      <c r="J55" s="37">
        <v>2024</v>
      </c>
      <c r="K55" s="39">
        <f t="shared" si="4"/>
        <v>8.2327173169062284</v>
      </c>
      <c r="L55" s="40">
        <v>1400.8152</v>
      </c>
      <c r="M55" s="40">
        <v>28.5548</v>
      </c>
      <c r="N55" s="41">
        <f>IFERROR(INDEX(Prices!$E:$E,MATCH("Mutual Fund|"&amp;C55&amp;"|"&amp;B55,Prices!$A:$A,0)),0)</f>
        <v>22.387</v>
      </c>
      <c r="O55" s="42">
        <v>40000</v>
      </c>
      <c r="P55" s="42">
        <f t="shared" si="5"/>
        <v>31360.049882400002</v>
      </c>
      <c r="Q55" s="42">
        <f t="shared" si="6"/>
        <v>-8639.9501175999976</v>
      </c>
      <c r="R55" s="11">
        <f t="shared" si="7"/>
        <v>-0.21599875293999993</v>
      </c>
      <c r="S55" s="35"/>
    </row>
    <row r="56" spans="1:19" ht="15" customHeight="1" x14ac:dyDescent="0.2">
      <c r="A56" s="35">
        <v>52</v>
      </c>
      <c r="B56" s="35" t="s">
        <v>167</v>
      </c>
      <c r="C56" s="35" t="s">
        <v>169</v>
      </c>
      <c r="D56" s="18" t="str">
        <f>IFERROR(INDEX(Reference!$E:$E,MATCH("Mutual Fund|"&amp;C56&amp;"|"&amp;B56,Reference!$A:$A,0)),"")</f>
        <v>Fixed Income</v>
      </c>
      <c r="E56" s="18" t="str">
        <f>IFERROR(INDEX(Reference!$H:$H,MATCH("Mutual Fund|"&amp;C56&amp;"|"&amp;B56,Reference!$A:$A,0)),"")</f>
        <v>TH Gov Bond</v>
      </c>
      <c r="F56" s="18" t="str">
        <f>IFERROR(INDEX(Reference!$G:$G,MATCH("Mutual Fund|"&amp;C56&amp;"|"&amp;B56,Reference!$A:$A,0)),"")</f>
        <v>Thailand</v>
      </c>
      <c r="G56" s="18" t="str">
        <f>IFERROR(INDEX(Reference!$I:$I,MATCH("Mutual Fund|"&amp;C56&amp;"|"&amp;B56,Reference!$A:$A,0)),"")</f>
        <v>Thai ESG</v>
      </c>
      <c r="H56" s="36">
        <v>46016</v>
      </c>
      <c r="I56" s="37">
        <v>2025</v>
      </c>
      <c r="J56" s="37">
        <v>2030</v>
      </c>
      <c r="K56" s="39">
        <f t="shared" si="4"/>
        <v>0.42984257357973993</v>
      </c>
      <c r="L56" s="40">
        <v>28409.898000000001</v>
      </c>
      <c r="M56" s="40">
        <v>10.559699999999999</v>
      </c>
      <c r="N56" s="41">
        <f>IFERROR(INDEX(Prices!$E:$E,MATCH("Mutual Fund|"&amp;C56&amp;"|"&amp;B56,Prices!$A:$A,0)),0)</f>
        <v>9.968</v>
      </c>
      <c r="O56" s="42">
        <v>300000</v>
      </c>
      <c r="P56" s="42">
        <f t="shared" si="5"/>
        <v>283189.86326399999</v>
      </c>
      <c r="Q56" s="42">
        <f t="shared" si="6"/>
        <v>-16810.136736000015</v>
      </c>
      <c r="R56" s="11">
        <f t="shared" si="7"/>
        <v>-5.6033789120000052E-2</v>
      </c>
      <c r="S56" s="35"/>
    </row>
    <row r="57" spans="1:19" ht="15" customHeight="1" x14ac:dyDescent="0.2">
      <c r="A57" s="35">
        <v>53</v>
      </c>
      <c r="B57" s="35" t="s">
        <v>167</v>
      </c>
      <c r="C57" s="35" t="s">
        <v>169</v>
      </c>
      <c r="D57" s="18" t="str">
        <f>IFERROR(INDEX(Reference!$E:$E,MATCH("Mutual Fund|"&amp;C57&amp;"|"&amp;B57,Reference!$A:$A,0)),"")</f>
        <v>Fixed Income</v>
      </c>
      <c r="E57" s="18" t="str">
        <f>IFERROR(INDEX(Reference!$H:$H,MATCH("Mutual Fund|"&amp;C57&amp;"|"&amp;B57,Reference!$A:$A,0)),"")</f>
        <v>TH Gov Bond</v>
      </c>
      <c r="F57" s="18" t="str">
        <f>IFERROR(INDEX(Reference!$G:$G,MATCH("Mutual Fund|"&amp;C57&amp;"|"&amp;B57,Reference!$A:$A,0)),"")</f>
        <v>Thailand</v>
      </c>
      <c r="G57" s="18" t="str">
        <f>IFERROR(INDEX(Reference!$I:$I,MATCH("Mutual Fund|"&amp;C57&amp;"|"&amp;B57,Reference!$A:$A,0)),"")</f>
        <v>Thai ESG</v>
      </c>
      <c r="H57" s="36">
        <v>46027</v>
      </c>
      <c r="I57" s="37">
        <v>2026</v>
      </c>
      <c r="J57" s="37">
        <v>2031</v>
      </c>
      <c r="K57" s="39">
        <f t="shared" si="4"/>
        <v>0.39972621492128679</v>
      </c>
      <c r="L57" s="40">
        <v>28391.615000000002</v>
      </c>
      <c r="M57" s="40">
        <v>10.5665</v>
      </c>
      <c r="N57" s="41">
        <f>IFERROR(INDEX(Prices!$E:$E,MATCH("Mutual Fund|"&amp;C57&amp;"|"&amp;B57,Prices!$A:$A,0)),0)</f>
        <v>9.968</v>
      </c>
      <c r="O57" s="42">
        <v>300000</v>
      </c>
      <c r="P57" s="42">
        <f t="shared" si="5"/>
        <v>283007.61832000001</v>
      </c>
      <c r="Q57" s="42">
        <f t="shared" si="6"/>
        <v>-16992.381679999991</v>
      </c>
      <c r="R57" s="11">
        <f t="shared" si="7"/>
        <v>-5.664127226666664E-2</v>
      </c>
      <c r="S57" s="35"/>
    </row>
    <row r="58" spans="1:19" ht="15" customHeight="1" x14ac:dyDescent="0.2">
      <c r="A58" s="35">
        <v>54</v>
      </c>
      <c r="B58" s="35" t="s">
        <v>167</v>
      </c>
      <c r="C58" s="35" t="s">
        <v>166</v>
      </c>
      <c r="D58" s="18" t="str">
        <f>IFERROR(INDEX(Reference!$E:$E,MATCH("Mutual Fund|"&amp;C58&amp;"|"&amp;B58,Reference!$A:$A,0)),"")</f>
        <v>Cash &amp; Equivalents</v>
      </c>
      <c r="E58" s="18" t="str">
        <f>IFERROR(INDEX(Reference!$H:$H,MATCH("Mutual Fund|"&amp;C58&amp;"|"&amp;B58,Reference!$A:$A,0)),"")</f>
        <v>TH Money Market</v>
      </c>
      <c r="F58" s="18" t="str">
        <f>IFERROR(INDEX(Reference!$G:$G,MATCH("Mutual Fund|"&amp;C58&amp;"|"&amp;B58,Reference!$A:$A,0)),"")</f>
        <v>Thailand</v>
      </c>
      <c r="G58" s="18" t="str">
        <f>IFERROR(INDEX(Reference!$I:$I,MATCH("Mutual Fund|"&amp;C58&amp;"|"&amp;B58,Reference!$A:$A,0)),"")</f>
        <v>Open-Ended</v>
      </c>
      <c r="H58" s="36">
        <v>46142</v>
      </c>
      <c r="I58" s="37">
        <v>2026</v>
      </c>
      <c r="J58" s="38" t="s">
        <v>256</v>
      </c>
      <c r="K58" s="39">
        <f t="shared" si="4"/>
        <v>8.4873374401095145E-2</v>
      </c>
      <c r="L58" s="40">
        <v>37.058999999999997</v>
      </c>
      <c r="M58" s="40">
        <v>16.1904</v>
      </c>
      <c r="N58" s="41">
        <f>IFERROR(INDEX(Prices!$E:$E,MATCH("Mutual Fund|"&amp;C58&amp;"|"&amp;B58,Prices!$A:$A,0)),0)</f>
        <v>16.200800000000001</v>
      </c>
      <c r="O58" s="42">
        <v>600</v>
      </c>
      <c r="P58" s="42">
        <f t="shared" si="5"/>
        <v>600.38544720000004</v>
      </c>
      <c r="Q58" s="42">
        <f t="shared" si="6"/>
        <v>0.38544720000004418</v>
      </c>
      <c r="R58" s="11">
        <f t="shared" si="7"/>
        <v>6.4241200000007359E-4</v>
      </c>
      <c r="S58" s="35"/>
    </row>
    <row r="59" spans="1:19" ht="15" customHeight="1" x14ac:dyDescent="0.2">
      <c r="A59" s="35">
        <v>55</v>
      </c>
      <c r="B59" s="35" t="s">
        <v>131</v>
      </c>
      <c r="C59" s="35" t="s">
        <v>139</v>
      </c>
      <c r="D59" s="18" t="str">
        <f>IFERROR(INDEX(Reference!$E:$E,MATCH("Mutual Fund|"&amp;C59&amp;"|"&amp;B59,Reference!$A:$A,0)),"")</f>
        <v>Equity</v>
      </c>
      <c r="E59" s="18" t="str">
        <f>IFERROR(INDEX(Reference!$H:$H,MATCH("Mutual Fund|"&amp;C59&amp;"|"&amp;B59,Reference!$A:$A,0)),"")</f>
        <v>Thai Equity</v>
      </c>
      <c r="F59" s="18" t="str">
        <f>IFERROR(INDEX(Reference!$G:$G,MATCH("Mutual Fund|"&amp;C59&amp;"|"&amp;B59,Reference!$A:$A,0)),"")</f>
        <v>Thailand</v>
      </c>
      <c r="G59" s="18" t="str">
        <f>IFERROR(INDEX(Reference!$I:$I,MATCH("Mutual Fund|"&amp;C59&amp;"|"&amp;B59,Reference!$A:$A,0)),"")</f>
        <v>LTF</v>
      </c>
      <c r="H59" s="36">
        <v>42697</v>
      </c>
      <c r="I59" s="37">
        <v>2016</v>
      </c>
      <c r="J59" s="37">
        <v>2022</v>
      </c>
      <c r="K59" s="39">
        <f t="shared" si="4"/>
        <v>9.5167693360711834</v>
      </c>
      <c r="L59" s="40">
        <v>412.13130000000001</v>
      </c>
      <c r="M59" s="40">
        <v>21.837700000000002</v>
      </c>
      <c r="N59" s="41">
        <f>IFERROR(INDEX(Prices!$E:$E,MATCH("Mutual Fund|"&amp;C59&amp;"|"&amp;B59,Prices!$A:$A,0)),0)</f>
        <v>26.415900000000001</v>
      </c>
      <c r="O59" s="42">
        <v>9000</v>
      </c>
      <c r="P59" s="42">
        <f t="shared" si="5"/>
        <v>10886.81920767</v>
      </c>
      <c r="Q59" s="42">
        <f t="shared" si="6"/>
        <v>1886.8192076699997</v>
      </c>
      <c r="R59" s="11">
        <f t="shared" si="7"/>
        <v>0.20964657862999997</v>
      </c>
      <c r="S59" s="35"/>
    </row>
    <row r="60" spans="1:19" ht="15" customHeight="1" x14ac:dyDescent="0.2">
      <c r="A60" s="35">
        <v>56</v>
      </c>
      <c r="B60" s="35" t="s">
        <v>131</v>
      </c>
      <c r="C60" s="35" t="s">
        <v>139</v>
      </c>
      <c r="D60" s="18" t="str">
        <f>IFERROR(INDEX(Reference!$E:$E,MATCH("Mutual Fund|"&amp;C60&amp;"|"&amp;B60,Reference!$A:$A,0)),"")</f>
        <v>Equity</v>
      </c>
      <c r="E60" s="18" t="str">
        <f>IFERROR(INDEX(Reference!$H:$H,MATCH("Mutual Fund|"&amp;C60&amp;"|"&amp;B60,Reference!$A:$A,0)),"")</f>
        <v>Thai Equity</v>
      </c>
      <c r="F60" s="18" t="str">
        <f>IFERROR(INDEX(Reference!$G:$G,MATCH("Mutual Fund|"&amp;C60&amp;"|"&amp;B60,Reference!$A:$A,0)),"")</f>
        <v>Thailand</v>
      </c>
      <c r="G60" s="18" t="str">
        <f>IFERROR(INDEX(Reference!$I:$I,MATCH("Mutual Fund|"&amp;C60&amp;"|"&amp;B60,Reference!$A:$A,0)),"")</f>
        <v>LTF</v>
      </c>
      <c r="H60" s="36">
        <v>42965</v>
      </c>
      <c r="I60" s="37">
        <v>2017</v>
      </c>
      <c r="J60" s="37">
        <v>2023</v>
      </c>
      <c r="K60" s="39">
        <f t="shared" si="4"/>
        <v>8.7830253251197803</v>
      </c>
      <c r="L60" s="40">
        <v>2182.2815999999998</v>
      </c>
      <c r="M60" s="40">
        <v>22.911799999999999</v>
      </c>
      <c r="N60" s="41">
        <f>IFERROR(INDEX(Prices!$E:$E,MATCH("Mutual Fund|"&amp;C60&amp;"|"&amp;B60,Prices!$A:$A,0)),0)</f>
        <v>26.415900000000001</v>
      </c>
      <c r="O60" s="42">
        <v>50000</v>
      </c>
      <c r="P60" s="42">
        <f t="shared" si="5"/>
        <v>57646.932517439993</v>
      </c>
      <c r="Q60" s="42">
        <f t="shared" si="6"/>
        <v>7646.9325174399928</v>
      </c>
      <c r="R60" s="11">
        <f t="shared" si="7"/>
        <v>0.15293865034879986</v>
      </c>
      <c r="S60" s="35"/>
    </row>
    <row r="61" spans="1:19" ht="15" customHeight="1" x14ac:dyDescent="0.2">
      <c r="A61" s="35">
        <v>57</v>
      </c>
      <c r="B61" s="35" t="s">
        <v>131</v>
      </c>
      <c r="C61" s="35" t="s">
        <v>139</v>
      </c>
      <c r="D61" s="18" t="str">
        <f>IFERROR(INDEX(Reference!$E:$E,MATCH("Mutual Fund|"&amp;C61&amp;"|"&amp;B61,Reference!$A:$A,0)),"")</f>
        <v>Equity</v>
      </c>
      <c r="E61" s="18" t="str">
        <f>IFERROR(INDEX(Reference!$H:$H,MATCH("Mutual Fund|"&amp;C61&amp;"|"&amp;B61,Reference!$A:$A,0)),"")</f>
        <v>Thai Equity</v>
      </c>
      <c r="F61" s="18" t="str">
        <f>IFERROR(INDEX(Reference!$G:$G,MATCH("Mutual Fund|"&amp;C61&amp;"|"&amp;B61,Reference!$A:$A,0)),"")</f>
        <v>Thailand</v>
      </c>
      <c r="G61" s="18" t="str">
        <f>IFERROR(INDEX(Reference!$I:$I,MATCH("Mutual Fund|"&amp;C61&amp;"|"&amp;B61,Reference!$A:$A,0)),"")</f>
        <v>LTF</v>
      </c>
      <c r="H61" s="36">
        <v>43049</v>
      </c>
      <c r="I61" s="37">
        <v>2017</v>
      </c>
      <c r="J61" s="37">
        <v>2023</v>
      </c>
      <c r="K61" s="39">
        <f t="shared" si="4"/>
        <v>8.5530458590006848</v>
      </c>
      <c r="L61" s="40">
        <v>1878.3434</v>
      </c>
      <c r="M61" s="40">
        <v>26.619199999999999</v>
      </c>
      <c r="N61" s="41">
        <f>IFERROR(INDEX(Prices!$E:$E,MATCH("Mutual Fund|"&amp;C61&amp;"|"&amp;B61,Prices!$A:$A,0)),0)</f>
        <v>26.415900000000001</v>
      </c>
      <c r="O61" s="42">
        <v>50000</v>
      </c>
      <c r="P61" s="42">
        <f t="shared" si="5"/>
        <v>49618.131420060003</v>
      </c>
      <c r="Q61" s="42">
        <f t="shared" si="6"/>
        <v>-381.86857993999729</v>
      </c>
      <c r="R61" s="11">
        <f t="shared" si="7"/>
        <v>-7.6373715987999458E-3</v>
      </c>
      <c r="S61" s="35"/>
    </row>
    <row r="62" spans="1:19" ht="15" customHeight="1" x14ac:dyDescent="0.2">
      <c r="A62" s="35">
        <v>58</v>
      </c>
      <c r="B62" s="35" t="s">
        <v>160</v>
      </c>
      <c r="C62" s="35" t="s">
        <v>163</v>
      </c>
      <c r="D62" s="18" t="str">
        <f>IFERROR(INDEX(Reference!$E:$E,MATCH("Mutual Fund|"&amp;C62&amp;"|"&amp;B62,Reference!$A:$A,0)),"")</f>
        <v>Equity</v>
      </c>
      <c r="E62" s="18" t="str">
        <f>IFERROR(INDEX(Reference!$H:$H,MATCH("Mutual Fund|"&amp;C62&amp;"|"&amp;B62,Reference!$A:$A,0)),"")</f>
        <v>Thai Equity</v>
      </c>
      <c r="F62" s="18" t="str">
        <f>IFERROR(INDEX(Reference!$G:$G,MATCH("Mutual Fund|"&amp;C62&amp;"|"&amp;B62,Reference!$A:$A,0)),"")</f>
        <v>Thailand</v>
      </c>
      <c r="G62" s="18" t="str">
        <f>IFERROR(INDEX(Reference!$I:$I,MATCH("Mutual Fund|"&amp;C62&amp;"|"&amp;B62,Reference!$A:$A,0)),"")</f>
        <v>SSF</v>
      </c>
      <c r="H62" s="36">
        <v>44004</v>
      </c>
      <c r="I62" s="37">
        <v>2020</v>
      </c>
      <c r="J62" s="37">
        <v>2030</v>
      </c>
      <c r="K62" s="39">
        <f t="shared" si="4"/>
        <v>5.938398357289528</v>
      </c>
      <c r="L62" s="40">
        <v>8940.3055000000004</v>
      </c>
      <c r="M62" s="40">
        <v>11.1853</v>
      </c>
      <c r="N62" s="41">
        <f>IFERROR(INDEX(Prices!$E:$E,MATCH("Mutual Fund|"&amp;C62&amp;"|"&amp;B62,Prices!$A:$A,0)),0)</f>
        <v>12.815300000000001</v>
      </c>
      <c r="O62" s="42">
        <v>100000</v>
      </c>
      <c r="P62" s="42">
        <f t="shared" si="5"/>
        <v>114572.69707415001</v>
      </c>
      <c r="Q62" s="42">
        <f t="shared" si="6"/>
        <v>14572.697074150012</v>
      </c>
      <c r="R62" s="11">
        <f t="shared" si="7"/>
        <v>0.14572697074150012</v>
      </c>
      <c r="S62" s="35"/>
    </row>
    <row r="63" spans="1:19" ht="15" customHeight="1" x14ac:dyDescent="0.2">
      <c r="A63" s="35">
        <v>59</v>
      </c>
      <c r="B63" s="35" t="s">
        <v>160</v>
      </c>
      <c r="C63" s="35" t="s">
        <v>163</v>
      </c>
      <c r="D63" s="18" t="str">
        <f>IFERROR(INDEX(Reference!$E:$E,MATCH("Mutual Fund|"&amp;C63&amp;"|"&amp;B63,Reference!$A:$A,0)),"")</f>
        <v>Equity</v>
      </c>
      <c r="E63" s="18" t="str">
        <f>IFERROR(INDEX(Reference!$H:$H,MATCH("Mutual Fund|"&amp;C63&amp;"|"&amp;B63,Reference!$A:$A,0)),"")</f>
        <v>Thai Equity</v>
      </c>
      <c r="F63" s="18" t="str">
        <f>IFERROR(INDEX(Reference!$G:$G,MATCH("Mutual Fund|"&amp;C63&amp;"|"&amp;B63,Reference!$A:$A,0)),"")</f>
        <v>Thailand</v>
      </c>
      <c r="G63" s="18" t="str">
        <f>IFERROR(INDEX(Reference!$I:$I,MATCH("Mutual Fund|"&amp;C63&amp;"|"&amp;B63,Reference!$A:$A,0)),"")</f>
        <v>SSF</v>
      </c>
      <c r="H63" s="36">
        <v>44007</v>
      </c>
      <c r="I63" s="37">
        <v>2020</v>
      </c>
      <c r="J63" s="37">
        <v>2030</v>
      </c>
      <c r="K63" s="39">
        <f t="shared" si="4"/>
        <v>5.9301848049281318</v>
      </c>
      <c r="L63" s="40">
        <v>9118.6795999999995</v>
      </c>
      <c r="M63" s="40">
        <v>10.9665</v>
      </c>
      <c r="N63" s="41">
        <f>IFERROR(INDEX(Prices!$E:$E,MATCH("Mutual Fund|"&amp;C63&amp;"|"&amp;B63,Prices!$A:$A,0)),0)</f>
        <v>12.815300000000001</v>
      </c>
      <c r="O63" s="42">
        <v>100000</v>
      </c>
      <c r="P63" s="42">
        <f t="shared" si="5"/>
        <v>116858.61467788</v>
      </c>
      <c r="Q63" s="42">
        <f t="shared" si="6"/>
        <v>16858.614677880003</v>
      </c>
      <c r="R63" s="11">
        <f t="shared" si="7"/>
        <v>0.16858614677880002</v>
      </c>
      <c r="S63" s="35"/>
    </row>
    <row r="64" spans="1:19" ht="15" customHeight="1" x14ac:dyDescent="0.2">
      <c r="A64" s="35">
        <v>60</v>
      </c>
      <c r="B64" s="35" t="s">
        <v>160</v>
      </c>
      <c r="C64" s="35" t="s">
        <v>165</v>
      </c>
      <c r="D64" s="18" t="str">
        <f>IFERROR(INDEX(Reference!$E:$E,MATCH("Mutual Fund|"&amp;C64&amp;"|"&amp;B64,Reference!$A:$A,0)),"")</f>
        <v>Equity</v>
      </c>
      <c r="E64" s="18" t="str">
        <f>IFERROR(INDEX(Reference!$H:$H,MATCH("Mutual Fund|"&amp;C64&amp;"|"&amp;B64,Reference!$A:$A,0)),"")</f>
        <v>Thai Equity</v>
      </c>
      <c r="F64" s="18" t="str">
        <f>IFERROR(INDEX(Reference!$G:$G,MATCH("Mutual Fund|"&amp;C64&amp;"|"&amp;B64,Reference!$A:$A,0)),"")</f>
        <v>Thailand</v>
      </c>
      <c r="G64" s="18" t="str">
        <f>IFERROR(INDEX(Reference!$I:$I,MATCH("Mutual Fund|"&amp;C64&amp;"|"&amp;B64,Reference!$A:$A,0)),"")</f>
        <v>SSF</v>
      </c>
      <c r="H64" s="36">
        <v>45835</v>
      </c>
      <c r="I64" s="37">
        <v>2025</v>
      </c>
      <c r="J64" s="37">
        <v>2030</v>
      </c>
      <c r="K64" s="39">
        <f t="shared" si="4"/>
        <v>0.92539356605065026</v>
      </c>
      <c r="L64" s="40">
        <v>16399.895</v>
      </c>
      <c r="M64" s="40">
        <v>9.1463999999999999</v>
      </c>
      <c r="N64" s="41">
        <f>IFERROR(INDEX(Prices!$E:$E,MATCH("Mutual Fund|"&amp;C64&amp;"|"&amp;B64,Prices!$A:$A,0)),0)</f>
        <v>12.446</v>
      </c>
      <c r="O64" s="42">
        <v>150000</v>
      </c>
      <c r="P64" s="42">
        <f t="shared" si="5"/>
        <v>204113.09317000001</v>
      </c>
      <c r="Q64" s="42">
        <f t="shared" si="6"/>
        <v>54113.093170000007</v>
      </c>
      <c r="R64" s="11">
        <f t="shared" si="7"/>
        <v>0.36075395446666669</v>
      </c>
      <c r="S64" s="35"/>
    </row>
    <row r="65" spans="1:19" ht="15" customHeight="1" x14ac:dyDescent="0.2">
      <c r="A65" s="35">
        <v>61</v>
      </c>
      <c r="B65" s="35" t="s">
        <v>160</v>
      </c>
      <c r="C65" s="35" t="s">
        <v>165</v>
      </c>
      <c r="D65" s="18" t="str">
        <f>IFERROR(INDEX(Reference!$E:$E,MATCH("Mutual Fund|"&amp;C65&amp;"|"&amp;B65,Reference!$A:$A,0)),"")</f>
        <v>Equity</v>
      </c>
      <c r="E65" s="18" t="str">
        <f>IFERROR(INDEX(Reference!$H:$H,MATCH("Mutual Fund|"&amp;C65&amp;"|"&amp;B65,Reference!$A:$A,0)),"")</f>
        <v>Thai Equity</v>
      </c>
      <c r="F65" s="18" t="str">
        <f>IFERROR(INDEX(Reference!$G:$G,MATCH("Mutual Fund|"&amp;C65&amp;"|"&amp;B65,Reference!$A:$A,0)),"")</f>
        <v>Thailand</v>
      </c>
      <c r="G65" s="18" t="str">
        <f>IFERROR(INDEX(Reference!$I:$I,MATCH("Mutual Fund|"&amp;C65&amp;"|"&amp;B65,Reference!$A:$A,0)),"")</f>
        <v>SSF</v>
      </c>
      <c r="H65" s="36">
        <v>45838</v>
      </c>
      <c r="I65" s="37">
        <v>2025</v>
      </c>
      <c r="J65" s="37">
        <v>2030</v>
      </c>
      <c r="K65" s="39">
        <f t="shared" si="4"/>
        <v>0.91718001368925395</v>
      </c>
      <c r="L65" s="40">
        <v>16297.7932</v>
      </c>
      <c r="M65" s="40">
        <v>9.2036999999999995</v>
      </c>
      <c r="N65" s="41">
        <f>IFERROR(INDEX(Prices!$E:$E,MATCH("Mutual Fund|"&amp;C65&amp;"|"&amp;B65,Prices!$A:$A,0)),0)</f>
        <v>12.446</v>
      </c>
      <c r="O65" s="42">
        <v>150000</v>
      </c>
      <c r="P65" s="42">
        <f t="shared" si="5"/>
        <v>202842.3341672</v>
      </c>
      <c r="Q65" s="42">
        <f t="shared" si="6"/>
        <v>52842.334167199995</v>
      </c>
      <c r="R65" s="11">
        <f t="shared" si="7"/>
        <v>0.35228222778133328</v>
      </c>
      <c r="S65" s="35"/>
    </row>
    <row r="66" spans="1:19" ht="15" customHeight="1" x14ac:dyDescent="0.2">
      <c r="A66" s="35">
        <v>62</v>
      </c>
      <c r="B66" s="35" t="s">
        <v>141</v>
      </c>
      <c r="C66" s="35" t="s">
        <v>146</v>
      </c>
      <c r="D66" s="18" t="str">
        <f>IFERROR(INDEX(Reference!$E:$E,MATCH("Mutual Fund|"&amp;C66&amp;"|"&amp;B66,Reference!$A:$A,0)),"")</f>
        <v>Fixed Income</v>
      </c>
      <c r="E66" s="18" t="str">
        <f>IFERROR(INDEX(Reference!$H:$H,MATCH("Mutual Fund|"&amp;C66&amp;"|"&amp;B66,Reference!$A:$A,0)),"")</f>
        <v>TH Gov Bond</v>
      </c>
      <c r="F66" s="18" t="str">
        <f>IFERROR(INDEX(Reference!$G:$G,MATCH("Mutual Fund|"&amp;C66&amp;"|"&amp;B66,Reference!$A:$A,0)),"")</f>
        <v>Thailand</v>
      </c>
      <c r="G66" s="18" t="str">
        <f>IFERROR(INDEX(Reference!$I:$I,MATCH("Mutual Fund|"&amp;C66&amp;"|"&amp;B66,Reference!$A:$A,0)),"")</f>
        <v>RMF</v>
      </c>
      <c r="H66" s="36">
        <v>41968</v>
      </c>
      <c r="I66" s="37">
        <v>2014</v>
      </c>
      <c r="J66" s="37">
        <v>2037</v>
      </c>
      <c r="K66" s="39">
        <f t="shared" si="4"/>
        <v>11.512662559890487</v>
      </c>
      <c r="L66" s="40">
        <v>364.4341</v>
      </c>
      <c r="M66" s="40">
        <v>13.719900000000001</v>
      </c>
      <c r="N66" s="41">
        <f>IFERROR(INDEX(Prices!$E:$E,MATCH("Mutual Fund|"&amp;C66&amp;"|"&amp;B66,Prices!$A:$A,0)),0)</f>
        <v>16.417999999999999</v>
      </c>
      <c r="O66" s="42">
        <v>5000</v>
      </c>
      <c r="P66" s="42">
        <f t="shared" si="5"/>
        <v>5983.2790537999999</v>
      </c>
      <c r="Q66" s="42">
        <f t="shared" si="6"/>
        <v>983.27905379999993</v>
      </c>
      <c r="R66" s="11">
        <f t="shared" si="7"/>
        <v>0.19665581075999999</v>
      </c>
      <c r="S66" s="35"/>
    </row>
    <row r="67" spans="1:19" ht="15" customHeight="1" x14ac:dyDescent="0.2">
      <c r="A67" s="35">
        <v>63</v>
      </c>
      <c r="B67" s="35" t="s">
        <v>141</v>
      </c>
      <c r="C67" s="35" t="s">
        <v>146</v>
      </c>
      <c r="D67" s="18" t="str">
        <f>IFERROR(INDEX(Reference!$E:$E,MATCH("Mutual Fund|"&amp;C67&amp;"|"&amp;B67,Reference!$A:$A,0)),"")</f>
        <v>Fixed Income</v>
      </c>
      <c r="E67" s="18" t="str">
        <f>IFERROR(INDEX(Reference!$H:$H,MATCH("Mutual Fund|"&amp;C67&amp;"|"&amp;B67,Reference!$A:$A,0)),"")</f>
        <v>TH Gov Bond</v>
      </c>
      <c r="F67" s="18" t="str">
        <f>IFERROR(INDEX(Reference!$G:$G,MATCH("Mutual Fund|"&amp;C67&amp;"|"&amp;B67,Reference!$A:$A,0)),"")</f>
        <v>Thailand</v>
      </c>
      <c r="G67" s="18" t="str">
        <f>IFERROR(INDEX(Reference!$I:$I,MATCH("Mutual Fund|"&amp;C67&amp;"|"&amp;B67,Reference!$A:$A,0)),"")</f>
        <v>RMF</v>
      </c>
      <c r="H67" s="36">
        <v>41988</v>
      </c>
      <c r="I67" s="37">
        <v>2014</v>
      </c>
      <c r="J67" s="37">
        <v>2037</v>
      </c>
      <c r="K67" s="39">
        <f t="shared" si="4"/>
        <v>11.457905544147843</v>
      </c>
      <c r="L67" s="40">
        <v>7260.9512999999997</v>
      </c>
      <c r="M67" s="40">
        <v>13.7723</v>
      </c>
      <c r="N67" s="41">
        <f>IFERROR(INDEX(Prices!$E:$E,MATCH("Mutual Fund|"&amp;C67&amp;"|"&amp;B67,Prices!$A:$A,0)),0)</f>
        <v>16.417999999999999</v>
      </c>
      <c r="O67" s="42">
        <v>100000</v>
      </c>
      <c r="P67" s="42">
        <f t="shared" si="5"/>
        <v>119210.2984434</v>
      </c>
      <c r="Q67" s="42">
        <f t="shared" si="6"/>
        <v>19210.298443399995</v>
      </c>
      <c r="R67" s="11">
        <f t="shared" si="7"/>
        <v>0.19210298443399995</v>
      </c>
      <c r="S67" s="35"/>
    </row>
    <row r="68" spans="1:19" ht="15" customHeight="1" x14ac:dyDescent="0.2">
      <c r="A68" s="35">
        <v>64</v>
      </c>
      <c r="B68" s="35" t="s">
        <v>141</v>
      </c>
      <c r="C68" s="35" t="s">
        <v>146</v>
      </c>
      <c r="D68" s="18" t="str">
        <f>IFERROR(INDEX(Reference!$E:$E,MATCH("Mutual Fund|"&amp;C68&amp;"|"&amp;B68,Reference!$A:$A,0)),"")</f>
        <v>Fixed Income</v>
      </c>
      <c r="E68" s="18" t="str">
        <f>IFERROR(INDEX(Reference!$H:$H,MATCH("Mutual Fund|"&amp;C68&amp;"|"&amp;B68,Reference!$A:$A,0)),"")</f>
        <v>TH Gov Bond</v>
      </c>
      <c r="F68" s="18" t="str">
        <f>IFERROR(INDEX(Reference!$G:$G,MATCH("Mutual Fund|"&amp;C68&amp;"|"&amp;B68,Reference!$A:$A,0)),"")</f>
        <v>Thailand</v>
      </c>
      <c r="G68" s="18" t="str">
        <f>IFERROR(INDEX(Reference!$I:$I,MATCH("Mutual Fund|"&amp;C68&amp;"|"&amp;B68,Reference!$A:$A,0)),"")</f>
        <v>RMF</v>
      </c>
      <c r="H68" s="36">
        <v>42719</v>
      </c>
      <c r="I68" s="37">
        <v>2016</v>
      </c>
      <c r="J68" s="37">
        <v>2037</v>
      </c>
      <c r="K68" s="39">
        <f t="shared" si="4"/>
        <v>9.4565366187542779</v>
      </c>
      <c r="L68" s="40">
        <v>2117.8364000000001</v>
      </c>
      <c r="M68" s="40">
        <v>14.1654</v>
      </c>
      <c r="N68" s="41">
        <f>IFERROR(INDEX(Prices!$E:$E,MATCH("Mutual Fund|"&amp;C68&amp;"|"&amp;B68,Prices!$A:$A,0)),0)</f>
        <v>16.417999999999999</v>
      </c>
      <c r="O68" s="42">
        <v>30000</v>
      </c>
      <c r="P68" s="42">
        <f t="shared" si="5"/>
        <v>34770.638015199998</v>
      </c>
      <c r="Q68" s="42">
        <f t="shared" si="6"/>
        <v>4770.6380151999983</v>
      </c>
      <c r="R68" s="11">
        <f t="shared" si="7"/>
        <v>0.15902126717333329</v>
      </c>
      <c r="S68" s="35"/>
    </row>
    <row r="69" spans="1:19" ht="15" customHeight="1" x14ac:dyDescent="0.2">
      <c r="A69" s="35">
        <v>65</v>
      </c>
      <c r="B69" s="35" t="s">
        <v>141</v>
      </c>
      <c r="C69" s="35" t="s">
        <v>146</v>
      </c>
      <c r="D69" s="18" t="str">
        <f>IFERROR(INDEX(Reference!$E:$E,MATCH("Mutual Fund|"&amp;C69&amp;"|"&amp;B69,Reference!$A:$A,0)),"")</f>
        <v>Fixed Income</v>
      </c>
      <c r="E69" s="18" t="str">
        <f>IFERROR(INDEX(Reference!$H:$H,MATCH("Mutual Fund|"&amp;C69&amp;"|"&amp;B69,Reference!$A:$A,0)),"")</f>
        <v>TH Gov Bond</v>
      </c>
      <c r="F69" s="18" t="str">
        <f>IFERROR(INDEX(Reference!$G:$G,MATCH("Mutual Fund|"&amp;C69&amp;"|"&amp;B69,Reference!$A:$A,0)),"")</f>
        <v>Thailand</v>
      </c>
      <c r="G69" s="18" t="str">
        <f>IFERROR(INDEX(Reference!$I:$I,MATCH("Mutual Fund|"&amp;C69&amp;"|"&amp;B69,Reference!$A:$A,0)),"")</f>
        <v>RMF</v>
      </c>
      <c r="H69" s="36">
        <v>43087</v>
      </c>
      <c r="I69" s="37">
        <v>2017</v>
      </c>
      <c r="J69" s="37">
        <v>2037</v>
      </c>
      <c r="K69" s="39">
        <f t="shared" ref="K69:K100" si="8">IFERROR(IF(H69="","",(AsOfDate-H69)/365.25),"")</f>
        <v>8.4490075290896645</v>
      </c>
      <c r="L69" s="40">
        <v>2073.9142999999999</v>
      </c>
      <c r="M69" s="40">
        <v>14.465400000000001</v>
      </c>
      <c r="N69" s="41">
        <f>IFERROR(INDEX(Prices!$E:$E,MATCH("Mutual Fund|"&amp;C69&amp;"|"&amp;B69,Prices!$A:$A,0)),0)</f>
        <v>16.417999999999999</v>
      </c>
      <c r="O69" s="42">
        <v>30000</v>
      </c>
      <c r="P69" s="42">
        <f t="shared" ref="P69:P100" si="9">L69*N69</f>
        <v>34049.524977399997</v>
      </c>
      <c r="Q69" s="42">
        <f t="shared" ref="Q69:Q100" si="10">P69-O69</f>
        <v>4049.5249773999967</v>
      </c>
      <c r="R69" s="11">
        <f t="shared" ref="R69:R100" si="11">IFERROR(Q69/O69,0)</f>
        <v>0.13498416591333323</v>
      </c>
      <c r="S69" s="35"/>
    </row>
    <row r="70" spans="1:19" ht="15" customHeight="1" x14ac:dyDescent="0.2">
      <c r="A70" s="35">
        <v>66</v>
      </c>
      <c r="B70" s="35" t="s">
        <v>141</v>
      </c>
      <c r="C70" s="35" t="s">
        <v>146</v>
      </c>
      <c r="D70" s="18" t="str">
        <f>IFERROR(INDEX(Reference!$E:$E,MATCH("Mutual Fund|"&amp;C70&amp;"|"&amp;B70,Reference!$A:$A,0)),"")</f>
        <v>Fixed Income</v>
      </c>
      <c r="E70" s="18" t="str">
        <f>IFERROR(INDEX(Reference!$H:$H,MATCH("Mutual Fund|"&amp;C70&amp;"|"&amp;B70,Reference!$A:$A,0)),"")</f>
        <v>TH Gov Bond</v>
      </c>
      <c r="F70" s="18" t="str">
        <f>IFERROR(INDEX(Reference!$G:$G,MATCH("Mutual Fund|"&amp;C70&amp;"|"&amp;B70,Reference!$A:$A,0)),"")</f>
        <v>Thailand</v>
      </c>
      <c r="G70" s="18" t="str">
        <f>IFERROR(INDEX(Reference!$I:$I,MATCH("Mutual Fund|"&amp;C70&amp;"|"&amp;B70,Reference!$A:$A,0)),"")</f>
        <v>RMF</v>
      </c>
      <c r="H70" s="36">
        <v>43445</v>
      </c>
      <c r="I70" s="37">
        <v>2018</v>
      </c>
      <c r="J70" s="37">
        <v>2037</v>
      </c>
      <c r="K70" s="39">
        <f t="shared" si="8"/>
        <v>7.4688569472963726</v>
      </c>
      <c r="L70" s="40">
        <v>343.66849999999999</v>
      </c>
      <c r="M70" s="40">
        <v>14.5489</v>
      </c>
      <c r="N70" s="41">
        <f>IFERROR(INDEX(Prices!$E:$E,MATCH("Mutual Fund|"&amp;C70&amp;"|"&amp;B70,Prices!$A:$A,0)),0)</f>
        <v>16.417999999999999</v>
      </c>
      <c r="O70" s="42">
        <v>5000</v>
      </c>
      <c r="P70" s="42">
        <f t="shared" si="9"/>
        <v>5642.3494329999994</v>
      </c>
      <c r="Q70" s="42">
        <f t="shared" si="10"/>
        <v>642.34943299999941</v>
      </c>
      <c r="R70" s="11">
        <f t="shared" si="11"/>
        <v>0.12846988659999989</v>
      </c>
      <c r="S70" s="35"/>
    </row>
    <row r="71" spans="1:19" ht="15" customHeight="1" x14ac:dyDescent="0.2">
      <c r="A71" s="35">
        <v>67</v>
      </c>
      <c r="B71" s="35" t="s">
        <v>141</v>
      </c>
      <c r="C71" s="35" t="s">
        <v>146</v>
      </c>
      <c r="D71" s="18" t="str">
        <f>IFERROR(INDEX(Reference!$E:$E,MATCH("Mutual Fund|"&amp;C71&amp;"|"&amp;B71,Reference!$A:$A,0)),"")</f>
        <v>Fixed Income</v>
      </c>
      <c r="E71" s="18" t="str">
        <f>IFERROR(INDEX(Reference!$H:$H,MATCH("Mutual Fund|"&amp;C71&amp;"|"&amp;B71,Reference!$A:$A,0)),"")</f>
        <v>TH Gov Bond</v>
      </c>
      <c r="F71" s="18" t="str">
        <f>IFERROR(INDEX(Reference!$G:$G,MATCH("Mutual Fund|"&amp;C71&amp;"|"&amp;B71,Reference!$A:$A,0)),"")</f>
        <v>Thailand</v>
      </c>
      <c r="G71" s="18" t="str">
        <f>IFERROR(INDEX(Reference!$I:$I,MATCH("Mutual Fund|"&amp;C71&amp;"|"&amp;B71,Reference!$A:$A,0)),"")</f>
        <v>RMF</v>
      </c>
      <c r="H71" s="36">
        <v>43528</v>
      </c>
      <c r="I71" s="37">
        <v>2019</v>
      </c>
      <c r="J71" s="37">
        <v>2037</v>
      </c>
      <c r="K71" s="39">
        <f t="shared" si="8"/>
        <v>7.2416153319644083</v>
      </c>
      <c r="L71" s="40">
        <v>2739.2568999999999</v>
      </c>
      <c r="M71" s="40">
        <v>14.602499999999999</v>
      </c>
      <c r="N71" s="41">
        <f>IFERROR(INDEX(Prices!$E:$E,MATCH("Mutual Fund|"&amp;C71&amp;"|"&amp;B71,Prices!$A:$A,0)),0)</f>
        <v>16.417999999999999</v>
      </c>
      <c r="O71" s="42">
        <v>40000</v>
      </c>
      <c r="P71" s="42">
        <f t="shared" si="9"/>
        <v>44973.119784199997</v>
      </c>
      <c r="Q71" s="42">
        <f t="shared" si="10"/>
        <v>4973.1197841999965</v>
      </c>
      <c r="R71" s="11">
        <f t="shared" si="11"/>
        <v>0.12432799460499991</v>
      </c>
      <c r="S71" s="35"/>
    </row>
    <row r="72" spans="1:19" ht="15" customHeight="1" x14ac:dyDescent="0.2">
      <c r="A72" s="35">
        <v>68</v>
      </c>
      <c r="B72" s="35" t="s">
        <v>141</v>
      </c>
      <c r="C72" s="35" t="s">
        <v>146</v>
      </c>
      <c r="D72" s="18" t="str">
        <f>IFERROR(INDEX(Reference!$E:$E,MATCH("Mutual Fund|"&amp;C72&amp;"|"&amp;B72,Reference!$A:$A,0)),"")</f>
        <v>Fixed Income</v>
      </c>
      <c r="E72" s="18" t="str">
        <f>IFERROR(INDEX(Reference!$H:$H,MATCH("Mutual Fund|"&amp;C72&amp;"|"&amp;B72,Reference!$A:$A,0)),"")</f>
        <v>TH Gov Bond</v>
      </c>
      <c r="F72" s="18" t="str">
        <f>IFERROR(INDEX(Reference!$G:$G,MATCH("Mutual Fund|"&amp;C72&amp;"|"&amp;B72,Reference!$A:$A,0)),"")</f>
        <v>Thailand</v>
      </c>
      <c r="G72" s="18" t="str">
        <f>IFERROR(INDEX(Reference!$I:$I,MATCH("Mutual Fund|"&amp;C72&amp;"|"&amp;B72,Reference!$A:$A,0)),"")</f>
        <v>RMF</v>
      </c>
      <c r="H72" s="36">
        <v>44186</v>
      </c>
      <c r="I72" s="37">
        <v>2020</v>
      </c>
      <c r="J72" s="37">
        <v>2037</v>
      </c>
      <c r="K72" s="39">
        <f t="shared" si="8"/>
        <v>5.4401095140314855</v>
      </c>
      <c r="L72" s="40">
        <v>2632.4794999999999</v>
      </c>
      <c r="M72" s="40">
        <v>15.194800000000001</v>
      </c>
      <c r="N72" s="41">
        <f>IFERROR(INDEX(Prices!$E:$E,MATCH("Mutual Fund|"&amp;C72&amp;"|"&amp;B72,Prices!$A:$A,0)),0)</f>
        <v>16.417999999999999</v>
      </c>
      <c r="O72" s="42">
        <v>40000</v>
      </c>
      <c r="P72" s="42">
        <f t="shared" si="9"/>
        <v>43220.048430999996</v>
      </c>
      <c r="Q72" s="42">
        <f t="shared" si="10"/>
        <v>3220.0484309999956</v>
      </c>
      <c r="R72" s="11">
        <f t="shared" si="11"/>
        <v>8.0501210774999887E-2</v>
      </c>
      <c r="S72" s="35"/>
    </row>
    <row r="73" spans="1:19" ht="15" customHeight="1" x14ac:dyDescent="0.2">
      <c r="A73" s="35">
        <v>69</v>
      </c>
      <c r="B73" s="35" t="s">
        <v>141</v>
      </c>
      <c r="C73" s="35" t="s">
        <v>146</v>
      </c>
      <c r="D73" s="18" t="str">
        <f>IFERROR(INDEX(Reference!$E:$E,MATCH("Mutual Fund|"&amp;C73&amp;"|"&amp;B73,Reference!$A:$A,0)),"")</f>
        <v>Fixed Income</v>
      </c>
      <c r="E73" s="18" t="str">
        <f>IFERROR(INDEX(Reference!$H:$H,MATCH("Mutual Fund|"&amp;C73&amp;"|"&amp;B73,Reference!$A:$A,0)),"")</f>
        <v>TH Gov Bond</v>
      </c>
      <c r="F73" s="18" t="str">
        <f>IFERROR(INDEX(Reference!$G:$G,MATCH("Mutual Fund|"&amp;C73&amp;"|"&amp;B73,Reference!$A:$A,0)),"")</f>
        <v>Thailand</v>
      </c>
      <c r="G73" s="18" t="str">
        <f>IFERROR(INDEX(Reference!$I:$I,MATCH("Mutual Fund|"&amp;C73&amp;"|"&amp;B73,Reference!$A:$A,0)),"")</f>
        <v>RMF</v>
      </c>
      <c r="H73" s="36">
        <v>44363</v>
      </c>
      <c r="I73" s="37">
        <v>2021</v>
      </c>
      <c r="J73" s="37">
        <v>2037</v>
      </c>
      <c r="K73" s="39">
        <f t="shared" si="8"/>
        <v>4.9555099247091032</v>
      </c>
      <c r="L73" s="40">
        <v>660.48879999999997</v>
      </c>
      <c r="M73" s="40">
        <v>15.1403</v>
      </c>
      <c r="N73" s="41">
        <f>IFERROR(INDEX(Prices!$E:$E,MATCH("Mutual Fund|"&amp;C73&amp;"|"&amp;B73,Prices!$A:$A,0)),0)</f>
        <v>16.417999999999999</v>
      </c>
      <c r="O73" s="42">
        <v>10000</v>
      </c>
      <c r="P73" s="42">
        <f t="shared" si="9"/>
        <v>10843.905118399998</v>
      </c>
      <c r="Q73" s="42">
        <f t="shared" si="10"/>
        <v>843.90511839999817</v>
      </c>
      <c r="R73" s="11">
        <f t="shared" si="11"/>
        <v>8.4390511839999821E-2</v>
      </c>
      <c r="S73" s="35"/>
    </row>
    <row r="74" spans="1:19" ht="15" customHeight="1" x14ac:dyDescent="0.2">
      <c r="A74" s="35">
        <v>70</v>
      </c>
      <c r="B74" s="35" t="s">
        <v>141</v>
      </c>
      <c r="C74" s="35" t="s">
        <v>146</v>
      </c>
      <c r="D74" s="18" t="str">
        <f>IFERROR(INDEX(Reference!$E:$E,MATCH("Mutual Fund|"&amp;C74&amp;"|"&amp;B74,Reference!$A:$A,0)),"")</f>
        <v>Fixed Income</v>
      </c>
      <c r="E74" s="18" t="str">
        <f>IFERROR(INDEX(Reference!$H:$H,MATCH("Mutual Fund|"&amp;C74&amp;"|"&amp;B74,Reference!$A:$A,0)),"")</f>
        <v>TH Gov Bond</v>
      </c>
      <c r="F74" s="18" t="str">
        <f>IFERROR(INDEX(Reference!$G:$G,MATCH("Mutual Fund|"&amp;C74&amp;"|"&amp;B74,Reference!$A:$A,0)),"")</f>
        <v>Thailand</v>
      </c>
      <c r="G74" s="18" t="str">
        <f>IFERROR(INDEX(Reference!$I:$I,MATCH("Mutual Fund|"&amp;C74&amp;"|"&amp;B74,Reference!$A:$A,0)),"")</f>
        <v>RMF</v>
      </c>
      <c r="H74" s="36">
        <v>44382</v>
      </c>
      <c r="I74" s="37">
        <v>2021</v>
      </c>
      <c r="J74" s="37">
        <v>2037</v>
      </c>
      <c r="K74" s="39">
        <f t="shared" si="8"/>
        <v>4.9034907597535931</v>
      </c>
      <c r="L74" s="40">
        <v>1977.0138999999999</v>
      </c>
      <c r="M74" s="40">
        <v>15.1744</v>
      </c>
      <c r="N74" s="41">
        <f>IFERROR(INDEX(Prices!$E:$E,MATCH("Mutual Fund|"&amp;C74&amp;"|"&amp;B74,Prices!$A:$A,0)),0)</f>
        <v>16.417999999999999</v>
      </c>
      <c r="O74" s="42">
        <v>30000</v>
      </c>
      <c r="P74" s="42">
        <f t="shared" si="9"/>
        <v>32458.614210199998</v>
      </c>
      <c r="Q74" s="42">
        <f t="shared" si="10"/>
        <v>2458.6142101999976</v>
      </c>
      <c r="R74" s="11">
        <f t="shared" si="11"/>
        <v>8.1953807006666587E-2</v>
      </c>
      <c r="S74" s="35"/>
    </row>
    <row r="75" spans="1:19" ht="15" customHeight="1" x14ac:dyDescent="0.2">
      <c r="A75" s="35">
        <v>71</v>
      </c>
      <c r="B75" s="35" t="s">
        <v>141</v>
      </c>
      <c r="C75" s="35" t="s">
        <v>146</v>
      </c>
      <c r="D75" s="18" t="str">
        <f>IFERROR(INDEX(Reference!$E:$E,MATCH("Mutual Fund|"&amp;C75&amp;"|"&amp;B75,Reference!$A:$A,0)),"")</f>
        <v>Fixed Income</v>
      </c>
      <c r="E75" s="18" t="str">
        <f>IFERROR(INDEX(Reference!$H:$H,MATCH("Mutual Fund|"&amp;C75&amp;"|"&amp;B75,Reference!$A:$A,0)),"")</f>
        <v>TH Gov Bond</v>
      </c>
      <c r="F75" s="18" t="str">
        <f>IFERROR(INDEX(Reference!$G:$G,MATCH("Mutual Fund|"&amp;C75&amp;"|"&amp;B75,Reference!$A:$A,0)),"")</f>
        <v>Thailand</v>
      </c>
      <c r="G75" s="18" t="str">
        <f>IFERROR(INDEX(Reference!$I:$I,MATCH("Mutual Fund|"&amp;C75&amp;"|"&amp;B75,Reference!$A:$A,0)),"")</f>
        <v>RMF</v>
      </c>
      <c r="H75" s="36">
        <v>44592</v>
      </c>
      <c r="I75" s="37">
        <v>2022</v>
      </c>
      <c r="J75" s="37">
        <v>2037</v>
      </c>
      <c r="K75" s="39">
        <f t="shared" si="8"/>
        <v>4.3285420944558526</v>
      </c>
      <c r="L75" s="40">
        <v>661.27070000000003</v>
      </c>
      <c r="M75" s="40">
        <v>15.122400000000001</v>
      </c>
      <c r="N75" s="41">
        <f>IFERROR(INDEX(Prices!$E:$E,MATCH("Mutual Fund|"&amp;C75&amp;"|"&amp;B75,Prices!$A:$A,0)),0)</f>
        <v>16.417999999999999</v>
      </c>
      <c r="O75" s="42">
        <v>10000</v>
      </c>
      <c r="P75" s="42">
        <f t="shared" si="9"/>
        <v>10856.7423526</v>
      </c>
      <c r="Q75" s="42">
        <f t="shared" si="10"/>
        <v>856.74235260000023</v>
      </c>
      <c r="R75" s="11">
        <f t="shared" si="11"/>
        <v>8.5674235260000023E-2</v>
      </c>
      <c r="S75" s="35"/>
    </row>
    <row r="76" spans="1:19" ht="15" customHeight="1" x14ac:dyDescent="0.2">
      <c r="A76" s="35">
        <v>72</v>
      </c>
      <c r="B76" s="35" t="s">
        <v>141</v>
      </c>
      <c r="C76" s="35" t="s">
        <v>146</v>
      </c>
      <c r="D76" s="18" t="str">
        <f>IFERROR(INDEX(Reference!$E:$E,MATCH("Mutual Fund|"&amp;C76&amp;"|"&amp;B76,Reference!$A:$A,0)),"")</f>
        <v>Fixed Income</v>
      </c>
      <c r="E76" s="18" t="str">
        <f>IFERROR(INDEX(Reference!$H:$H,MATCH("Mutual Fund|"&amp;C76&amp;"|"&amp;B76,Reference!$A:$A,0)),"")</f>
        <v>TH Gov Bond</v>
      </c>
      <c r="F76" s="18" t="str">
        <f>IFERROR(INDEX(Reference!$G:$G,MATCH("Mutual Fund|"&amp;C76&amp;"|"&amp;B76,Reference!$A:$A,0)),"")</f>
        <v>Thailand</v>
      </c>
      <c r="G76" s="18" t="str">
        <f>IFERROR(INDEX(Reference!$I:$I,MATCH("Mutual Fund|"&amp;C76&amp;"|"&amp;B76,Reference!$A:$A,0)),"")</f>
        <v>RMF</v>
      </c>
      <c r="H76" s="36">
        <v>44967</v>
      </c>
      <c r="I76" s="37">
        <v>2023</v>
      </c>
      <c r="J76" s="37">
        <v>2037</v>
      </c>
      <c r="K76" s="39">
        <f t="shared" si="8"/>
        <v>3.3018480492813143</v>
      </c>
      <c r="L76" s="40">
        <v>661.97109999999998</v>
      </c>
      <c r="M76" s="40">
        <v>15.106400000000001</v>
      </c>
      <c r="N76" s="41">
        <f>IFERROR(INDEX(Prices!$E:$E,MATCH("Mutual Fund|"&amp;C76&amp;"|"&amp;B76,Prices!$A:$A,0)),0)</f>
        <v>16.417999999999999</v>
      </c>
      <c r="O76" s="42">
        <v>10000</v>
      </c>
      <c r="P76" s="42">
        <f t="shared" si="9"/>
        <v>10868.2415198</v>
      </c>
      <c r="Q76" s="42">
        <f t="shared" si="10"/>
        <v>868.24151979999988</v>
      </c>
      <c r="R76" s="11">
        <f t="shared" si="11"/>
        <v>8.6824151979999986E-2</v>
      </c>
      <c r="S76" s="35"/>
    </row>
    <row r="77" spans="1:19" ht="15" customHeight="1" x14ac:dyDescent="0.2">
      <c r="A77" s="35">
        <v>73</v>
      </c>
      <c r="B77" s="35" t="s">
        <v>141</v>
      </c>
      <c r="C77" s="35" t="s">
        <v>146</v>
      </c>
      <c r="D77" s="18" t="str">
        <f>IFERROR(INDEX(Reference!$E:$E,MATCH("Mutual Fund|"&amp;C77&amp;"|"&amp;B77,Reference!$A:$A,0)),"")</f>
        <v>Fixed Income</v>
      </c>
      <c r="E77" s="18" t="str">
        <f>IFERROR(INDEX(Reference!$H:$H,MATCH("Mutual Fund|"&amp;C77&amp;"|"&amp;B77,Reference!$A:$A,0)),"")</f>
        <v>TH Gov Bond</v>
      </c>
      <c r="F77" s="18" t="str">
        <f>IFERROR(INDEX(Reference!$G:$G,MATCH("Mutual Fund|"&amp;C77&amp;"|"&amp;B77,Reference!$A:$A,0)),"")</f>
        <v>Thailand</v>
      </c>
      <c r="G77" s="18" t="str">
        <f>IFERROR(INDEX(Reference!$I:$I,MATCH("Mutual Fund|"&amp;C77&amp;"|"&amp;B77,Reference!$A:$A,0)),"")</f>
        <v>RMF</v>
      </c>
      <c r="H77" s="36">
        <v>45327</v>
      </c>
      <c r="I77" s="37">
        <v>2024</v>
      </c>
      <c r="J77" s="37">
        <v>2037</v>
      </c>
      <c r="K77" s="39">
        <f t="shared" si="8"/>
        <v>2.3162217659137578</v>
      </c>
      <c r="L77" s="40">
        <v>650.66470000000004</v>
      </c>
      <c r="M77" s="40">
        <v>15.3689</v>
      </c>
      <c r="N77" s="41">
        <f>IFERROR(INDEX(Prices!$E:$E,MATCH("Mutual Fund|"&amp;C77&amp;"|"&amp;B77,Prices!$A:$A,0)),0)</f>
        <v>16.417999999999999</v>
      </c>
      <c r="O77" s="42">
        <v>10000</v>
      </c>
      <c r="P77" s="42">
        <f t="shared" si="9"/>
        <v>10682.613044600001</v>
      </c>
      <c r="Q77" s="42">
        <f t="shared" si="10"/>
        <v>682.61304460000065</v>
      </c>
      <c r="R77" s="11">
        <f t="shared" si="11"/>
        <v>6.8261304460000061E-2</v>
      </c>
      <c r="S77" s="35"/>
    </row>
    <row r="78" spans="1:19" ht="15" customHeight="1" x14ac:dyDescent="0.2">
      <c r="A78" s="35">
        <v>74</v>
      </c>
      <c r="B78" s="35" t="s">
        <v>141</v>
      </c>
      <c r="C78" s="35" t="s">
        <v>146</v>
      </c>
      <c r="D78" s="18" t="str">
        <f>IFERROR(INDEX(Reference!$E:$E,MATCH("Mutual Fund|"&amp;C78&amp;"|"&amp;B78,Reference!$A:$A,0)),"")</f>
        <v>Fixed Income</v>
      </c>
      <c r="E78" s="18" t="str">
        <f>IFERROR(INDEX(Reference!$H:$H,MATCH("Mutual Fund|"&amp;C78&amp;"|"&amp;B78,Reference!$A:$A,0)),"")</f>
        <v>TH Gov Bond</v>
      </c>
      <c r="F78" s="18" t="str">
        <f>IFERROR(INDEX(Reference!$G:$G,MATCH("Mutual Fund|"&amp;C78&amp;"|"&amp;B78,Reference!$A:$A,0)),"")</f>
        <v>Thailand</v>
      </c>
      <c r="G78" s="18" t="str">
        <f>IFERROR(INDEX(Reference!$I:$I,MATCH("Mutual Fund|"&amp;C78&amp;"|"&amp;B78,Reference!$A:$A,0)),"")</f>
        <v>RMF</v>
      </c>
      <c r="H78" s="36">
        <v>45887</v>
      </c>
      <c r="I78" s="37">
        <v>2025</v>
      </c>
      <c r="J78" s="37">
        <v>2037</v>
      </c>
      <c r="K78" s="39">
        <f t="shared" si="8"/>
        <v>0.78302532511978096</v>
      </c>
      <c r="L78" s="40">
        <v>607.19029999999998</v>
      </c>
      <c r="M78" s="40">
        <v>16.4693</v>
      </c>
      <c r="N78" s="41">
        <f>IFERROR(INDEX(Prices!$E:$E,MATCH("Mutual Fund|"&amp;C78&amp;"|"&amp;B78,Prices!$A:$A,0)),0)</f>
        <v>16.417999999999999</v>
      </c>
      <c r="O78" s="42">
        <v>10000</v>
      </c>
      <c r="P78" s="42">
        <f t="shared" si="9"/>
        <v>9968.8503453999983</v>
      </c>
      <c r="Q78" s="42">
        <f t="shared" si="10"/>
        <v>-31.149654600001668</v>
      </c>
      <c r="R78" s="11">
        <f t="shared" si="11"/>
        <v>-3.1149654600001668E-3</v>
      </c>
      <c r="S78" s="35"/>
    </row>
    <row r="79" spans="1:19" ht="15" customHeight="1" x14ac:dyDescent="0.2">
      <c r="A79" s="35">
        <v>75</v>
      </c>
      <c r="B79" s="35" t="s">
        <v>141</v>
      </c>
      <c r="C79" s="35" t="s">
        <v>145</v>
      </c>
      <c r="D79" s="18" t="str">
        <f>IFERROR(INDEX(Reference!$E:$E,MATCH("Mutual Fund|"&amp;C79&amp;"|"&amp;B79,Reference!$A:$A,0)),"")</f>
        <v>Multi-Asset</v>
      </c>
      <c r="E79" s="18" t="str">
        <f>IFERROR(INDEX(Reference!$H:$H,MATCH("Mutual Fund|"&amp;C79&amp;"|"&amp;B79,Reference!$A:$A,0)),"")</f>
        <v>Thai Balanced</v>
      </c>
      <c r="F79" s="18" t="str">
        <f>IFERROR(INDEX(Reference!$G:$G,MATCH("Mutual Fund|"&amp;C79&amp;"|"&amp;B79,Reference!$A:$A,0)),"")</f>
        <v>Thailand</v>
      </c>
      <c r="G79" s="18" t="str">
        <f>IFERROR(INDEX(Reference!$I:$I,MATCH("Mutual Fund|"&amp;C79&amp;"|"&amp;B79,Reference!$A:$A,0)),"")</f>
        <v>RMF</v>
      </c>
      <c r="H79" s="36">
        <v>41968</v>
      </c>
      <c r="I79" s="37">
        <v>2014</v>
      </c>
      <c r="J79" s="37">
        <v>2037</v>
      </c>
      <c r="K79" s="39">
        <f t="shared" si="8"/>
        <v>11.512662559890487</v>
      </c>
      <c r="L79" s="40">
        <v>88.662300000000002</v>
      </c>
      <c r="M79" s="40">
        <v>56.393700000000003</v>
      </c>
      <c r="N79" s="41">
        <f>IFERROR(INDEX(Prices!$E:$E,MATCH("Mutual Fund|"&amp;C79&amp;"|"&amp;B79,Prices!$A:$A,0)),0)</f>
        <v>52.918799999999997</v>
      </c>
      <c r="O79" s="42">
        <v>5000</v>
      </c>
      <c r="P79" s="42">
        <f t="shared" si="9"/>
        <v>4691.9025212400002</v>
      </c>
      <c r="Q79" s="42">
        <f t="shared" si="10"/>
        <v>-308.09747875999983</v>
      </c>
      <c r="R79" s="11">
        <f t="shared" si="11"/>
        <v>-6.1619495751999966E-2</v>
      </c>
      <c r="S79" s="35"/>
    </row>
    <row r="80" spans="1:19" ht="15" customHeight="1" x14ac:dyDescent="0.2">
      <c r="A80" s="35">
        <v>76</v>
      </c>
      <c r="B80" s="35" t="s">
        <v>141</v>
      </c>
      <c r="C80" s="35" t="s">
        <v>145</v>
      </c>
      <c r="D80" s="18" t="str">
        <f>IFERROR(INDEX(Reference!$E:$E,MATCH("Mutual Fund|"&amp;C80&amp;"|"&amp;B80,Reference!$A:$A,0)),"")</f>
        <v>Multi-Asset</v>
      </c>
      <c r="E80" s="18" t="str">
        <f>IFERROR(INDEX(Reference!$H:$H,MATCH("Mutual Fund|"&amp;C80&amp;"|"&amp;B80,Reference!$A:$A,0)),"")</f>
        <v>Thai Balanced</v>
      </c>
      <c r="F80" s="18" t="str">
        <f>IFERROR(INDEX(Reference!$G:$G,MATCH("Mutual Fund|"&amp;C80&amp;"|"&amp;B80,Reference!$A:$A,0)),"")</f>
        <v>Thailand</v>
      </c>
      <c r="G80" s="18" t="str">
        <f>IFERROR(INDEX(Reference!$I:$I,MATCH("Mutual Fund|"&amp;C80&amp;"|"&amp;B80,Reference!$A:$A,0)),"")</f>
        <v>RMF</v>
      </c>
      <c r="H80" s="36">
        <v>41982</v>
      </c>
      <c r="I80" s="37">
        <v>2014</v>
      </c>
      <c r="J80" s="37">
        <v>2037</v>
      </c>
      <c r="K80" s="39">
        <f t="shared" si="8"/>
        <v>11.474332648870636</v>
      </c>
      <c r="L80" s="40">
        <v>1432.3928000000001</v>
      </c>
      <c r="M80" s="40">
        <v>55.8506</v>
      </c>
      <c r="N80" s="41">
        <f>IFERROR(INDEX(Prices!$E:$E,MATCH("Mutual Fund|"&amp;C80&amp;"|"&amp;B80,Prices!$A:$A,0)),0)</f>
        <v>52.918799999999997</v>
      </c>
      <c r="O80" s="42">
        <v>80000</v>
      </c>
      <c r="P80" s="42">
        <f t="shared" si="9"/>
        <v>75800.508104640001</v>
      </c>
      <c r="Q80" s="42">
        <f t="shared" si="10"/>
        <v>-4199.491895359999</v>
      </c>
      <c r="R80" s="11">
        <f t="shared" si="11"/>
        <v>-5.2493648691999989E-2</v>
      </c>
      <c r="S80" s="35"/>
    </row>
    <row r="81" spans="1:19" ht="15" customHeight="1" x14ac:dyDescent="0.2">
      <c r="A81" s="35">
        <v>77</v>
      </c>
      <c r="B81" s="35" t="s">
        <v>141</v>
      </c>
      <c r="C81" s="35" t="s">
        <v>145</v>
      </c>
      <c r="D81" s="18" t="str">
        <f>IFERROR(INDEX(Reference!$E:$E,MATCH("Mutual Fund|"&amp;C81&amp;"|"&amp;B81,Reference!$A:$A,0)),"")</f>
        <v>Multi-Asset</v>
      </c>
      <c r="E81" s="18" t="str">
        <f>IFERROR(INDEX(Reference!$H:$H,MATCH("Mutual Fund|"&amp;C81&amp;"|"&amp;B81,Reference!$A:$A,0)),"")</f>
        <v>Thai Balanced</v>
      </c>
      <c r="F81" s="18" t="str">
        <f>IFERROR(INDEX(Reference!$G:$G,MATCH("Mutual Fund|"&amp;C81&amp;"|"&amp;B81,Reference!$A:$A,0)),"")</f>
        <v>Thailand</v>
      </c>
      <c r="G81" s="18" t="str">
        <f>IFERROR(INDEX(Reference!$I:$I,MATCH("Mutual Fund|"&amp;C81&amp;"|"&amp;B81,Reference!$A:$A,0)),"")</f>
        <v>RMF</v>
      </c>
      <c r="H81" s="36">
        <v>41988</v>
      </c>
      <c r="I81" s="37">
        <v>2014</v>
      </c>
      <c r="J81" s="37">
        <v>2037</v>
      </c>
      <c r="K81" s="39">
        <f t="shared" si="8"/>
        <v>11.457905544147843</v>
      </c>
      <c r="L81" s="40">
        <v>1857.4103</v>
      </c>
      <c r="M81" s="40">
        <v>53.8384</v>
      </c>
      <c r="N81" s="41">
        <f>IFERROR(INDEX(Prices!$E:$E,MATCH("Mutual Fund|"&amp;C81&amp;"|"&amp;B81,Prices!$A:$A,0)),0)</f>
        <v>52.918799999999997</v>
      </c>
      <c r="O81" s="42">
        <v>100000</v>
      </c>
      <c r="P81" s="42">
        <f t="shared" si="9"/>
        <v>98291.924183639989</v>
      </c>
      <c r="Q81" s="42">
        <f t="shared" si="10"/>
        <v>-1708.0758163600112</v>
      </c>
      <c r="R81" s="11">
        <f t="shared" si="11"/>
        <v>-1.7080758163600111E-2</v>
      </c>
      <c r="S81" s="35"/>
    </row>
    <row r="82" spans="1:19" ht="15" customHeight="1" x14ac:dyDescent="0.2">
      <c r="A82" s="35">
        <v>78</v>
      </c>
      <c r="B82" s="35" t="s">
        <v>141</v>
      </c>
      <c r="C82" s="35" t="s">
        <v>145</v>
      </c>
      <c r="D82" s="18" t="str">
        <f>IFERROR(INDEX(Reference!$E:$E,MATCH("Mutual Fund|"&amp;C82&amp;"|"&amp;B82,Reference!$A:$A,0)),"")</f>
        <v>Multi-Asset</v>
      </c>
      <c r="E82" s="18" t="str">
        <f>IFERROR(INDEX(Reference!$H:$H,MATCH("Mutual Fund|"&amp;C82&amp;"|"&amp;B82,Reference!$A:$A,0)),"")</f>
        <v>Thai Balanced</v>
      </c>
      <c r="F82" s="18" t="str">
        <f>IFERROR(INDEX(Reference!$G:$G,MATCH("Mutual Fund|"&amp;C82&amp;"|"&amp;B82,Reference!$A:$A,0)),"")</f>
        <v>Thailand</v>
      </c>
      <c r="G82" s="18" t="str">
        <f>IFERROR(INDEX(Reference!$I:$I,MATCH("Mutual Fund|"&amp;C82&amp;"|"&amp;B82,Reference!$A:$A,0)),"")</f>
        <v>RMF</v>
      </c>
      <c r="H82" s="36">
        <v>41989</v>
      </c>
      <c r="I82" s="37">
        <v>2014</v>
      </c>
      <c r="J82" s="37">
        <v>2037</v>
      </c>
      <c r="K82" s="39">
        <f t="shared" si="8"/>
        <v>11.455167693360712</v>
      </c>
      <c r="L82" s="40">
        <v>657.35230000000001</v>
      </c>
      <c r="M82" s="40">
        <v>53.243899999999996</v>
      </c>
      <c r="N82" s="41">
        <f>IFERROR(INDEX(Prices!$E:$E,MATCH("Mutual Fund|"&amp;C82&amp;"|"&amp;B82,Prices!$A:$A,0)),0)</f>
        <v>52.918799999999997</v>
      </c>
      <c r="O82" s="42">
        <v>35000</v>
      </c>
      <c r="P82" s="42">
        <f t="shared" si="9"/>
        <v>34786.294893239996</v>
      </c>
      <c r="Q82" s="42">
        <f t="shared" si="10"/>
        <v>-213.70510676000413</v>
      </c>
      <c r="R82" s="11">
        <f t="shared" si="11"/>
        <v>-6.105860193142975E-3</v>
      </c>
      <c r="S82" s="35"/>
    </row>
    <row r="83" spans="1:19" ht="15" customHeight="1" x14ac:dyDescent="0.2">
      <c r="A83" s="35">
        <v>79</v>
      </c>
      <c r="B83" s="35" t="s">
        <v>141</v>
      </c>
      <c r="C83" s="35" t="s">
        <v>145</v>
      </c>
      <c r="D83" s="18" t="str">
        <f>IFERROR(INDEX(Reference!$E:$E,MATCH("Mutual Fund|"&amp;C83&amp;"|"&amp;B83,Reference!$A:$A,0)),"")</f>
        <v>Multi-Asset</v>
      </c>
      <c r="E83" s="18" t="str">
        <f>IFERROR(INDEX(Reference!$H:$H,MATCH("Mutual Fund|"&amp;C83&amp;"|"&amp;B83,Reference!$A:$A,0)),"")</f>
        <v>Thai Balanced</v>
      </c>
      <c r="F83" s="18" t="str">
        <f>IFERROR(INDEX(Reference!$G:$G,MATCH("Mutual Fund|"&amp;C83&amp;"|"&amp;B83,Reference!$A:$A,0)),"")</f>
        <v>Thailand</v>
      </c>
      <c r="G83" s="18" t="str">
        <f>IFERROR(INDEX(Reference!$I:$I,MATCH("Mutual Fund|"&amp;C83&amp;"|"&amp;B83,Reference!$A:$A,0)),"")</f>
        <v>RMF</v>
      </c>
      <c r="H83" s="36">
        <v>41998</v>
      </c>
      <c r="I83" s="37">
        <v>2014</v>
      </c>
      <c r="J83" s="37">
        <v>2037</v>
      </c>
      <c r="K83" s="39">
        <f t="shared" si="8"/>
        <v>11.430527036276523</v>
      </c>
      <c r="L83" s="40">
        <v>551.5942</v>
      </c>
      <c r="M83" s="40">
        <v>54.387799999999999</v>
      </c>
      <c r="N83" s="41">
        <f>IFERROR(INDEX(Prices!$E:$E,MATCH("Mutual Fund|"&amp;C83&amp;"|"&amp;B83,Prices!$A:$A,0)),0)</f>
        <v>52.918799999999997</v>
      </c>
      <c r="O83" s="42">
        <v>30000</v>
      </c>
      <c r="P83" s="42">
        <f t="shared" si="9"/>
        <v>29189.703150959998</v>
      </c>
      <c r="Q83" s="42">
        <f t="shared" si="10"/>
        <v>-810.29684904000169</v>
      </c>
      <c r="R83" s="11">
        <f t="shared" si="11"/>
        <v>-2.7009894968000055E-2</v>
      </c>
      <c r="S83" s="35"/>
    </row>
    <row r="84" spans="1:19" ht="15" customHeight="1" x14ac:dyDescent="0.2">
      <c r="A84" s="35">
        <v>80</v>
      </c>
      <c r="B84" s="35" t="s">
        <v>141</v>
      </c>
      <c r="C84" s="35" t="s">
        <v>145</v>
      </c>
      <c r="D84" s="18" t="str">
        <f>IFERROR(INDEX(Reference!$E:$E,MATCH("Mutual Fund|"&amp;C84&amp;"|"&amp;B84,Reference!$A:$A,0)),"")</f>
        <v>Multi-Asset</v>
      </c>
      <c r="E84" s="18" t="str">
        <f>IFERROR(INDEX(Reference!$H:$H,MATCH("Mutual Fund|"&amp;C84&amp;"|"&amp;B84,Reference!$A:$A,0)),"")</f>
        <v>Thai Balanced</v>
      </c>
      <c r="F84" s="18" t="str">
        <f>IFERROR(INDEX(Reference!$G:$G,MATCH("Mutual Fund|"&amp;C84&amp;"|"&amp;B84,Reference!$A:$A,0)),"")</f>
        <v>Thailand</v>
      </c>
      <c r="G84" s="18" t="str">
        <f>IFERROR(INDEX(Reference!$I:$I,MATCH("Mutual Fund|"&amp;C84&amp;"|"&amp;B84,Reference!$A:$A,0)),"")</f>
        <v>RMF</v>
      </c>
      <c r="H84" s="36">
        <v>42270</v>
      </c>
      <c r="I84" s="37">
        <v>2015</v>
      </c>
      <c r="J84" s="37">
        <v>2037</v>
      </c>
      <c r="K84" s="39">
        <f t="shared" si="8"/>
        <v>10.685831622176591</v>
      </c>
      <c r="L84" s="40">
        <v>951.95119999999997</v>
      </c>
      <c r="M84" s="40">
        <v>52.523699999999998</v>
      </c>
      <c r="N84" s="41">
        <f>IFERROR(INDEX(Prices!$E:$E,MATCH("Mutual Fund|"&amp;C84&amp;"|"&amp;B84,Prices!$A:$A,0)),0)</f>
        <v>52.918799999999997</v>
      </c>
      <c r="O84" s="42">
        <v>50000</v>
      </c>
      <c r="P84" s="42">
        <f t="shared" si="9"/>
        <v>50376.115162559996</v>
      </c>
      <c r="Q84" s="42">
        <f t="shared" si="10"/>
        <v>376.11516255999595</v>
      </c>
      <c r="R84" s="11">
        <f t="shared" si="11"/>
        <v>7.5223032511999187E-3</v>
      </c>
      <c r="S84" s="35"/>
    </row>
    <row r="85" spans="1:19" ht="15" customHeight="1" x14ac:dyDescent="0.2">
      <c r="A85" s="35">
        <v>81</v>
      </c>
      <c r="B85" s="35" t="s">
        <v>141</v>
      </c>
      <c r="C85" s="35" t="s">
        <v>145</v>
      </c>
      <c r="D85" s="18" t="str">
        <f>IFERROR(INDEX(Reference!$E:$E,MATCH("Mutual Fund|"&amp;C85&amp;"|"&amp;B85,Reference!$A:$A,0)),"")</f>
        <v>Multi-Asset</v>
      </c>
      <c r="E85" s="18" t="str">
        <f>IFERROR(INDEX(Reference!$H:$H,MATCH("Mutual Fund|"&amp;C85&amp;"|"&amp;B85,Reference!$A:$A,0)),"")</f>
        <v>Thai Balanced</v>
      </c>
      <c r="F85" s="18" t="str">
        <f>IFERROR(INDEX(Reference!$G:$G,MATCH("Mutual Fund|"&amp;C85&amp;"|"&amp;B85,Reference!$A:$A,0)),"")</f>
        <v>Thailand</v>
      </c>
      <c r="G85" s="18" t="str">
        <f>IFERROR(INDEX(Reference!$I:$I,MATCH("Mutual Fund|"&amp;C85&amp;"|"&amp;B85,Reference!$A:$A,0)),"")</f>
        <v>RMF</v>
      </c>
      <c r="H85" s="36">
        <v>42356</v>
      </c>
      <c r="I85" s="37">
        <v>2015</v>
      </c>
      <c r="J85" s="37">
        <v>2037</v>
      </c>
      <c r="K85" s="39">
        <f t="shared" si="8"/>
        <v>10.45037645448323</v>
      </c>
      <c r="L85" s="40">
        <v>984.88980000000004</v>
      </c>
      <c r="M85" s="40">
        <v>50.767099999999999</v>
      </c>
      <c r="N85" s="41">
        <f>IFERROR(INDEX(Prices!$E:$E,MATCH("Mutual Fund|"&amp;C85&amp;"|"&amp;B85,Prices!$A:$A,0)),0)</f>
        <v>52.918799999999997</v>
      </c>
      <c r="O85" s="42">
        <v>50000</v>
      </c>
      <c r="P85" s="42">
        <f t="shared" si="9"/>
        <v>52119.18634824</v>
      </c>
      <c r="Q85" s="42">
        <f t="shared" si="10"/>
        <v>2119.1863482400004</v>
      </c>
      <c r="R85" s="11">
        <f t="shared" si="11"/>
        <v>4.2383726964800007E-2</v>
      </c>
      <c r="S85" s="35"/>
    </row>
    <row r="86" spans="1:19" ht="15" customHeight="1" x14ac:dyDescent="0.2">
      <c r="A86" s="35">
        <v>82</v>
      </c>
      <c r="B86" s="35" t="s">
        <v>141</v>
      </c>
      <c r="C86" s="35" t="s">
        <v>145</v>
      </c>
      <c r="D86" s="18" t="str">
        <f>IFERROR(INDEX(Reference!$E:$E,MATCH("Mutual Fund|"&amp;C86&amp;"|"&amp;B86,Reference!$A:$A,0)),"")</f>
        <v>Multi-Asset</v>
      </c>
      <c r="E86" s="18" t="str">
        <f>IFERROR(INDEX(Reference!$H:$H,MATCH("Mutual Fund|"&amp;C86&amp;"|"&amp;B86,Reference!$A:$A,0)),"")</f>
        <v>Thai Balanced</v>
      </c>
      <c r="F86" s="18" t="str">
        <f>IFERROR(INDEX(Reference!$G:$G,MATCH("Mutual Fund|"&amp;C86&amp;"|"&amp;B86,Reference!$A:$A,0)),"")</f>
        <v>Thailand</v>
      </c>
      <c r="G86" s="18" t="str">
        <f>IFERROR(INDEX(Reference!$I:$I,MATCH("Mutual Fund|"&amp;C86&amp;"|"&amp;B86,Reference!$A:$A,0)),"")</f>
        <v>RMF</v>
      </c>
      <c r="H86" s="36">
        <v>42367</v>
      </c>
      <c r="I86" s="37">
        <v>2015</v>
      </c>
      <c r="J86" s="37">
        <v>2037</v>
      </c>
      <c r="K86" s="39">
        <f t="shared" si="8"/>
        <v>10.420260095824778</v>
      </c>
      <c r="L86" s="40">
        <v>976.97080000000005</v>
      </c>
      <c r="M86" s="40">
        <v>51.178600000000003</v>
      </c>
      <c r="N86" s="41">
        <f>IFERROR(INDEX(Prices!$E:$E,MATCH("Mutual Fund|"&amp;C86&amp;"|"&amp;B86,Prices!$A:$A,0)),0)</f>
        <v>52.918799999999997</v>
      </c>
      <c r="O86" s="42">
        <v>50000</v>
      </c>
      <c r="P86" s="42">
        <f t="shared" si="9"/>
        <v>51700.122371040001</v>
      </c>
      <c r="Q86" s="42">
        <f t="shared" si="10"/>
        <v>1700.1223710400009</v>
      </c>
      <c r="R86" s="11">
        <f t="shared" si="11"/>
        <v>3.4002447420800018E-2</v>
      </c>
      <c r="S86" s="35"/>
    </row>
    <row r="87" spans="1:19" ht="15" customHeight="1" x14ac:dyDescent="0.2">
      <c r="A87" s="35">
        <v>83</v>
      </c>
      <c r="B87" s="35" t="s">
        <v>141</v>
      </c>
      <c r="C87" s="35" t="s">
        <v>145</v>
      </c>
      <c r="D87" s="18" t="str">
        <f>IFERROR(INDEX(Reference!$E:$E,MATCH("Mutual Fund|"&amp;C87&amp;"|"&amp;B87,Reference!$A:$A,0)),"")</f>
        <v>Multi-Asset</v>
      </c>
      <c r="E87" s="18" t="str">
        <f>IFERROR(INDEX(Reference!$H:$H,MATCH("Mutual Fund|"&amp;C87&amp;"|"&amp;B87,Reference!$A:$A,0)),"")</f>
        <v>Thai Balanced</v>
      </c>
      <c r="F87" s="18" t="str">
        <f>IFERROR(INDEX(Reference!$G:$G,MATCH("Mutual Fund|"&amp;C87&amp;"|"&amp;B87,Reference!$A:$A,0)),"")</f>
        <v>Thailand</v>
      </c>
      <c r="G87" s="18" t="str">
        <f>IFERROR(INDEX(Reference!$I:$I,MATCH("Mutual Fund|"&amp;C87&amp;"|"&amp;B87,Reference!$A:$A,0)),"")</f>
        <v>RMF</v>
      </c>
      <c r="H87" s="36">
        <v>42621</v>
      </c>
      <c r="I87" s="37">
        <v>2016</v>
      </c>
      <c r="J87" s="37">
        <v>2037</v>
      </c>
      <c r="K87" s="39">
        <f t="shared" si="8"/>
        <v>9.7248459958932241</v>
      </c>
      <c r="L87" s="40">
        <v>863.62490000000003</v>
      </c>
      <c r="M87" s="40">
        <v>57.895499999999998</v>
      </c>
      <c r="N87" s="41">
        <f>IFERROR(INDEX(Prices!$E:$E,MATCH("Mutual Fund|"&amp;C87&amp;"|"&amp;B87,Prices!$A:$A,0)),0)</f>
        <v>52.918799999999997</v>
      </c>
      <c r="O87" s="42">
        <v>50000</v>
      </c>
      <c r="P87" s="42">
        <f t="shared" si="9"/>
        <v>45701.993358120002</v>
      </c>
      <c r="Q87" s="42">
        <f t="shared" si="10"/>
        <v>-4298.0066418799979</v>
      </c>
      <c r="R87" s="11">
        <f t="shared" si="11"/>
        <v>-8.5960132837599956E-2</v>
      </c>
      <c r="S87" s="35"/>
    </row>
    <row r="88" spans="1:19" ht="15" customHeight="1" x14ac:dyDescent="0.2">
      <c r="A88" s="35">
        <v>84</v>
      </c>
      <c r="B88" s="35" t="s">
        <v>141</v>
      </c>
      <c r="C88" s="35" t="s">
        <v>145</v>
      </c>
      <c r="D88" s="18" t="str">
        <f>IFERROR(INDEX(Reference!$E:$E,MATCH("Mutual Fund|"&amp;C88&amp;"|"&amp;B88,Reference!$A:$A,0)),"")</f>
        <v>Multi-Asset</v>
      </c>
      <c r="E88" s="18" t="str">
        <f>IFERROR(INDEX(Reference!$H:$H,MATCH("Mutual Fund|"&amp;C88&amp;"|"&amp;B88,Reference!$A:$A,0)),"")</f>
        <v>Thai Balanced</v>
      </c>
      <c r="F88" s="18" t="str">
        <f>IFERROR(INDEX(Reference!$G:$G,MATCH("Mutual Fund|"&amp;C88&amp;"|"&amp;B88,Reference!$A:$A,0)),"")</f>
        <v>Thailand</v>
      </c>
      <c r="G88" s="18" t="str">
        <f>IFERROR(INDEX(Reference!$I:$I,MATCH("Mutual Fund|"&amp;C88&amp;"|"&amp;B88,Reference!$A:$A,0)),"")</f>
        <v>RMF</v>
      </c>
      <c r="H88" s="36">
        <v>42655</v>
      </c>
      <c r="I88" s="37">
        <v>2016</v>
      </c>
      <c r="J88" s="37">
        <v>2037</v>
      </c>
      <c r="K88" s="39">
        <f t="shared" si="8"/>
        <v>9.631759069130732</v>
      </c>
      <c r="L88" s="40">
        <v>523.29259999999999</v>
      </c>
      <c r="M88" s="40">
        <v>57.329300000000003</v>
      </c>
      <c r="N88" s="41">
        <f>IFERROR(INDEX(Prices!$E:$E,MATCH("Mutual Fund|"&amp;C88&amp;"|"&amp;B88,Prices!$A:$A,0)),0)</f>
        <v>52.918799999999997</v>
      </c>
      <c r="O88" s="42">
        <v>30000</v>
      </c>
      <c r="P88" s="42">
        <f t="shared" si="9"/>
        <v>27692.016440879997</v>
      </c>
      <c r="Q88" s="42">
        <f t="shared" si="10"/>
        <v>-2307.9835591200026</v>
      </c>
      <c r="R88" s="11">
        <f t="shared" si="11"/>
        <v>-7.6932785304000093E-2</v>
      </c>
      <c r="S88" s="35"/>
    </row>
    <row r="89" spans="1:19" ht="15" customHeight="1" x14ac:dyDescent="0.2">
      <c r="A89" s="35">
        <v>85</v>
      </c>
      <c r="B89" s="35" t="s">
        <v>141</v>
      </c>
      <c r="C89" s="35" t="s">
        <v>145</v>
      </c>
      <c r="D89" s="18" t="str">
        <f>IFERROR(INDEX(Reference!$E:$E,MATCH("Mutual Fund|"&amp;C89&amp;"|"&amp;B89,Reference!$A:$A,0)),"")</f>
        <v>Multi-Asset</v>
      </c>
      <c r="E89" s="18" t="str">
        <f>IFERROR(INDEX(Reference!$H:$H,MATCH("Mutual Fund|"&amp;C89&amp;"|"&amp;B89,Reference!$A:$A,0)),"")</f>
        <v>Thai Balanced</v>
      </c>
      <c r="F89" s="18" t="str">
        <f>IFERROR(INDEX(Reference!$G:$G,MATCH("Mutual Fund|"&amp;C89&amp;"|"&amp;B89,Reference!$A:$A,0)),"")</f>
        <v>Thailand</v>
      </c>
      <c r="G89" s="18" t="str">
        <f>IFERROR(INDEX(Reference!$I:$I,MATCH("Mutual Fund|"&amp;C89&amp;"|"&amp;B89,Reference!$A:$A,0)),"")</f>
        <v>RMF</v>
      </c>
      <c r="H89" s="36">
        <v>42723</v>
      </c>
      <c r="I89" s="37">
        <v>2016</v>
      </c>
      <c r="J89" s="37">
        <v>2037</v>
      </c>
      <c r="K89" s="39">
        <f t="shared" si="8"/>
        <v>9.4455852156057496</v>
      </c>
      <c r="L89" s="40">
        <v>1147.4657</v>
      </c>
      <c r="M89" s="40">
        <v>61.003999999999998</v>
      </c>
      <c r="N89" s="41">
        <f>IFERROR(INDEX(Prices!$E:$E,MATCH("Mutual Fund|"&amp;C89&amp;"|"&amp;B89,Prices!$A:$A,0)),0)</f>
        <v>52.918799999999997</v>
      </c>
      <c r="O89" s="42">
        <v>70000</v>
      </c>
      <c r="P89" s="42">
        <f t="shared" si="9"/>
        <v>60722.507885159997</v>
      </c>
      <c r="Q89" s="42">
        <f t="shared" si="10"/>
        <v>-9277.4921148400026</v>
      </c>
      <c r="R89" s="11">
        <f t="shared" si="11"/>
        <v>-0.13253560164057146</v>
      </c>
      <c r="S89" s="35"/>
    </row>
    <row r="90" spans="1:19" ht="15" customHeight="1" x14ac:dyDescent="0.2">
      <c r="A90" s="35">
        <v>86</v>
      </c>
      <c r="B90" s="35" t="s">
        <v>141</v>
      </c>
      <c r="C90" s="35" t="s">
        <v>145</v>
      </c>
      <c r="D90" s="18" t="str">
        <f>IFERROR(INDEX(Reference!$E:$E,MATCH("Mutual Fund|"&amp;C90&amp;"|"&amp;B90,Reference!$A:$A,0)),"")</f>
        <v>Multi-Asset</v>
      </c>
      <c r="E90" s="18" t="str">
        <f>IFERROR(INDEX(Reference!$H:$H,MATCH("Mutual Fund|"&amp;C90&amp;"|"&amp;B90,Reference!$A:$A,0)),"")</f>
        <v>Thai Balanced</v>
      </c>
      <c r="F90" s="18" t="str">
        <f>IFERROR(INDEX(Reference!$G:$G,MATCH("Mutual Fund|"&amp;C90&amp;"|"&amp;B90,Reference!$A:$A,0)),"")</f>
        <v>Thailand</v>
      </c>
      <c r="G90" s="18" t="str">
        <f>IFERROR(INDEX(Reference!$I:$I,MATCH("Mutual Fund|"&amp;C90&amp;"|"&amp;B90,Reference!$A:$A,0)),"")</f>
        <v>RMF</v>
      </c>
      <c r="H90" s="36">
        <v>42724</v>
      </c>
      <c r="I90" s="37">
        <v>2016</v>
      </c>
      <c r="J90" s="37">
        <v>2037</v>
      </c>
      <c r="K90" s="39">
        <f t="shared" si="8"/>
        <v>9.4428473648186166</v>
      </c>
      <c r="L90" s="40">
        <v>824.1617</v>
      </c>
      <c r="M90" s="40">
        <v>60.667700000000004</v>
      </c>
      <c r="N90" s="41">
        <f>IFERROR(INDEX(Prices!$E:$E,MATCH("Mutual Fund|"&amp;C90&amp;"|"&amp;B90,Prices!$A:$A,0)),0)</f>
        <v>52.918799999999997</v>
      </c>
      <c r="O90" s="42">
        <v>50000</v>
      </c>
      <c r="P90" s="42">
        <f t="shared" si="9"/>
        <v>43613.648169959997</v>
      </c>
      <c r="Q90" s="42">
        <f t="shared" si="10"/>
        <v>-6386.3518300400028</v>
      </c>
      <c r="R90" s="11">
        <f t="shared" si="11"/>
        <v>-0.12772703660080006</v>
      </c>
      <c r="S90" s="35"/>
    </row>
    <row r="91" spans="1:19" ht="15" customHeight="1" x14ac:dyDescent="0.2">
      <c r="A91" s="35">
        <v>87</v>
      </c>
      <c r="B91" s="35" t="s">
        <v>141</v>
      </c>
      <c r="C91" s="35" t="s">
        <v>145</v>
      </c>
      <c r="D91" s="18" t="str">
        <f>IFERROR(INDEX(Reference!$E:$E,MATCH("Mutual Fund|"&amp;C91&amp;"|"&amp;B91,Reference!$A:$A,0)),"")</f>
        <v>Multi-Asset</v>
      </c>
      <c r="E91" s="18" t="str">
        <f>IFERROR(INDEX(Reference!$H:$H,MATCH("Mutual Fund|"&amp;C91&amp;"|"&amp;B91,Reference!$A:$A,0)),"")</f>
        <v>Thai Balanced</v>
      </c>
      <c r="F91" s="18" t="str">
        <f>IFERROR(INDEX(Reference!$G:$G,MATCH("Mutual Fund|"&amp;C91&amp;"|"&amp;B91,Reference!$A:$A,0)),"")</f>
        <v>Thailand</v>
      </c>
      <c r="G91" s="18" t="str">
        <f>IFERROR(INDEX(Reference!$I:$I,MATCH("Mutual Fund|"&amp;C91&amp;"|"&amp;B91,Reference!$A:$A,0)),"")</f>
        <v>RMF</v>
      </c>
      <c r="H91" s="36">
        <v>43087</v>
      </c>
      <c r="I91" s="37">
        <v>2017</v>
      </c>
      <c r="J91" s="37">
        <v>2037</v>
      </c>
      <c r="K91" s="39">
        <f t="shared" si="8"/>
        <v>8.4490075290896645</v>
      </c>
      <c r="L91" s="40">
        <v>1504.7686000000001</v>
      </c>
      <c r="M91" s="40">
        <v>66.455399999999997</v>
      </c>
      <c r="N91" s="41">
        <f>IFERROR(INDEX(Prices!$E:$E,MATCH("Mutual Fund|"&amp;C91&amp;"|"&amp;B91,Prices!$A:$A,0)),0)</f>
        <v>52.918799999999997</v>
      </c>
      <c r="O91" s="42">
        <v>100000</v>
      </c>
      <c r="P91" s="42">
        <f t="shared" si="9"/>
        <v>79630.548589679995</v>
      </c>
      <c r="Q91" s="42">
        <f t="shared" si="10"/>
        <v>-20369.451410320005</v>
      </c>
      <c r="R91" s="11">
        <f t="shared" si="11"/>
        <v>-0.20369451410320005</v>
      </c>
      <c r="S91" s="35"/>
    </row>
    <row r="92" spans="1:19" ht="15" customHeight="1" x14ac:dyDescent="0.2">
      <c r="A92" s="35">
        <v>88</v>
      </c>
      <c r="B92" s="35" t="s">
        <v>141</v>
      </c>
      <c r="C92" s="35" t="s">
        <v>145</v>
      </c>
      <c r="D92" s="18" t="str">
        <f>IFERROR(INDEX(Reference!$E:$E,MATCH("Mutual Fund|"&amp;C92&amp;"|"&amp;B92,Reference!$A:$A,0)),"")</f>
        <v>Multi-Asset</v>
      </c>
      <c r="E92" s="18" t="str">
        <f>IFERROR(INDEX(Reference!$H:$H,MATCH("Mutual Fund|"&amp;C92&amp;"|"&amp;B92,Reference!$A:$A,0)),"")</f>
        <v>Thai Balanced</v>
      </c>
      <c r="F92" s="18" t="str">
        <f>IFERROR(INDEX(Reference!$G:$G,MATCH("Mutual Fund|"&amp;C92&amp;"|"&amp;B92,Reference!$A:$A,0)),"")</f>
        <v>Thailand</v>
      </c>
      <c r="G92" s="18" t="str">
        <f>IFERROR(INDEX(Reference!$I:$I,MATCH("Mutual Fund|"&amp;C92&amp;"|"&amp;B92,Reference!$A:$A,0)),"")</f>
        <v>RMF</v>
      </c>
      <c r="H92" s="36">
        <v>43445</v>
      </c>
      <c r="I92" s="37">
        <v>2018</v>
      </c>
      <c r="J92" s="37">
        <v>2037</v>
      </c>
      <c r="K92" s="39">
        <f t="shared" si="8"/>
        <v>7.4688569472963726</v>
      </c>
      <c r="L92" s="40">
        <v>157.8081</v>
      </c>
      <c r="M92" s="40">
        <v>63.368099999999998</v>
      </c>
      <c r="N92" s="41">
        <f>IFERROR(INDEX(Prices!$E:$E,MATCH("Mutual Fund|"&amp;C92&amp;"|"&amp;B92,Prices!$A:$A,0)),0)</f>
        <v>52.918799999999997</v>
      </c>
      <c r="O92" s="42">
        <v>10000</v>
      </c>
      <c r="P92" s="42">
        <f t="shared" si="9"/>
        <v>8351.0152822799992</v>
      </c>
      <c r="Q92" s="42">
        <f t="shared" si="10"/>
        <v>-1648.9847177200008</v>
      </c>
      <c r="R92" s="11">
        <f t="shared" si="11"/>
        <v>-0.16489847177200009</v>
      </c>
      <c r="S92" s="35"/>
    </row>
    <row r="93" spans="1:19" ht="15" customHeight="1" x14ac:dyDescent="0.2">
      <c r="A93" s="35">
        <v>89</v>
      </c>
      <c r="B93" s="35" t="s">
        <v>141</v>
      </c>
      <c r="C93" s="35" t="s">
        <v>145</v>
      </c>
      <c r="D93" s="18" t="str">
        <f>IFERROR(INDEX(Reference!$E:$E,MATCH("Mutual Fund|"&amp;C93&amp;"|"&amp;B93,Reference!$A:$A,0)),"")</f>
        <v>Multi-Asset</v>
      </c>
      <c r="E93" s="18" t="str">
        <f>IFERROR(INDEX(Reference!$H:$H,MATCH("Mutual Fund|"&amp;C93&amp;"|"&amp;B93,Reference!$A:$A,0)),"")</f>
        <v>Thai Balanced</v>
      </c>
      <c r="F93" s="18" t="str">
        <f>IFERROR(INDEX(Reference!$G:$G,MATCH("Mutual Fund|"&amp;C93&amp;"|"&amp;B93,Reference!$A:$A,0)),"")</f>
        <v>Thailand</v>
      </c>
      <c r="G93" s="18" t="str">
        <f>IFERROR(INDEX(Reference!$I:$I,MATCH("Mutual Fund|"&amp;C93&amp;"|"&amp;B93,Reference!$A:$A,0)),"")</f>
        <v>RMF</v>
      </c>
      <c r="H93" s="36">
        <v>43824</v>
      </c>
      <c r="I93" s="37">
        <v>2019</v>
      </c>
      <c r="J93" s="37">
        <v>2037</v>
      </c>
      <c r="K93" s="39">
        <f t="shared" si="8"/>
        <v>6.4312114989733056</v>
      </c>
      <c r="L93" s="40">
        <v>1364.2520999999999</v>
      </c>
      <c r="M93" s="40">
        <v>62.305199999999999</v>
      </c>
      <c r="N93" s="41">
        <f>IFERROR(INDEX(Prices!$E:$E,MATCH("Mutual Fund|"&amp;C93&amp;"|"&amp;B93,Prices!$A:$A,0)),0)</f>
        <v>52.918799999999997</v>
      </c>
      <c r="O93" s="42">
        <v>85000</v>
      </c>
      <c r="P93" s="42">
        <f t="shared" si="9"/>
        <v>72194.584029479985</v>
      </c>
      <c r="Q93" s="42">
        <f t="shared" si="10"/>
        <v>-12805.415970520015</v>
      </c>
      <c r="R93" s="11">
        <f t="shared" si="11"/>
        <v>-0.1506519525943531</v>
      </c>
      <c r="S93" s="35"/>
    </row>
    <row r="94" spans="1:19" ht="15" customHeight="1" x14ac:dyDescent="0.2">
      <c r="A94" s="35">
        <v>90</v>
      </c>
      <c r="B94" s="35" t="s">
        <v>141</v>
      </c>
      <c r="C94" s="35" t="s">
        <v>145</v>
      </c>
      <c r="D94" s="18" t="str">
        <f>IFERROR(INDEX(Reference!$E:$E,MATCH("Mutual Fund|"&amp;C94&amp;"|"&amp;B94,Reference!$A:$A,0)),"")</f>
        <v>Multi-Asset</v>
      </c>
      <c r="E94" s="18" t="str">
        <f>IFERROR(INDEX(Reference!$H:$H,MATCH("Mutual Fund|"&amp;C94&amp;"|"&amp;B94,Reference!$A:$A,0)),"")</f>
        <v>Thai Balanced</v>
      </c>
      <c r="F94" s="18" t="str">
        <f>IFERROR(INDEX(Reference!$G:$G,MATCH("Mutual Fund|"&amp;C94&amp;"|"&amp;B94,Reference!$A:$A,0)),"")</f>
        <v>Thailand</v>
      </c>
      <c r="G94" s="18" t="str">
        <f>IFERROR(INDEX(Reference!$I:$I,MATCH("Mutual Fund|"&amp;C94&amp;"|"&amp;B94,Reference!$A:$A,0)),"")</f>
        <v>RMF</v>
      </c>
      <c r="H94" s="36">
        <v>44186</v>
      </c>
      <c r="I94" s="37">
        <v>2020</v>
      </c>
      <c r="J94" s="37">
        <v>2037</v>
      </c>
      <c r="K94" s="39">
        <f t="shared" si="8"/>
        <v>5.4401095140314855</v>
      </c>
      <c r="L94" s="40">
        <v>719.15409999999997</v>
      </c>
      <c r="M94" s="40">
        <v>55.620899999999999</v>
      </c>
      <c r="N94" s="41">
        <f>IFERROR(INDEX(Prices!$E:$E,MATCH("Mutual Fund|"&amp;C94&amp;"|"&amp;B94,Prices!$A:$A,0)),0)</f>
        <v>52.918799999999997</v>
      </c>
      <c r="O94" s="42">
        <v>40000</v>
      </c>
      <c r="P94" s="42">
        <f t="shared" si="9"/>
        <v>38056.771987079999</v>
      </c>
      <c r="Q94" s="42">
        <f t="shared" si="10"/>
        <v>-1943.2280129200008</v>
      </c>
      <c r="R94" s="11">
        <f t="shared" si="11"/>
        <v>-4.858070032300002E-2</v>
      </c>
      <c r="S94" s="35"/>
    </row>
    <row r="95" spans="1:19" ht="15" customHeight="1" x14ac:dyDescent="0.2">
      <c r="A95" s="35">
        <v>91</v>
      </c>
      <c r="B95" s="35" t="s">
        <v>141</v>
      </c>
      <c r="C95" s="35" t="s">
        <v>145</v>
      </c>
      <c r="D95" s="18" t="str">
        <f>IFERROR(INDEX(Reference!$E:$E,MATCH("Mutual Fund|"&amp;C95&amp;"|"&amp;B95,Reference!$A:$A,0)),"")</f>
        <v>Multi-Asset</v>
      </c>
      <c r="E95" s="18" t="str">
        <f>IFERROR(INDEX(Reference!$H:$H,MATCH("Mutual Fund|"&amp;C95&amp;"|"&amp;B95,Reference!$A:$A,0)),"")</f>
        <v>Thai Balanced</v>
      </c>
      <c r="F95" s="18" t="str">
        <f>IFERROR(INDEX(Reference!$G:$G,MATCH("Mutual Fund|"&amp;C95&amp;"|"&amp;B95,Reference!$A:$A,0)),"")</f>
        <v>Thailand</v>
      </c>
      <c r="G95" s="18" t="str">
        <f>IFERROR(INDEX(Reference!$I:$I,MATCH("Mutual Fund|"&amp;C95&amp;"|"&amp;B95,Reference!$A:$A,0)),"")</f>
        <v>RMF</v>
      </c>
      <c r="H95" s="36">
        <v>44363</v>
      </c>
      <c r="I95" s="37">
        <v>2021</v>
      </c>
      <c r="J95" s="37">
        <v>2037</v>
      </c>
      <c r="K95" s="39">
        <f t="shared" si="8"/>
        <v>4.9555099247091032</v>
      </c>
      <c r="L95" s="40">
        <v>657.67939999999999</v>
      </c>
      <c r="M95" s="40">
        <v>60.819899999999997</v>
      </c>
      <c r="N95" s="41">
        <f>IFERROR(INDEX(Prices!$E:$E,MATCH("Mutual Fund|"&amp;C95&amp;"|"&amp;B95,Prices!$A:$A,0)),0)</f>
        <v>52.918799999999997</v>
      </c>
      <c r="O95" s="42">
        <v>40000</v>
      </c>
      <c r="P95" s="42">
        <f t="shared" si="9"/>
        <v>34803.604632719995</v>
      </c>
      <c r="Q95" s="42">
        <f t="shared" si="10"/>
        <v>-5196.3953672800053</v>
      </c>
      <c r="R95" s="11">
        <f t="shared" si="11"/>
        <v>-0.12990988418200014</v>
      </c>
      <c r="S95" s="35"/>
    </row>
    <row r="96" spans="1:19" ht="15" customHeight="1" x14ac:dyDescent="0.2">
      <c r="A96" s="35">
        <v>92</v>
      </c>
      <c r="B96" s="35" t="s">
        <v>141</v>
      </c>
      <c r="C96" s="35" t="s">
        <v>145</v>
      </c>
      <c r="D96" s="18" t="str">
        <f>IFERROR(INDEX(Reference!$E:$E,MATCH("Mutual Fund|"&amp;C96&amp;"|"&amp;B96,Reference!$A:$A,0)),"")</f>
        <v>Multi-Asset</v>
      </c>
      <c r="E96" s="18" t="str">
        <f>IFERROR(INDEX(Reference!$H:$H,MATCH("Mutual Fund|"&amp;C96&amp;"|"&amp;B96,Reference!$A:$A,0)),"")</f>
        <v>Thai Balanced</v>
      </c>
      <c r="F96" s="18" t="str">
        <f>IFERROR(INDEX(Reference!$G:$G,MATCH("Mutual Fund|"&amp;C96&amp;"|"&amp;B96,Reference!$A:$A,0)),"")</f>
        <v>Thailand</v>
      </c>
      <c r="G96" s="18" t="str">
        <f>IFERROR(INDEX(Reference!$I:$I,MATCH("Mutual Fund|"&amp;C96&amp;"|"&amp;B96,Reference!$A:$A,0)),"")</f>
        <v>RMF</v>
      </c>
      <c r="H96" s="36">
        <v>44592</v>
      </c>
      <c r="I96" s="37">
        <v>2022</v>
      </c>
      <c r="J96" s="37">
        <v>2037</v>
      </c>
      <c r="K96" s="39">
        <f t="shared" si="8"/>
        <v>4.3285420944558526</v>
      </c>
      <c r="L96" s="40">
        <v>164.0282</v>
      </c>
      <c r="M96" s="40">
        <v>60.9651</v>
      </c>
      <c r="N96" s="41">
        <f>IFERROR(INDEX(Prices!$E:$E,MATCH("Mutual Fund|"&amp;C96&amp;"|"&amp;B96,Prices!$A:$A,0)),0)</f>
        <v>52.918799999999997</v>
      </c>
      <c r="O96" s="42">
        <v>10000</v>
      </c>
      <c r="P96" s="42">
        <f t="shared" si="9"/>
        <v>8680.1755101599992</v>
      </c>
      <c r="Q96" s="42">
        <f t="shared" si="10"/>
        <v>-1319.8244898400008</v>
      </c>
      <c r="R96" s="11">
        <f t="shared" si="11"/>
        <v>-0.13198244898400008</v>
      </c>
      <c r="S96" s="35"/>
    </row>
    <row r="97" spans="1:19" ht="15" customHeight="1" x14ac:dyDescent="0.2">
      <c r="A97" s="35">
        <v>93</v>
      </c>
      <c r="B97" s="35" t="s">
        <v>141</v>
      </c>
      <c r="C97" s="35" t="s">
        <v>145</v>
      </c>
      <c r="D97" s="18" t="str">
        <f>IFERROR(INDEX(Reference!$E:$E,MATCH("Mutual Fund|"&amp;C97&amp;"|"&amp;B97,Reference!$A:$A,0)),"")</f>
        <v>Multi-Asset</v>
      </c>
      <c r="E97" s="18" t="str">
        <f>IFERROR(INDEX(Reference!$H:$H,MATCH("Mutual Fund|"&amp;C97&amp;"|"&amp;B97,Reference!$A:$A,0)),"")</f>
        <v>Thai Balanced</v>
      </c>
      <c r="F97" s="18" t="str">
        <f>IFERROR(INDEX(Reference!$G:$G,MATCH("Mutual Fund|"&amp;C97&amp;"|"&amp;B97,Reference!$A:$A,0)),"")</f>
        <v>Thailand</v>
      </c>
      <c r="G97" s="18" t="str">
        <f>IFERROR(INDEX(Reference!$I:$I,MATCH("Mutual Fund|"&amp;C97&amp;"|"&amp;B97,Reference!$A:$A,0)),"")</f>
        <v>RMF</v>
      </c>
      <c r="H97" s="36">
        <v>44970</v>
      </c>
      <c r="I97" s="37">
        <v>2023</v>
      </c>
      <c r="J97" s="37">
        <v>2037</v>
      </c>
      <c r="K97" s="39">
        <f t="shared" si="8"/>
        <v>3.2936344969199181</v>
      </c>
      <c r="L97" s="40">
        <v>166.28639999999999</v>
      </c>
      <c r="M97" s="40">
        <v>60.1372</v>
      </c>
      <c r="N97" s="41">
        <f>IFERROR(INDEX(Prices!$E:$E,MATCH("Mutual Fund|"&amp;C97&amp;"|"&amp;B97,Prices!$A:$A,0)),0)</f>
        <v>52.918799999999997</v>
      </c>
      <c r="O97" s="42">
        <v>10000</v>
      </c>
      <c r="P97" s="42">
        <f t="shared" si="9"/>
        <v>8799.6767443199988</v>
      </c>
      <c r="Q97" s="42">
        <f t="shared" si="10"/>
        <v>-1200.3232556800012</v>
      </c>
      <c r="R97" s="11">
        <f t="shared" si="11"/>
        <v>-0.12003232556800013</v>
      </c>
      <c r="S97" s="35"/>
    </row>
    <row r="98" spans="1:19" ht="15" customHeight="1" x14ac:dyDescent="0.2">
      <c r="A98" s="35">
        <v>94</v>
      </c>
      <c r="B98" s="35" t="s">
        <v>141</v>
      </c>
      <c r="C98" s="35" t="s">
        <v>145</v>
      </c>
      <c r="D98" s="18" t="str">
        <f>IFERROR(INDEX(Reference!$E:$E,MATCH("Mutual Fund|"&amp;C98&amp;"|"&amp;B98,Reference!$A:$A,0)),"")</f>
        <v>Multi-Asset</v>
      </c>
      <c r="E98" s="18" t="str">
        <f>IFERROR(INDEX(Reference!$H:$H,MATCH("Mutual Fund|"&amp;C98&amp;"|"&amp;B98,Reference!$A:$A,0)),"")</f>
        <v>Thai Balanced</v>
      </c>
      <c r="F98" s="18" t="str">
        <f>IFERROR(INDEX(Reference!$G:$G,MATCH("Mutual Fund|"&amp;C98&amp;"|"&amp;B98,Reference!$A:$A,0)),"")</f>
        <v>Thailand</v>
      </c>
      <c r="G98" s="18" t="str">
        <f>IFERROR(INDEX(Reference!$I:$I,MATCH("Mutual Fund|"&amp;C98&amp;"|"&amp;B98,Reference!$A:$A,0)),"")</f>
        <v>RMF</v>
      </c>
      <c r="H98" s="36">
        <v>45355</v>
      </c>
      <c r="I98" s="37">
        <v>2024</v>
      </c>
      <c r="J98" s="37">
        <v>2037</v>
      </c>
      <c r="K98" s="39">
        <f t="shared" si="8"/>
        <v>2.239561943874059</v>
      </c>
      <c r="L98" s="40">
        <v>199.61789999999999</v>
      </c>
      <c r="M98" s="40">
        <v>50.095700000000001</v>
      </c>
      <c r="N98" s="41">
        <f>IFERROR(INDEX(Prices!$E:$E,MATCH("Mutual Fund|"&amp;C98&amp;"|"&amp;B98,Prices!$A:$A,0)),0)</f>
        <v>52.918799999999997</v>
      </c>
      <c r="O98" s="42">
        <v>10000</v>
      </c>
      <c r="P98" s="42">
        <f t="shared" si="9"/>
        <v>10563.539726519999</v>
      </c>
      <c r="Q98" s="42">
        <f t="shared" si="10"/>
        <v>563.53972651999902</v>
      </c>
      <c r="R98" s="11">
        <f t="shared" si="11"/>
        <v>5.6353972651999901E-2</v>
      </c>
      <c r="S98" s="35"/>
    </row>
    <row r="99" spans="1:19" ht="15" customHeight="1" x14ac:dyDescent="0.2">
      <c r="A99" s="35">
        <v>95</v>
      </c>
      <c r="B99" s="35" t="s">
        <v>141</v>
      </c>
      <c r="C99" s="35" t="s">
        <v>145</v>
      </c>
      <c r="D99" s="18" t="str">
        <f>IFERROR(INDEX(Reference!$E:$E,MATCH("Mutual Fund|"&amp;C99&amp;"|"&amp;B99,Reference!$A:$A,0)),"")</f>
        <v>Multi-Asset</v>
      </c>
      <c r="E99" s="18" t="str">
        <f>IFERROR(INDEX(Reference!$H:$H,MATCH("Mutual Fund|"&amp;C99&amp;"|"&amp;B99,Reference!$A:$A,0)),"")</f>
        <v>Thai Balanced</v>
      </c>
      <c r="F99" s="18" t="str">
        <f>IFERROR(INDEX(Reference!$G:$G,MATCH("Mutual Fund|"&amp;C99&amp;"|"&amp;B99,Reference!$A:$A,0)),"")</f>
        <v>Thailand</v>
      </c>
      <c r="G99" s="18" t="str">
        <f>IFERROR(INDEX(Reference!$I:$I,MATCH("Mutual Fund|"&amp;C99&amp;"|"&amp;B99,Reference!$A:$A,0)),"")</f>
        <v>RMF</v>
      </c>
      <c r="H99" s="36">
        <v>45887</v>
      </c>
      <c r="I99" s="37">
        <v>2025</v>
      </c>
      <c r="J99" s="37">
        <v>2037</v>
      </c>
      <c r="K99" s="39">
        <f t="shared" si="8"/>
        <v>0.78302532511978096</v>
      </c>
      <c r="L99" s="40">
        <v>222.3922</v>
      </c>
      <c r="M99" s="40">
        <v>44.965600000000002</v>
      </c>
      <c r="N99" s="41">
        <f>IFERROR(INDEX(Prices!$E:$E,MATCH("Mutual Fund|"&amp;C99&amp;"|"&amp;B99,Prices!$A:$A,0)),0)</f>
        <v>52.918799999999997</v>
      </c>
      <c r="O99" s="42">
        <v>10000</v>
      </c>
      <c r="P99" s="42">
        <f t="shared" si="9"/>
        <v>11768.72835336</v>
      </c>
      <c r="Q99" s="42">
        <f t="shared" si="10"/>
        <v>1768.7283533600003</v>
      </c>
      <c r="R99" s="11">
        <f t="shared" si="11"/>
        <v>0.17687283533600004</v>
      </c>
      <c r="S99" s="35"/>
    </row>
    <row r="100" spans="1:19" ht="15" customHeight="1" x14ac:dyDescent="0.2">
      <c r="A100" s="35">
        <v>96</v>
      </c>
      <c r="B100" s="35" t="s">
        <v>141</v>
      </c>
      <c r="C100" s="35" t="s">
        <v>144</v>
      </c>
      <c r="D100" s="18" t="str">
        <f>IFERROR(INDEX(Reference!$E:$E,MATCH("Mutual Fund|"&amp;C100&amp;"|"&amp;B100,Reference!$A:$A,0)),"")</f>
        <v>Equity</v>
      </c>
      <c r="E100" s="18" t="str">
        <f>IFERROR(INDEX(Reference!$H:$H,MATCH("Mutual Fund|"&amp;C100&amp;"|"&amp;B100,Reference!$A:$A,0)),"")</f>
        <v>Thai Equity</v>
      </c>
      <c r="F100" s="18" t="str">
        <f>IFERROR(INDEX(Reference!$G:$G,MATCH("Mutual Fund|"&amp;C100&amp;"|"&amp;B100,Reference!$A:$A,0)),"")</f>
        <v>Thailand</v>
      </c>
      <c r="G100" s="18" t="str">
        <f>IFERROR(INDEX(Reference!$I:$I,MATCH("Mutual Fund|"&amp;C100&amp;"|"&amp;B100,Reference!$A:$A,0)),"")</f>
        <v>RMF</v>
      </c>
      <c r="H100" s="36">
        <v>41968</v>
      </c>
      <c r="I100" s="37">
        <v>2014</v>
      </c>
      <c r="J100" s="37">
        <v>2037</v>
      </c>
      <c r="K100" s="39">
        <f t="shared" si="8"/>
        <v>11.512662559890487</v>
      </c>
      <c r="L100" s="40">
        <v>57.8369</v>
      </c>
      <c r="M100" s="40">
        <v>86.4499</v>
      </c>
      <c r="N100" s="41">
        <f>IFERROR(INDEX(Prices!$E:$E,MATCH("Mutual Fund|"&amp;C100&amp;"|"&amp;B100,Prices!$A:$A,0)),0)</f>
        <v>80.657499999999999</v>
      </c>
      <c r="O100" s="42">
        <v>5000</v>
      </c>
      <c r="P100" s="42">
        <f t="shared" si="9"/>
        <v>4664.9797617499999</v>
      </c>
      <c r="Q100" s="42">
        <f t="shared" si="10"/>
        <v>-335.02023825000015</v>
      </c>
      <c r="R100" s="11">
        <f t="shared" si="11"/>
        <v>-6.7004047650000023E-2</v>
      </c>
      <c r="S100" s="35"/>
    </row>
    <row r="101" spans="1:19" ht="15" customHeight="1" x14ac:dyDescent="0.2">
      <c r="A101" s="35">
        <v>97</v>
      </c>
      <c r="B101" s="35" t="s">
        <v>141</v>
      </c>
      <c r="C101" s="35" t="s">
        <v>144</v>
      </c>
      <c r="D101" s="18" t="str">
        <f>IFERROR(INDEX(Reference!$E:$E,MATCH("Mutual Fund|"&amp;C101&amp;"|"&amp;B101,Reference!$A:$A,0)),"")</f>
        <v>Equity</v>
      </c>
      <c r="E101" s="18" t="str">
        <f>IFERROR(INDEX(Reference!$H:$H,MATCH("Mutual Fund|"&amp;C101&amp;"|"&amp;B101,Reference!$A:$A,0)),"")</f>
        <v>Thai Equity</v>
      </c>
      <c r="F101" s="18" t="str">
        <f>IFERROR(INDEX(Reference!$G:$G,MATCH("Mutual Fund|"&amp;C101&amp;"|"&amp;B101,Reference!$A:$A,0)),"")</f>
        <v>Thailand</v>
      </c>
      <c r="G101" s="18" t="str">
        <f>IFERROR(INDEX(Reference!$I:$I,MATCH("Mutual Fund|"&amp;C101&amp;"|"&amp;B101,Reference!$A:$A,0)),"")</f>
        <v>RMF</v>
      </c>
      <c r="H101" s="36">
        <v>42621</v>
      </c>
      <c r="I101" s="37">
        <v>2016</v>
      </c>
      <c r="J101" s="37">
        <v>2037</v>
      </c>
      <c r="K101" s="39">
        <f t="shared" ref="K101:K132" si="12">IFERROR(IF(H101="","",(AsOfDate-H101)/365.25),"")</f>
        <v>9.7248459958932241</v>
      </c>
      <c r="L101" s="40">
        <v>112.9918</v>
      </c>
      <c r="M101" s="40">
        <v>88.501999999999995</v>
      </c>
      <c r="N101" s="41">
        <f>IFERROR(INDEX(Prices!$E:$E,MATCH("Mutual Fund|"&amp;C101&amp;"|"&amp;B101,Prices!$A:$A,0)),0)</f>
        <v>80.657499999999999</v>
      </c>
      <c r="O101" s="42">
        <v>10000</v>
      </c>
      <c r="P101" s="42">
        <f t="shared" ref="P101:P132" si="13">L101*N101</f>
        <v>9113.636108499999</v>
      </c>
      <c r="Q101" s="42">
        <f t="shared" ref="Q101:Q132" si="14">P101-O101</f>
        <v>-886.36389150000105</v>
      </c>
      <c r="R101" s="11">
        <f t="shared" ref="R101:R132" si="15">IFERROR(Q101/O101,0)</f>
        <v>-8.8636389150000106E-2</v>
      </c>
      <c r="S101" s="35"/>
    </row>
    <row r="102" spans="1:19" ht="15" customHeight="1" x14ac:dyDescent="0.2">
      <c r="A102" s="35">
        <v>98</v>
      </c>
      <c r="B102" s="35" t="s">
        <v>141</v>
      </c>
      <c r="C102" s="35" t="s">
        <v>144</v>
      </c>
      <c r="D102" s="18" t="str">
        <f>IFERROR(INDEX(Reference!$E:$E,MATCH("Mutual Fund|"&amp;C102&amp;"|"&amp;B102,Reference!$A:$A,0)),"")</f>
        <v>Equity</v>
      </c>
      <c r="E102" s="18" t="str">
        <f>IFERROR(INDEX(Reference!$H:$H,MATCH("Mutual Fund|"&amp;C102&amp;"|"&amp;B102,Reference!$A:$A,0)),"")</f>
        <v>Thai Equity</v>
      </c>
      <c r="F102" s="18" t="str">
        <f>IFERROR(INDEX(Reference!$G:$G,MATCH("Mutual Fund|"&amp;C102&amp;"|"&amp;B102,Reference!$A:$A,0)),"")</f>
        <v>Thailand</v>
      </c>
      <c r="G102" s="18" t="str">
        <f>IFERROR(INDEX(Reference!$I:$I,MATCH("Mutual Fund|"&amp;C102&amp;"|"&amp;B102,Reference!$A:$A,0)),"")</f>
        <v>RMF</v>
      </c>
      <c r="H102" s="36">
        <v>43087</v>
      </c>
      <c r="I102" s="37">
        <v>2017</v>
      </c>
      <c r="J102" s="37">
        <v>2037</v>
      </c>
      <c r="K102" s="39">
        <f t="shared" si="12"/>
        <v>8.4490075290896645</v>
      </c>
      <c r="L102" s="40">
        <v>288.93099999999998</v>
      </c>
      <c r="M102" s="40">
        <v>103.831</v>
      </c>
      <c r="N102" s="41">
        <f>IFERROR(INDEX(Prices!$E:$E,MATCH("Mutual Fund|"&amp;C102&amp;"|"&amp;B102,Prices!$A:$A,0)),0)</f>
        <v>80.657499999999999</v>
      </c>
      <c r="O102" s="42">
        <v>30000</v>
      </c>
      <c r="P102" s="42">
        <f t="shared" si="13"/>
        <v>23304.452132499999</v>
      </c>
      <c r="Q102" s="42">
        <f t="shared" si="14"/>
        <v>-6695.5478675000013</v>
      </c>
      <c r="R102" s="11">
        <f t="shared" si="15"/>
        <v>-0.22318492891666672</v>
      </c>
      <c r="S102" s="35"/>
    </row>
    <row r="103" spans="1:19" ht="15" customHeight="1" x14ac:dyDescent="0.2">
      <c r="A103" s="35">
        <v>99</v>
      </c>
      <c r="B103" s="35" t="s">
        <v>141</v>
      </c>
      <c r="C103" s="35" t="s">
        <v>144</v>
      </c>
      <c r="D103" s="18" t="str">
        <f>IFERROR(INDEX(Reference!$E:$E,MATCH("Mutual Fund|"&amp;C103&amp;"|"&amp;B103,Reference!$A:$A,0)),"")</f>
        <v>Equity</v>
      </c>
      <c r="E103" s="18" t="str">
        <f>IFERROR(INDEX(Reference!$H:$H,MATCH("Mutual Fund|"&amp;C103&amp;"|"&amp;B103,Reference!$A:$A,0)),"")</f>
        <v>Thai Equity</v>
      </c>
      <c r="F103" s="18" t="str">
        <f>IFERROR(INDEX(Reference!$G:$G,MATCH("Mutual Fund|"&amp;C103&amp;"|"&amp;B103,Reference!$A:$A,0)),"")</f>
        <v>Thailand</v>
      </c>
      <c r="G103" s="18" t="str">
        <f>IFERROR(INDEX(Reference!$I:$I,MATCH("Mutual Fund|"&amp;C103&amp;"|"&amp;B103,Reference!$A:$A,0)),"")</f>
        <v>RMF</v>
      </c>
      <c r="H103" s="36">
        <v>43445</v>
      </c>
      <c r="I103" s="37">
        <v>2018</v>
      </c>
      <c r="J103" s="37">
        <v>2037</v>
      </c>
      <c r="K103" s="39">
        <f t="shared" si="12"/>
        <v>7.4688569472963726</v>
      </c>
      <c r="L103" s="40">
        <v>51.195300000000003</v>
      </c>
      <c r="M103" s="40">
        <v>97.665199999999999</v>
      </c>
      <c r="N103" s="41">
        <f>IFERROR(INDEX(Prices!$E:$E,MATCH("Mutual Fund|"&amp;C103&amp;"|"&amp;B103,Prices!$A:$A,0)),0)</f>
        <v>80.657499999999999</v>
      </c>
      <c r="O103" s="42">
        <v>5000</v>
      </c>
      <c r="P103" s="42">
        <f t="shared" si="13"/>
        <v>4129.2849097500002</v>
      </c>
      <c r="Q103" s="42">
        <f t="shared" si="14"/>
        <v>-870.71509024999978</v>
      </c>
      <c r="R103" s="11">
        <f t="shared" si="15"/>
        <v>-0.17414301804999996</v>
      </c>
      <c r="S103" s="35"/>
    </row>
    <row r="104" spans="1:19" ht="15" customHeight="1" x14ac:dyDescent="0.2">
      <c r="A104" s="35">
        <v>100</v>
      </c>
      <c r="B104" s="35" t="s">
        <v>141</v>
      </c>
      <c r="C104" s="35" t="s">
        <v>144</v>
      </c>
      <c r="D104" s="18" t="str">
        <f>IFERROR(INDEX(Reference!$E:$E,MATCH("Mutual Fund|"&amp;C104&amp;"|"&amp;B104,Reference!$A:$A,0)),"")</f>
        <v>Equity</v>
      </c>
      <c r="E104" s="18" t="str">
        <f>IFERROR(INDEX(Reference!$H:$H,MATCH("Mutual Fund|"&amp;C104&amp;"|"&amp;B104,Reference!$A:$A,0)),"")</f>
        <v>Thai Equity</v>
      </c>
      <c r="F104" s="18" t="str">
        <f>IFERROR(INDEX(Reference!$G:$G,MATCH("Mutual Fund|"&amp;C104&amp;"|"&amp;B104,Reference!$A:$A,0)),"")</f>
        <v>Thailand</v>
      </c>
      <c r="G104" s="18" t="str">
        <f>IFERROR(INDEX(Reference!$I:$I,MATCH("Mutual Fund|"&amp;C104&amp;"|"&amp;B104,Reference!$A:$A,0)),"")</f>
        <v>RMF</v>
      </c>
      <c r="H104" s="36">
        <v>43679</v>
      </c>
      <c r="I104" s="37">
        <v>2019</v>
      </c>
      <c r="J104" s="37">
        <v>2037</v>
      </c>
      <c r="K104" s="39">
        <f t="shared" si="12"/>
        <v>6.8281998631074607</v>
      </c>
      <c r="L104" s="40">
        <v>391.84219999999999</v>
      </c>
      <c r="M104" s="40">
        <v>102.0819</v>
      </c>
      <c r="N104" s="41">
        <f>IFERROR(INDEX(Prices!$E:$E,MATCH("Mutual Fund|"&amp;C104&amp;"|"&amp;B104,Prices!$A:$A,0)),0)</f>
        <v>80.657499999999999</v>
      </c>
      <c r="O104" s="42">
        <v>40000</v>
      </c>
      <c r="P104" s="42">
        <f t="shared" si="13"/>
        <v>31605.012246499999</v>
      </c>
      <c r="Q104" s="42">
        <f t="shared" si="14"/>
        <v>-8394.9877535000014</v>
      </c>
      <c r="R104" s="11">
        <f t="shared" si="15"/>
        <v>-0.20987469383750004</v>
      </c>
      <c r="S104" s="35"/>
    </row>
    <row r="105" spans="1:19" ht="15" customHeight="1" x14ac:dyDescent="0.2">
      <c r="A105" s="35">
        <v>101</v>
      </c>
      <c r="B105" s="35" t="s">
        <v>141</v>
      </c>
      <c r="C105" s="35" t="s">
        <v>144</v>
      </c>
      <c r="D105" s="18" t="str">
        <f>IFERROR(INDEX(Reference!$E:$E,MATCH("Mutual Fund|"&amp;C105&amp;"|"&amp;B105,Reference!$A:$A,0)),"")</f>
        <v>Equity</v>
      </c>
      <c r="E105" s="18" t="str">
        <f>IFERROR(INDEX(Reference!$H:$H,MATCH("Mutual Fund|"&amp;C105&amp;"|"&amp;B105,Reference!$A:$A,0)),"")</f>
        <v>Thai Equity</v>
      </c>
      <c r="F105" s="18" t="str">
        <f>IFERROR(INDEX(Reference!$G:$G,MATCH("Mutual Fund|"&amp;C105&amp;"|"&amp;B105,Reference!$A:$A,0)),"")</f>
        <v>Thailand</v>
      </c>
      <c r="G105" s="18" t="str">
        <f>IFERROR(INDEX(Reference!$I:$I,MATCH("Mutual Fund|"&amp;C105&amp;"|"&amp;B105,Reference!$A:$A,0)),"")</f>
        <v>RMF</v>
      </c>
      <c r="H105" s="36">
        <v>44186</v>
      </c>
      <c r="I105" s="37">
        <v>2020</v>
      </c>
      <c r="J105" s="37">
        <v>2037</v>
      </c>
      <c r="K105" s="39">
        <f t="shared" si="12"/>
        <v>5.4401095140314855</v>
      </c>
      <c r="L105" s="40">
        <v>479.41390000000001</v>
      </c>
      <c r="M105" s="40">
        <v>83.435199999999995</v>
      </c>
      <c r="N105" s="41">
        <f>IFERROR(INDEX(Prices!$E:$E,MATCH("Mutual Fund|"&amp;C105&amp;"|"&amp;B105,Prices!$A:$A,0)),0)</f>
        <v>80.657499999999999</v>
      </c>
      <c r="O105" s="42">
        <v>40000</v>
      </c>
      <c r="P105" s="42">
        <f t="shared" si="13"/>
        <v>38668.326639250001</v>
      </c>
      <c r="Q105" s="42">
        <f t="shared" si="14"/>
        <v>-1331.6733607499991</v>
      </c>
      <c r="R105" s="11">
        <f t="shared" si="15"/>
        <v>-3.329183401874998E-2</v>
      </c>
      <c r="S105" s="35"/>
    </row>
    <row r="106" spans="1:19" ht="15" customHeight="1" x14ac:dyDescent="0.2">
      <c r="A106" s="35">
        <v>102</v>
      </c>
      <c r="B106" s="35" t="s">
        <v>141</v>
      </c>
      <c r="C106" s="35" t="s">
        <v>144</v>
      </c>
      <c r="D106" s="18" t="str">
        <f>IFERROR(INDEX(Reference!$E:$E,MATCH("Mutual Fund|"&amp;C106&amp;"|"&amp;B106,Reference!$A:$A,0)),"")</f>
        <v>Equity</v>
      </c>
      <c r="E106" s="18" t="str">
        <f>IFERROR(INDEX(Reference!$H:$H,MATCH("Mutual Fund|"&amp;C106&amp;"|"&amp;B106,Reference!$A:$A,0)),"")</f>
        <v>Thai Equity</v>
      </c>
      <c r="F106" s="18" t="str">
        <f>IFERROR(INDEX(Reference!$G:$G,MATCH("Mutual Fund|"&amp;C106&amp;"|"&amp;B106,Reference!$A:$A,0)),"")</f>
        <v>Thailand</v>
      </c>
      <c r="G106" s="18" t="str">
        <f>IFERROR(INDEX(Reference!$I:$I,MATCH("Mutual Fund|"&amp;C106&amp;"|"&amp;B106,Reference!$A:$A,0)),"")</f>
        <v>RMF</v>
      </c>
      <c r="H106" s="36">
        <v>44382</v>
      </c>
      <c r="I106" s="37">
        <v>2021</v>
      </c>
      <c r="J106" s="37">
        <v>2037</v>
      </c>
      <c r="K106" s="39">
        <f t="shared" si="12"/>
        <v>4.9034907597535931</v>
      </c>
      <c r="L106" s="40">
        <v>220.40989999999999</v>
      </c>
      <c r="M106" s="40">
        <v>90.74</v>
      </c>
      <c r="N106" s="41">
        <f>IFERROR(INDEX(Prices!$E:$E,MATCH("Mutual Fund|"&amp;C106&amp;"|"&amp;B106,Prices!$A:$A,0)),0)</f>
        <v>80.657499999999999</v>
      </c>
      <c r="O106" s="42">
        <v>20000</v>
      </c>
      <c r="P106" s="42">
        <f t="shared" si="13"/>
        <v>17777.711509249999</v>
      </c>
      <c r="Q106" s="42">
        <f t="shared" si="14"/>
        <v>-2222.2884907500011</v>
      </c>
      <c r="R106" s="11">
        <f t="shared" si="15"/>
        <v>-0.11111442453750005</v>
      </c>
      <c r="S106" s="35"/>
    </row>
    <row r="107" spans="1:19" ht="15" customHeight="1" x14ac:dyDescent="0.2">
      <c r="A107" s="35">
        <v>103</v>
      </c>
      <c r="B107" s="35" t="s">
        <v>141</v>
      </c>
      <c r="C107" s="35" t="s">
        <v>144</v>
      </c>
      <c r="D107" s="18" t="str">
        <f>IFERROR(INDEX(Reference!$E:$E,MATCH("Mutual Fund|"&amp;C107&amp;"|"&amp;B107,Reference!$A:$A,0)),"")</f>
        <v>Equity</v>
      </c>
      <c r="E107" s="18" t="str">
        <f>IFERROR(INDEX(Reference!$H:$H,MATCH("Mutual Fund|"&amp;C107&amp;"|"&amp;B107,Reference!$A:$A,0)),"")</f>
        <v>Thai Equity</v>
      </c>
      <c r="F107" s="18" t="str">
        <f>IFERROR(INDEX(Reference!$G:$G,MATCH("Mutual Fund|"&amp;C107&amp;"|"&amp;B107,Reference!$A:$A,0)),"")</f>
        <v>Thailand</v>
      </c>
      <c r="G107" s="18" t="str">
        <f>IFERROR(INDEX(Reference!$I:$I,MATCH("Mutual Fund|"&amp;C107&amp;"|"&amp;B107,Reference!$A:$A,0)),"")</f>
        <v>RMF</v>
      </c>
      <c r="H107" s="36">
        <v>44410</v>
      </c>
      <c r="I107" s="37">
        <v>2021</v>
      </c>
      <c r="J107" s="37">
        <v>2037</v>
      </c>
      <c r="K107" s="39">
        <f t="shared" si="12"/>
        <v>4.8268309377138943</v>
      </c>
      <c r="L107" s="40">
        <v>229.49930000000001</v>
      </c>
      <c r="M107" s="40">
        <v>87.146199999999993</v>
      </c>
      <c r="N107" s="41">
        <f>IFERROR(INDEX(Prices!$E:$E,MATCH("Mutual Fund|"&amp;C107&amp;"|"&amp;B107,Prices!$A:$A,0)),0)</f>
        <v>80.657499999999999</v>
      </c>
      <c r="O107" s="42">
        <v>20000</v>
      </c>
      <c r="P107" s="42">
        <f t="shared" si="13"/>
        <v>18510.83978975</v>
      </c>
      <c r="Q107" s="42">
        <f t="shared" si="14"/>
        <v>-1489.1602102500001</v>
      </c>
      <c r="R107" s="11">
        <f t="shared" si="15"/>
        <v>-7.4458010512500006E-2</v>
      </c>
      <c r="S107" s="35"/>
    </row>
    <row r="108" spans="1:19" ht="15" customHeight="1" x14ac:dyDescent="0.2">
      <c r="A108" s="35">
        <v>104</v>
      </c>
      <c r="B108" s="35" t="s">
        <v>141</v>
      </c>
      <c r="C108" s="35" t="s">
        <v>144</v>
      </c>
      <c r="D108" s="18" t="str">
        <f>IFERROR(INDEX(Reference!$E:$E,MATCH("Mutual Fund|"&amp;C108&amp;"|"&amp;B108,Reference!$A:$A,0)),"")</f>
        <v>Equity</v>
      </c>
      <c r="E108" s="18" t="str">
        <f>IFERROR(INDEX(Reference!$H:$H,MATCH("Mutual Fund|"&amp;C108&amp;"|"&amp;B108,Reference!$A:$A,0)),"")</f>
        <v>Thai Equity</v>
      </c>
      <c r="F108" s="18" t="str">
        <f>IFERROR(INDEX(Reference!$G:$G,MATCH("Mutual Fund|"&amp;C108&amp;"|"&amp;B108,Reference!$A:$A,0)),"")</f>
        <v>Thailand</v>
      </c>
      <c r="G108" s="18" t="str">
        <f>IFERROR(INDEX(Reference!$I:$I,MATCH("Mutual Fund|"&amp;C108&amp;"|"&amp;B108,Reference!$A:$A,0)),"")</f>
        <v>RMF</v>
      </c>
      <c r="H108" s="36">
        <v>44592</v>
      </c>
      <c r="I108" s="37">
        <v>2022</v>
      </c>
      <c r="J108" s="37">
        <v>2037</v>
      </c>
      <c r="K108" s="39">
        <f t="shared" si="12"/>
        <v>4.3285420944558526</v>
      </c>
      <c r="L108" s="40">
        <v>105.0591</v>
      </c>
      <c r="M108" s="40">
        <v>95.1845</v>
      </c>
      <c r="N108" s="41">
        <f>IFERROR(INDEX(Prices!$E:$E,MATCH("Mutual Fund|"&amp;C108&amp;"|"&amp;B108,Prices!$A:$A,0)),0)</f>
        <v>80.657499999999999</v>
      </c>
      <c r="O108" s="42">
        <v>10000</v>
      </c>
      <c r="P108" s="42">
        <f t="shared" si="13"/>
        <v>8473.8043582499995</v>
      </c>
      <c r="Q108" s="42">
        <f t="shared" si="14"/>
        <v>-1526.1956417500005</v>
      </c>
      <c r="R108" s="11">
        <f t="shared" si="15"/>
        <v>-0.15261956417500006</v>
      </c>
      <c r="S108" s="35"/>
    </row>
    <row r="109" spans="1:19" ht="15" customHeight="1" x14ac:dyDescent="0.2">
      <c r="A109" s="35">
        <v>105</v>
      </c>
      <c r="B109" s="35" t="s">
        <v>141</v>
      </c>
      <c r="C109" s="35" t="s">
        <v>144</v>
      </c>
      <c r="D109" s="18" t="str">
        <f>IFERROR(INDEX(Reference!$E:$E,MATCH("Mutual Fund|"&amp;C109&amp;"|"&amp;B109,Reference!$A:$A,0)),"")</f>
        <v>Equity</v>
      </c>
      <c r="E109" s="18" t="str">
        <f>IFERROR(INDEX(Reference!$H:$H,MATCH("Mutual Fund|"&amp;C109&amp;"|"&amp;B109,Reference!$A:$A,0)),"")</f>
        <v>Thai Equity</v>
      </c>
      <c r="F109" s="18" t="str">
        <f>IFERROR(INDEX(Reference!$G:$G,MATCH("Mutual Fund|"&amp;C109&amp;"|"&amp;B109,Reference!$A:$A,0)),"")</f>
        <v>Thailand</v>
      </c>
      <c r="G109" s="18" t="str">
        <f>IFERROR(INDEX(Reference!$I:$I,MATCH("Mutual Fund|"&amp;C109&amp;"|"&amp;B109,Reference!$A:$A,0)),"")</f>
        <v>RMF</v>
      </c>
      <c r="H109" s="36">
        <v>44967</v>
      </c>
      <c r="I109" s="37">
        <v>2023</v>
      </c>
      <c r="J109" s="37">
        <v>2037</v>
      </c>
      <c r="K109" s="39">
        <f t="shared" si="12"/>
        <v>3.3018480492813143</v>
      </c>
      <c r="L109" s="40">
        <v>105.8813</v>
      </c>
      <c r="M109" s="40">
        <v>94.445300000000003</v>
      </c>
      <c r="N109" s="41">
        <f>IFERROR(INDEX(Prices!$E:$E,MATCH("Mutual Fund|"&amp;C109&amp;"|"&amp;B109,Prices!$A:$A,0)),0)</f>
        <v>80.657499999999999</v>
      </c>
      <c r="O109" s="42">
        <v>10000</v>
      </c>
      <c r="P109" s="42">
        <f t="shared" si="13"/>
        <v>8540.1209547500002</v>
      </c>
      <c r="Q109" s="42">
        <f t="shared" si="14"/>
        <v>-1459.8790452499998</v>
      </c>
      <c r="R109" s="11">
        <f t="shared" si="15"/>
        <v>-0.14598790452499999</v>
      </c>
      <c r="S109" s="35"/>
    </row>
    <row r="110" spans="1:19" ht="15" customHeight="1" x14ac:dyDescent="0.2">
      <c r="A110" s="35">
        <v>106</v>
      </c>
      <c r="B110" s="35" t="s">
        <v>141</v>
      </c>
      <c r="C110" s="35" t="s">
        <v>144</v>
      </c>
      <c r="D110" s="18" t="str">
        <f>IFERROR(INDEX(Reference!$E:$E,MATCH("Mutual Fund|"&amp;C110&amp;"|"&amp;B110,Reference!$A:$A,0)),"")</f>
        <v>Equity</v>
      </c>
      <c r="E110" s="18" t="str">
        <f>IFERROR(INDEX(Reference!$H:$H,MATCH("Mutual Fund|"&amp;C110&amp;"|"&amp;B110,Reference!$A:$A,0)),"")</f>
        <v>Thai Equity</v>
      </c>
      <c r="F110" s="18" t="str">
        <f>IFERROR(INDEX(Reference!$G:$G,MATCH("Mutual Fund|"&amp;C110&amp;"|"&amp;B110,Reference!$A:$A,0)),"")</f>
        <v>Thailand</v>
      </c>
      <c r="G110" s="18" t="str">
        <f>IFERROR(INDEX(Reference!$I:$I,MATCH("Mutual Fund|"&amp;C110&amp;"|"&amp;B110,Reference!$A:$A,0)),"")</f>
        <v>RMF</v>
      </c>
      <c r="H110" s="36">
        <v>45355</v>
      </c>
      <c r="I110" s="37">
        <v>2024</v>
      </c>
      <c r="J110" s="37">
        <v>2037</v>
      </c>
      <c r="K110" s="39">
        <f t="shared" si="12"/>
        <v>2.239561943874059</v>
      </c>
      <c r="L110" s="40">
        <v>131.56379999999999</v>
      </c>
      <c r="M110" s="40">
        <v>76.008700000000005</v>
      </c>
      <c r="N110" s="41">
        <f>IFERROR(INDEX(Prices!$E:$E,MATCH("Mutual Fund|"&amp;C110&amp;"|"&amp;B110,Prices!$A:$A,0)),0)</f>
        <v>80.657499999999999</v>
      </c>
      <c r="O110" s="42">
        <v>10000</v>
      </c>
      <c r="P110" s="42">
        <f t="shared" si="13"/>
        <v>10611.607198499998</v>
      </c>
      <c r="Q110" s="42">
        <f t="shared" si="14"/>
        <v>611.60719849999805</v>
      </c>
      <c r="R110" s="11">
        <f t="shared" si="15"/>
        <v>6.1160719849999802E-2</v>
      </c>
      <c r="S110" s="35"/>
    </row>
    <row r="111" spans="1:19" ht="15" customHeight="1" x14ac:dyDescent="0.2">
      <c r="A111" s="35">
        <v>107</v>
      </c>
      <c r="B111" s="35" t="s">
        <v>141</v>
      </c>
      <c r="C111" s="35" t="s">
        <v>144</v>
      </c>
      <c r="D111" s="18" t="str">
        <f>IFERROR(INDEX(Reference!$E:$E,MATCH("Mutual Fund|"&amp;C111&amp;"|"&amp;B111,Reference!$A:$A,0)),"")</f>
        <v>Equity</v>
      </c>
      <c r="E111" s="18" t="str">
        <f>IFERROR(INDEX(Reference!$H:$H,MATCH("Mutual Fund|"&amp;C111&amp;"|"&amp;B111,Reference!$A:$A,0)),"")</f>
        <v>Thai Equity</v>
      </c>
      <c r="F111" s="18" t="str">
        <f>IFERROR(INDEX(Reference!$G:$G,MATCH("Mutual Fund|"&amp;C111&amp;"|"&amp;B111,Reference!$A:$A,0)),"")</f>
        <v>Thailand</v>
      </c>
      <c r="G111" s="18" t="str">
        <f>IFERROR(INDEX(Reference!$I:$I,MATCH("Mutual Fund|"&amp;C111&amp;"|"&amp;B111,Reference!$A:$A,0)),"")</f>
        <v>RMF</v>
      </c>
      <c r="H111" s="36">
        <v>45887</v>
      </c>
      <c r="I111" s="37">
        <v>2025</v>
      </c>
      <c r="J111" s="37">
        <v>2037</v>
      </c>
      <c r="K111" s="39">
        <f t="shared" si="12"/>
        <v>0.78302532511978096</v>
      </c>
      <c r="L111" s="40">
        <v>156.86660000000001</v>
      </c>
      <c r="M111" s="40">
        <v>63.748399999999997</v>
      </c>
      <c r="N111" s="41">
        <f>IFERROR(INDEX(Prices!$E:$E,MATCH("Mutual Fund|"&amp;C111&amp;"|"&amp;B111,Prices!$A:$A,0)),0)</f>
        <v>80.657499999999999</v>
      </c>
      <c r="O111" s="42">
        <v>10000</v>
      </c>
      <c r="P111" s="42">
        <f t="shared" si="13"/>
        <v>12652.4677895</v>
      </c>
      <c r="Q111" s="42">
        <f t="shared" si="14"/>
        <v>2652.4677895000004</v>
      </c>
      <c r="R111" s="11">
        <f t="shared" si="15"/>
        <v>0.26524677895000004</v>
      </c>
      <c r="S111" s="35"/>
    </row>
    <row r="112" spans="1:19" ht="15" customHeight="1" x14ac:dyDescent="0.2">
      <c r="A112" s="35">
        <v>108</v>
      </c>
      <c r="B112" s="35" t="s">
        <v>141</v>
      </c>
      <c r="C112" s="35" t="s">
        <v>143</v>
      </c>
      <c r="D112" s="18" t="str">
        <f>IFERROR(INDEX(Reference!$E:$E,MATCH("Mutual Fund|"&amp;C112&amp;"|"&amp;B112,Reference!$A:$A,0)),"")</f>
        <v>Equity</v>
      </c>
      <c r="E112" s="18" t="str">
        <f>IFERROR(INDEX(Reference!$H:$H,MATCH("Mutual Fund|"&amp;C112&amp;"|"&amp;B112,Reference!$A:$A,0)),"")</f>
        <v>Healthcare</v>
      </c>
      <c r="F112" s="18" t="str">
        <f>IFERROR(INDEX(Reference!$G:$G,MATCH("Mutual Fund|"&amp;C112&amp;"|"&amp;B112,Reference!$A:$A,0)),"")</f>
        <v>Global</v>
      </c>
      <c r="G112" s="18" t="str">
        <f>IFERROR(INDEX(Reference!$I:$I,MATCH("Mutual Fund|"&amp;C112&amp;"|"&amp;B112,Reference!$A:$A,0)),"")</f>
        <v>RMF</v>
      </c>
      <c r="H112" s="36">
        <v>42270</v>
      </c>
      <c r="I112" s="37">
        <v>2015</v>
      </c>
      <c r="J112" s="37">
        <v>2037</v>
      </c>
      <c r="K112" s="39">
        <f t="shared" si="12"/>
        <v>10.685831622176591</v>
      </c>
      <c r="L112" s="40">
        <v>4851.4485999999997</v>
      </c>
      <c r="M112" s="40">
        <v>10.3062</v>
      </c>
      <c r="N112" s="41">
        <f>IFERROR(INDEX(Prices!$E:$E,MATCH("Mutual Fund|"&amp;C112&amp;"|"&amp;B112,Prices!$A:$A,0)),0)</f>
        <v>14.814399999999999</v>
      </c>
      <c r="O112" s="42">
        <v>50000</v>
      </c>
      <c r="P112" s="42">
        <f t="shared" si="13"/>
        <v>71871.300139839994</v>
      </c>
      <c r="Q112" s="42">
        <f t="shared" si="14"/>
        <v>21871.300139839994</v>
      </c>
      <c r="R112" s="11">
        <f t="shared" si="15"/>
        <v>0.43742600279679988</v>
      </c>
      <c r="S112" s="35"/>
    </row>
    <row r="113" spans="1:19" ht="15" customHeight="1" x14ac:dyDescent="0.2">
      <c r="A113" s="35">
        <v>109</v>
      </c>
      <c r="B113" s="35" t="s">
        <v>141</v>
      </c>
      <c r="C113" s="35" t="s">
        <v>143</v>
      </c>
      <c r="D113" s="18" t="str">
        <f>IFERROR(INDEX(Reference!$E:$E,MATCH("Mutual Fund|"&amp;C113&amp;"|"&amp;B113,Reference!$A:$A,0)),"")</f>
        <v>Equity</v>
      </c>
      <c r="E113" s="18" t="str">
        <f>IFERROR(INDEX(Reference!$H:$H,MATCH("Mutual Fund|"&amp;C113&amp;"|"&amp;B113,Reference!$A:$A,0)),"")</f>
        <v>Healthcare</v>
      </c>
      <c r="F113" s="18" t="str">
        <f>IFERROR(INDEX(Reference!$G:$G,MATCH("Mutual Fund|"&amp;C113&amp;"|"&amp;B113,Reference!$A:$A,0)),"")</f>
        <v>Global</v>
      </c>
      <c r="G113" s="18" t="str">
        <f>IFERROR(INDEX(Reference!$I:$I,MATCH("Mutual Fund|"&amp;C113&amp;"|"&amp;B113,Reference!$A:$A,0)),"")</f>
        <v>RMF</v>
      </c>
      <c r="H113" s="36">
        <v>42621</v>
      </c>
      <c r="I113" s="37">
        <v>2016</v>
      </c>
      <c r="J113" s="37">
        <v>2037</v>
      </c>
      <c r="K113" s="39">
        <f t="shared" si="12"/>
        <v>9.7248459958932241</v>
      </c>
      <c r="L113" s="40">
        <v>1016.8181</v>
      </c>
      <c r="M113" s="40">
        <v>9.8346</v>
      </c>
      <c r="N113" s="41">
        <f>IFERROR(INDEX(Prices!$E:$E,MATCH("Mutual Fund|"&amp;C113&amp;"|"&amp;B113,Prices!$A:$A,0)),0)</f>
        <v>14.814399999999999</v>
      </c>
      <c r="O113" s="42">
        <v>10000</v>
      </c>
      <c r="P113" s="42">
        <f t="shared" si="13"/>
        <v>15063.550060639998</v>
      </c>
      <c r="Q113" s="42">
        <f t="shared" si="14"/>
        <v>5063.5500606399983</v>
      </c>
      <c r="R113" s="11">
        <f t="shared" si="15"/>
        <v>0.50635500606399986</v>
      </c>
      <c r="S113" s="35"/>
    </row>
    <row r="114" spans="1:19" ht="15" customHeight="1" x14ac:dyDescent="0.2">
      <c r="A114" s="35">
        <v>110</v>
      </c>
      <c r="B114" s="35" t="s">
        <v>141</v>
      </c>
      <c r="C114" s="35" t="s">
        <v>143</v>
      </c>
      <c r="D114" s="18" t="str">
        <f>IFERROR(INDEX(Reference!$E:$E,MATCH("Mutual Fund|"&amp;C114&amp;"|"&amp;B114,Reference!$A:$A,0)),"")</f>
        <v>Equity</v>
      </c>
      <c r="E114" s="18" t="str">
        <f>IFERROR(INDEX(Reference!$H:$H,MATCH("Mutual Fund|"&amp;C114&amp;"|"&amp;B114,Reference!$A:$A,0)),"")</f>
        <v>Healthcare</v>
      </c>
      <c r="F114" s="18" t="str">
        <f>IFERROR(INDEX(Reference!$G:$G,MATCH("Mutual Fund|"&amp;C114&amp;"|"&amp;B114,Reference!$A:$A,0)),"")</f>
        <v>Global</v>
      </c>
      <c r="G114" s="18" t="str">
        <f>IFERROR(INDEX(Reference!$I:$I,MATCH("Mutual Fund|"&amp;C114&amp;"|"&amp;B114,Reference!$A:$A,0)),"")</f>
        <v>RMF</v>
      </c>
      <c r="H114" s="36">
        <v>43087</v>
      </c>
      <c r="I114" s="37">
        <v>2017</v>
      </c>
      <c r="J114" s="37">
        <v>2037</v>
      </c>
      <c r="K114" s="39">
        <f t="shared" si="12"/>
        <v>8.4490075290896645</v>
      </c>
      <c r="L114" s="40">
        <v>3815.556</v>
      </c>
      <c r="M114" s="40">
        <v>10.4834</v>
      </c>
      <c r="N114" s="41">
        <f>IFERROR(INDEX(Prices!$E:$E,MATCH("Mutual Fund|"&amp;C114&amp;"|"&amp;B114,Prices!$A:$A,0)),0)</f>
        <v>14.814399999999999</v>
      </c>
      <c r="O114" s="42">
        <v>40000</v>
      </c>
      <c r="P114" s="42">
        <f t="shared" si="13"/>
        <v>56525.172806399998</v>
      </c>
      <c r="Q114" s="42">
        <f t="shared" si="14"/>
        <v>16525.172806399998</v>
      </c>
      <c r="R114" s="11">
        <f t="shared" si="15"/>
        <v>0.41312932015999992</v>
      </c>
      <c r="S114" s="35"/>
    </row>
    <row r="115" spans="1:19" ht="15" customHeight="1" x14ac:dyDescent="0.2">
      <c r="A115" s="35">
        <v>111</v>
      </c>
      <c r="B115" s="35" t="s">
        <v>141</v>
      </c>
      <c r="C115" s="35" t="s">
        <v>143</v>
      </c>
      <c r="D115" s="18" t="str">
        <f>IFERROR(INDEX(Reference!$E:$E,MATCH("Mutual Fund|"&amp;C115&amp;"|"&amp;B115,Reference!$A:$A,0)),"")</f>
        <v>Equity</v>
      </c>
      <c r="E115" s="18" t="str">
        <f>IFERROR(INDEX(Reference!$H:$H,MATCH("Mutual Fund|"&amp;C115&amp;"|"&amp;B115,Reference!$A:$A,0)),"")</f>
        <v>Healthcare</v>
      </c>
      <c r="F115" s="18" t="str">
        <f>IFERROR(INDEX(Reference!$G:$G,MATCH("Mutual Fund|"&amp;C115&amp;"|"&amp;B115,Reference!$A:$A,0)),"")</f>
        <v>Global</v>
      </c>
      <c r="G115" s="18" t="str">
        <f>IFERROR(INDEX(Reference!$I:$I,MATCH("Mutual Fund|"&amp;C115&amp;"|"&amp;B115,Reference!$A:$A,0)),"")</f>
        <v>RMF</v>
      </c>
      <c r="H115" s="36">
        <v>43445</v>
      </c>
      <c r="I115" s="37">
        <v>2018</v>
      </c>
      <c r="J115" s="37">
        <v>2037</v>
      </c>
      <c r="K115" s="39">
        <f t="shared" si="12"/>
        <v>7.4688569472963726</v>
      </c>
      <c r="L115" s="40">
        <v>1878.3751999999999</v>
      </c>
      <c r="M115" s="40">
        <v>10.647500000000001</v>
      </c>
      <c r="N115" s="41">
        <f>IFERROR(INDEX(Prices!$E:$E,MATCH("Mutual Fund|"&amp;C115&amp;"|"&amp;B115,Prices!$A:$A,0)),0)</f>
        <v>14.814399999999999</v>
      </c>
      <c r="O115" s="42">
        <v>20000</v>
      </c>
      <c r="P115" s="42">
        <f t="shared" si="13"/>
        <v>27827.001562879999</v>
      </c>
      <c r="Q115" s="42">
        <f t="shared" si="14"/>
        <v>7827.0015628799993</v>
      </c>
      <c r="R115" s="11">
        <f t="shared" si="15"/>
        <v>0.39135007814399997</v>
      </c>
      <c r="S115" s="35"/>
    </row>
    <row r="116" spans="1:19" ht="15" customHeight="1" x14ac:dyDescent="0.2">
      <c r="A116" s="35">
        <v>112</v>
      </c>
      <c r="B116" s="35" t="s">
        <v>141</v>
      </c>
      <c r="C116" s="35" t="s">
        <v>143</v>
      </c>
      <c r="D116" s="18" t="str">
        <f>IFERROR(INDEX(Reference!$E:$E,MATCH("Mutual Fund|"&amp;C116&amp;"|"&amp;B116,Reference!$A:$A,0)),"")</f>
        <v>Equity</v>
      </c>
      <c r="E116" s="18" t="str">
        <f>IFERROR(INDEX(Reference!$H:$H,MATCH("Mutual Fund|"&amp;C116&amp;"|"&amp;B116,Reference!$A:$A,0)),"")</f>
        <v>Healthcare</v>
      </c>
      <c r="F116" s="18" t="str">
        <f>IFERROR(INDEX(Reference!$G:$G,MATCH("Mutual Fund|"&amp;C116&amp;"|"&amp;B116,Reference!$A:$A,0)),"")</f>
        <v>Global</v>
      </c>
      <c r="G116" s="18" t="str">
        <f>IFERROR(INDEX(Reference!$I:$I,MATCH("Mutual Fund|"&amp;C116&amp;"|"&amp;B116,Reference!$A:$A,0)),"")</f>
        <v>RMF</v>
      </c>
      <c r="H116" s="36">
        <v>43556</v>
      </c>
      <c r="I116" s="37">
        <v>2019</v>
      </c>
      <c r="J116" s="37">
        <v>2037</v>
      </c>
      <c r="K116" s="39">
        <f t="shared" si="12"/>
        <v>7.1649555099247095</v>
      </c>
      <c r="L116" s="40">
        <v>7566.8553000000002</v>
      </c>
      <c r="M116" s="40">
        <v>11.2332</v>
      </c>
      <c r="N116" s="41">
        <f>IFERROR(INDEX(Prices!$E:$E,MATCH("Mutual Fund|"&amp;C116&amp;"|"&amp;B116,Prices!$A:$A,0)),0)</f>
        <v>14.814399999999999</v>
      </c>
      <c r="O116" s="42">
        <v>85000</v>
      </c>
      <c r="P116" s="42">
        <f t="shared" si="13"/>
        <v>112098.42115631999</v>
      </c>
      <c r="Q116" s="42">
        <f t="shared" si="14"/>
        <v>27098.421156319993</v>
      </c>
      <c r="R116" s="11">
        <f t="shared" si="15"/>
        <v>0.31880495478023524</v>
      </c>
      <c r="S116" s="35"/>
    </row>
    <row r="117" spans="1:19" ht="15" customHeight="1" x14ac:dyDescent="0.2">
      <c r="A117" s="35">
        <v>113</v>
      </c>
      <c r="B117" s="35" t="s">
        <v>141</v>
      </c>
      <c r="C117" s="35" t="s">
        <v>143</v>
      </c>
      <c r="D117" s="18" t="str">
        <f>IFERROR(INDEX(Reference!$E:$E,MATCH("Mutual Fund|"&amp;C117&amp;"|"&amp;B117,Reference!$A:$A,0)),"")</f>
        <v>Equity</v>
      </c>
      <c r="E117" s="18" t="str">
        <f>IFERROR(INDEX(Reference!$H:$H,MATCH("Mutual Fund|"&amp;C117&amp;"|"&amp;B117,Reference!$A:$A,0)),"")</f>
        <v>Healthcare</v>
      </c>
      <c r="F117" s="18" t="str">
        <f>IFERROR(INDEX(Reference!$G:$G,MATCH("Mutual Fund|"&amp;C117&amp;"|"&amp;B117,Reference!$A:$A,0)),"")</f>
        <v>Global</v>
      </c>
      <c r="G117" s="18" t="str">
        <f>IFERROR(INDEX(Reference!$I:$I,MATCH("Mutual Fund|"&amp;C117&amp;"|"&amp;B117,Reference!$A:$A,0)),"")</f>
        <v>RMF</v>
      </c>
      <c r="H117" s="36">
        <v>44187</v>
      </c>
      <c r="I117" s="37">
        <v>2020</v>
      </c>
      <c r="J117" s="37">
        <v>2037</v>
      </c>
      <c r="K117" s="39">
        <f t="shared" si="12"/>
        <v>5.4373716632443534</v>
      </c>
      <c r="L117" s="40">
        <v>6751.2826999999997</v>
      </c>
      <c r="M117" s="40">
        <v>14.811999999999999</v>
      </c>
      <c r="N117" s="41">
        <f>IFERROR(INDEX(Prices!$E:$E,MATCH("Mutual Fund|"&amp;C117&amp;"|"&amp;B117,Prices!$A:$A,0)),0)</f>
        <v>14.814399999999999</v>
      </c>
      <c r="O117" s="42">
        <v>100000</v>
      </c>
      <c r="P117" s="42">
        <f t="shared" si="13"/>
        <v>100016.20243087999</v>
      </c>
      <c r="Q117" s="42">
        <f t="shared" si="14"/>
        <v>16.202430879988242</v>
      </c>
      <c r="R117" s="11">
        <f t="shared" si="15"/>
        <v>1.6202430879988243E-4</v>
      </c>
      <c r="S117" s="35"/>
    </row>
    <row r="118" spans="1:19" ht="15" customHeight="1" x14ac:dyDescent="0.2">
      <c r="A118" s="35">
        <v>114</v>
      </c>
      <c r="B118" s="35" t="s">
        <v>141</v>
      </c>
      <c r="C118" s="35" t="s">
        <v>143</v>
      </c>
      <c r="D118" s="18" t="str">
        <f>IFERROR(INDEX(Reference!$E:$E,MATCH("Mutual Fund|"&amp;C118&amp;"|"&amp;B118,Reference!$A:$A,0)),"")</f>
        <v>Equity</v>
      </c>
      <c r="E118" s="18" t="str">
        <f>IFERROR(INDEX(Reference!$H:$H,MATCH("Mutual Fund|"&amp;C118&amp;"|"&amp;B118,Reference!$A:$A,0)),"")</f>
        <v>Healthcare</v>
      </c>
      <c r="F118" s="18" t="str">
        <f>IFERROR(INDEX(Reference!$G:$G,MATCH("Mutual Fund|"&amp;C118&amp;"|"&amp;B118,Reference!$A:$A,0)),"")</f>
        <v>Global</v>
      </c>
      <c r="G118" s="18" t="str">
        <f>IFERROR(INDEX(Reference!$I:$I,MATCH("Mutual Fund|"&amp;C118&amp;"|"&amp;B118,Reference!$A:$A,0)),"")</f>
        <v>RMF</v>
      </c>
      <c r="H118" s="36">
        <v>44307</v>
      </c>
      <c r="I118" s="37">
        <v>2021</v>
      </c>
      <c r="J118" s="37">
        <v>2037</v>
      </c>
      <c r="K118" s="39">
        <f t="shared" si="12"/>
        <v>5.1088295687885008</v>
      </c>
      <c r="L118" s="40">
        <v>3299.6547999999998</v>
      </c>
      <c r="M118" s="40">
        <v>15.1531</v>
      </c>
      <c r="N118" s="41">
        <f>IFERROR(INDEX(Prices!$E:$E,MATCH("Mutual Fund|"&amp;C118&amp;"|"&amp;B118,Prices!$A:$A,0)),0)</f>
        <v>14.814399999999999</v>
      </c>
      <c r="O118" s="42">
        <v>50000</v>
      </c>
      <c r="P118" s="42">
        <f t="shared" si="13"/>
        <v>48882.406069119992</v>
      </c>
      <c r="Q118" s="42">
        <f t="shared" si="14"/>
        <v>-1117.593930880008</v>
      </c>
      <c r="R118" s="11">
        <f t="shared" si="15"/>
        <v>-2.2351878617600161E-2</v>
      </c>
      <c r="S118" s="35"/>
    </row>
    <row r="119" spans="1:19" ht="15" customHeight="1" x14ac:dyDescent="0.2">
      <c r="A119" s="35">
        <v>115</v>
      </c>
      <c r="B119" s="35" t="s">
        <v>141</v>
      </c>
      <c r="C119" s="35" t="s">
        <v>143</v>
      </c>
      <c r="D119" s="18" t="str">
        <f>IFERROR(INDEX(Reference!$E:$E,MATCH("Mutual Fund|"&amp;C119&amp;"|"&amp;B119,Reference!$A:$A,0)),"")</f>
        <v>Equity</v>
      </c>
      <c r="E119" s="18" t="str">
        <f>IFERROR(INDEX(Reference!$H:$H,MATCH("Mutual Fund|"&amp;C119&amp;"|"&amp;B119,Reference!$A:$A,0)),"")</f>
        <v>Healthcare</v>
      </c>
      <c r="F119" s="18" t="str">
        <f>IFERROR(INDEX(Reference!$G:$G,MATCH("Mutual Fund|"&amp;C119&amp;"|"&amp;B119,Reference!$A:$A,0)),"")</f>
        <v>Global</v>
      </c>
      <c r="G119" s="18" t="str">
        <f>IFERROR(INDEX(Reference!$I:$I,MATCH("Mutual Fund|"&amp;C119&amp;"|"&amp;B119,Reference!$A:$A,0)),"")</f>
        <v>RMF</v>
      </c>
      <c r="H119" s="36">
        <v>44316</v>
      </c>
      <c r="I119" s="37">
        <v>2021</v>
      </c>
      <c r="J119" s="37">
        <v>2037</v>
      </c>
      <c r="K119" s="39">
        <f t="shared" si="12"/>
        <v>5.0841889117043122</v>
      </c>
      <c r="L119" s="40">
        <v>3318.6648</v>
      </c>
      <c r="M119" s="40">
        <v>15.0663</v>
      </c>
      <c r="N119" s="41">
        <f>IFERROR(INDEX(Prices!$E:$E,MATCH("Mutual Fund|"&amp;C119&amp;"|"&amp;B119,Prices!$A:$A,0)),0)</f>
        <v>14.814399999999999</v>
      </c>
      <c r="O119" s="42">
        <v>50000</v>
      </c>
      <c r="P119" s="42">
        <f t="shared" si="13"/>
        <v>49164.027813119996</v>
      </c>
      <c r="Q119" s="42">
        <f t="shared" si="14"/>
        <v>-835.9721868800043</v>
      </c>
      <c r="R119" s="11">
        <f t="shared" si="15"/>
        <v>-1.6719443737600086E-2</v>
      </c>
      <c r="S119" s="35"/>
    </row>
    <row r="120" spans="1:19" ht="15" customHeight="1" x14ac:dyDescent="0.2">
      <c r="A120" s="35">
        <v>116</v>
      </c>
      <c r="B120" s="35" t="s">
        <v>141</v>
      </c>
      <c r="C120" s="35" t="s">
        <v>143</v>
      </c>
      <c r="D120" s="18" t="str">
        <f>IFERROR(INDEX(Reference!$E:$E,MATCH("Mutual Fund|"&amp;C120&amp;"|"&amp;B120,Reference!$A:$A,0)),"")</f>
        <v>Equity</v>
      </c>
      <c r="E120" s="18" t="str">
        <f>IFERROR(INDEX(Reference!$H:$H,MATCH("Mutual Fund|"&amp;C120&amp;"|"&amp;B120,Reference!$A:$A,0)),"")</f>
        <v>Healthcare</v>
      </c>
      <c r="F120" s="18" t="str">
        <f>IFERROR(INDEX(Reference!$G:$G,MATCH("Mutual Fund|"&amp;C120&amp;"|"&amp;B120,Reference!$A:$A,0)),"")</f>
        <v>Global</v>
      </c>
      <c r="G120" s="18" t="str">
        <f>IFERROR(INDEX(Reference!$I:$I,MATCH("Mutual Fund|"&amp;C120&amp;"|"&amp;B120,Reference!$A:$A,0)),"")</f>
        <v>RMF</v>
      </c>
      <c r="H120" s="36">
        <v>44592</v>
      </c>
      <c r="I120" s="37">
        <v>2022</v>
      </c>
      <c r="J120" s="37">
        <v>2037</v>
      </c>
      <c r="K120" s="39">
        <f t="shared" si="12"/>
        <v>4.3285420944558526</v>
      </c>
      <c r="L120" s="40">
        <v>1414.0571</v>
      </c>
      <c r="M120" s="40">
        <v>14.143700000000001</v>
      </c>
      <c r="N120" s="41">
        <f>IFERROR(INDEX(Prices!$E:$E,MATCH("Mutual Fund|"&amp;C120&amp;"|"&amp;B120,Prices!$A:$A,0)),0)</f>
        <v>14.814399999999999</v>
      </c>
      <c r="O120" s="42">
        <v>20000</v>
      </c>
      <c r="P120" s="42">
        <f t="shared" si="13"/>
        <v>20948.407502239999</v>
      </c>
      <c r="Q120" s="42">
        <f t="shared" si="14"/>
        <v>948.4075022399993</v>
      </c>
      <c r="R120" s="11">
        <f t="shared" si="15"/>
        <v>4.7420375111999966E-2</v>
      </c>
      <c r="S120" s="35"/>
    </row>
    <row r="121" spans="1:19" ht="15" customHeight="1" x14ac:dyDescent="0.2">
      <c r="A121" s="35">
        <v>117</v>
      </c>
      <c r="B121" s="35" t="s">
        <v>141</v>
      </c>
      <c r="C121" s="35" t="s">
        <v>143</v>
      </c>
      <c r="D121" s="18" t="str">
        <f>IFERROR(INDEX(Reference!$E:$E,MATCH("Mutual Fund|"&amp;C121&amp;"|"&amp;B121,Reference!$A:$A,0)),"")</f>
        <v>Equity</v>
      </c>
      <c r="E121" s="18" t="str">
        <f>IFERROR(INDEX(Reference!$H:$H,MATCH("Mutual Fund|"&amp;C121&amp;"|"&amp;B121,Reference!$A:$A,0)),"")</f>
        <v>Healthcare</v>
      </c>
      <c r="F121" s="18" t="str">
        <f>IFERROR(INDEX(Reference!$G:$G,MATCH("Mutual Fund|"&amp;C121&amp;"|"&amp;B121,Reference!$A:$A,0)),"")</f>
        <v>Global</v>
      </c>
      <c r="G121" s="18" t="str">
        <f>IFERROR(INDEX(Reference!$I:$I,MATCH("Mutual Fund|"&amp;C121&amp;"|"&amp;B121,Reference!$A:$A,0)),"")</f>
        <v>RMF</v>
      </c>
      <c r="H121" s="36">
        <v>44620</v>
      </c>
      <c r="I121" s="37">
        <v>2022</v>
      </c>
      <c r="J121" s="37">
        <v>2037</v>
      </c>
      <c r="K121" s="39">
        <f t="shared" si="12"/>
        <v>4.2518822724161529</v>
      </c>
      <c r="L121" s="40">
        <v>1412.4094</v>
      </c>
      <c r="M121" s="40">
        <v>14.1602</v>
      </c>
      <c r="N121" s="41">
        <f>IFERROR(INDEX(Prices!$E:$E,MATCH("Mutual Fund|"&amp;C121&amp;"|"&amp;B121,Prices!$A:$A,0)),0)</f>
        <v>14.814399999999999</v>
      </c>
      <c r="O121" s="42">
        <v>20000</v>
      </c>
      <c r="P121" s="42">
        <f t="shared" si="13"/>
        <v>20923.997815359999</v>
      </c>
      <c r="Q121" s="42">
        <f t="shared" si="14"/>
        <v>923.99781535999864</v>
      </c>
      <c r="R121" s="11">
        <f t="shared" si="15"/>
        <v>4.6199890767999935E-2</v>
      </c>
      <c r="S121" s="35"/>
    </row>
    <row r="122" spans="1:19" ht="15" customHeight="1" x14ac:dyDescent="0.2">
      <c r="A122" s="35">
        <v>118</v>
      </c>
      <c r="B122" s="35" t="s">
        <v>141</v>
      </c>
      <c r="C122" s="35" t="s">
        <v>143</v>
      </c>
      <c r="D122" s="18" t="str">
        <f>IFERROR(INDEX(Reference!$E:$E,MATCH("Mutual Fund|"&amp;C122&amp;"|"&amp;B122,Reference!$A:$A,0)),"")</f>
        <v>Equity</v>
      </c>
      <c r="E122" s="18" t="str">
        <f>IFERROR(INDEX(Reference!$H:$H,MATCH("Mutual Fund|"&amp;C122&amp;"|"&amp;B122,Reference!$A:$A,0)),"")</f>
        <v>Healthcare</v>
      </c>
      <c r="F122" s="18" t="str">
        <f>IFERROR(INDEX(Reference!$G:$G,MATCH("Mutual Fund|"&amp;C122&amp;"|"&amp;B122,Reference!$A:$A,0)),"")</f>
        <v>Global</v>
      </c>
      <c r="G122" s="18" t="str">
        <f>IFERROR(INDEX(Reference!$I:$I,MATCH("Mutual Fund|"&amp;C122&amp;"|"&amp;B122,Reference!$A:$A,0)),"")</f>
        <v>RMF</v>
      </c>
      <c r="H122" s="36">
        <v>44967</v>
      </c>
      <c r="I122" s="37">
        <v>2023</v>
      </c>
      <c r="J122" s="37">
        <v>2037</v>
      </c>
      <c r="K122" s="39">
        <f t="shared" si="12"/>
        <v>3.3018480492813143</v>
      </c>
      <c r="L122" s="40">
        <v>1462.1271999999999</v>
      </c>
      <c r="M122" s="40">
        <v>13.678699999999999</v>
      </c>
      <c r="N122" s="41">
        <f>IFERROR(INDEX(Prices!$E:$E,MATCH("Mutual Fund|"&amp;C122&amp;"|"&amp;B122,Prices!$A:$A,0)),0)</f>
        <v>14.814399999999999</v>
      </c>
      <c r="O122" s="42">
        <v>20000</v>
      </c>
      <c r="P122" s="42">
        <f t="shared" si="13"/>
        <v>21660.537191679996</v>
      </c>
      <c r="Q122" s="42">
        <f t="shared" si="14"/>
        <v>1660.5371916799959</v>
      </c>
      <c r="R122" s="11">
        <f t="shared" si="15"/>
        <v>8.3026859583999787E-2</v>
      </c>
      <c r="S122" s="35"/>
    </row>
    <row r="123" spans="1:19" ht="15" customHeight="1" x14ac:dyDescent="0.2">
      <c r="A123" s="35">
        <v>119</v>
      </c>
      <c r="B123" s="35" t="s">
        <v>141</v>
      </c>
      <c r="C123" s="35" t="s">
        <v>143</v>
      </c>
      <c r="D123" s="18" t="str">
        <f>IFERROR(INDEX(Reference!$E:$E,MATCH("Mutual Fund|"&amp;C123&amp;"|"&amp;B123,Reference!$A:$A,0)),"")</f>
        <v>Equity</v>
      </c>
      <c r="E123" s="18" t="str">
        <f>IFERROR(INDEX(Reference!$H:$H,MATCH("Mutual Fund|"&amp;C123&amp;"|"&amp;B123,Reference!$A:$A,0)),"")</f>
        <v>Healthcare</v>
      </c>
      <c r="F123" s="18" t="str">
        <f>IFERROR(INDEX(Reference!$G:$G,MATCH("Mutual Fund|"&amp;C123&amp;"|"&amp;B123,Reference!$A:$A,0)),"")</f>
        <v>Global</v>
      </c>
      <c r="G123" s="18" t="str">
        <f>IFERROR(INDEX(Reference!$I:$I,MATCH("Mutual Fund|"&amp;C123&amp;"|"&amp;B123,Reference!$A:$A,0)),"")</f>
        <v>RMF</v>
      </c>
      <c r="H123" s="36">
        <v>45020</v>
      </c>
      <c r="I123" s="37">
        <v>2023</v>
      </c>
      <c r="J123" s="37">
        <v>2037</v>
      </c>
      <c r="K123" s="39">
        <f t="shared" si="12"/>
        <v>3.1567419575633129</v>
      </c>
      <c r="L123" s="40">
        <v>1483.9547</v>
      </c>
      <c r="M123" s="40">
        <v>13.477499999999999</v>
      </c>
      <c r="N123" s="41">
        <f>IFERROR(INDEX(Prices!$E:$E,MATCH("Mutual Fund|"&amp;C123&amp;"|"&amp;B123,Prices!$A:$A,0)),0)</f>
        <v>14.814399999999999</v>
      </c>
      <c r="O123" s="42">
        <v>20000</v>
      </c>
      <c r="P123" s="42">
        <f t="shared" si="13"/>
        <v>21983.898507679998</v>
      </c>
      <c r="Q123" s="42">
        <f t="shared" si="14"/>
        <v>1983.8985076799981</v>
      </c>
      <c r="R123" s="11">
        <f t="shared" si="15"/>
        <v>9.9194925383999905E-2</v>
      </c>
      <c r="S123" s="35"/>
    </row>
    <row r="124" spans="1:19" ht="15" customHeight="1" x14ac:dyDescent="0.2">
      <c r="A124" s="35">
        <v>120</v>
      </c>
      <c r="B124" s="35" t="s">
        <v>141</v>
      </c>
      <c r="C124" s="35" t="s">
        <v>143</v>
      </c>
      <c r="D124" s="18" t="str">
        <f>IFERROR(INDEX(Reference!$E:$E,MATCH("Mutual Fund|"&amp;C124&amp;"|"&amp;B124,Reference!$A:$A,0)),"")</f>
        <v>Equity</v>
      </c>
      <c r="E124" s="18" t="str">
        <f>IFERROR(INDEX(Reference!$H:$H,MATCH("Mutual Fund|"&amp;C124&amp;"|"&amp;B124,Reference!$A:$A,0)),"")</f>
        <v>Healthcare</v>
      </c>
      <c r="F124" s="18" t="str">
        <f>IFERROR(INDEX(Reference!$G:$G,MATCH("Mutual Fund|"&amp;C124&amp;"|"&amp;B124,Reference!$A:$A,0)),"")</f>
        <v>Global</v>
      </c>
      <c r="G124" s="18" t="str">
        <f>IFERROR(INDEX(Reference!$I:$I,MATCH("Mutual Fund|"&amp;C124&amp;"|"&amp;B124,Reference!$A:$A,0)),"")</f>
        <v>RMF</v>
      </c>
      <c r="H124" s="36">
        <v>45327</v>
      </c>
      <c r="I124" s="37">
        <v>2024</v>
      </c>
      <c r="J124" s="37">
        <v>2037</v>
      </c>
      <c r="K124" s="39">
        <f t="shared" si="12"/>
        <v>2.3162217659137578</v>
      </c>
      <c r="L124" s="40">
        <v>2739.5945999999999</v>
      </c>
      <c r="M124" s="40">
        <v>14.6007</v>
      </c>
      <c r="N124" s="41">
        <f>IFERROR(INDEX(Prices!$E:$E,MATCH("Mutual Fund|"&amp;C124&amp;"|"&amp;B124,Prices!$A:$A,0)),0)</f>
        <v>14.814399999999999</v>
      </c>
      <c r="O124" s="42">
        <v>40000</v>
      </c>
      <c r="P124" s="42">
        <f t="shared" si="13"/>
        <v>40585.450242239996</v>
      </c>
      <c r="Q124" s="42">
        <f t="shared" si="14"/>
        <v>585.45024223999644</v>
      </c>
      <c r="R124" s="11">
        <f t="shared" si="15"/>
        <v>1.4636256055999912E-2</v>
      </c>
      <c r="S124" s="35"/>
    </row>
    <row r="125" spans="1:19" ht="15" customHeight="1" x14ac:dyDescent="0.2">
      <c r="A125" s="35">
        <v>121</v>
      </c>
      <c r="B125" s="35" t="s">
        <v>141</v>
      </c>
      <c r="C125" s="35" t="s">
        <v>143</v>
      </c>
      <c r="D125" s="18" t="str">
        <f>IFERROR(INDEX(Reference!$E:$E,MATCH("Mutual Fund|"&amp;C125&amp;"|"&amp;B125,Reference!$A:$A,0)),"")</f>
        <v>Equity</v>
      </c>
      <c r="E125" s="18" t="str">
        <f>IFERROR(INDEX(Reference!$H:$H,MATCH("Mutual Fund|"&amp;C125&amp;"|"&amp;B125,Reference!$A:$A,0)),"")</f>
        <v>Healthcare</v>
      </c>
      <c r="F125" s="18" t="str">
        <f>IFERROR(INDEX(Reference!$G:$G,MATCH("Mutual Fund|"&amp;C125&amp;"|"&amp;B125,Reference!$A:$A,0)),"")</f>
        <v>Global</v>
      </c>
      <c r="G125" s="18" t="str">
        <f>IFERROR(INDEX(Reference!$I:$I,MATCH("Mutual Fund|"&amp;C125&amp;"|"&amp;B125,Reference!$A:$A,0)),"")</f>
        <v>RMF</v>
      </c>
      <c r="H125" s="36">
        <v>45887</v>
      </c>
      <c r="I125" s="37">
        <v>2025</v>
      </c>
      <c r="J125" s="37">
        <v>2037</v>
      </c>
      <c r="K125" s="39">
        <f t="shared" si="12"/>
        <v>0.78302532511978096</v>
      </c>
      <c r="L125" s="40">
        <v>3173.1927999999998</v>
      </c>
      <c r="M125" s="40">
        <v>12.605600000000001</v>
      </c>
      <c r="N125" s="41">
        <f>IFERROR(INDEX(Prices!$E:$E,MATCH("Mutual Fund|"&amp;C125&amp;"|"&amp;B125,Prices!$A:$A,0)),0)</f>
        <v>14.814399999999999</v>
      </c>
      <c r="O125" s="42">
        <v>40000</v>
      </c>
      <c r="P125" s="42">
        <f t="shared" si="13"/>
        <v>47008.947416319992</v>
      </c>
      <c r="Q125" s="42">
        <f t="shared" si="14"/>
        <v>7008.947416319992</v>
      </c>
      <c r="R125" s="11">
        <f t="shared" si="15"/>
        <v>0.17522368540799979</v>
      </c>
      <c r="S125" s="35"/>
    </row>
    <row r="126" spans="1:19" ht="15" customHeight="1" x14ac:dyDescent="0.2">
      <c r="A126" s="35">
        <v>122</v>
      </c>
      <c r="B126" s="35" t="s">
        <v>148</v>
      </c>
      <c r="C126" s="35" t="s">
        <v>149</v>
      </c>
      <c r="D126" s="18" t="str">
        <f>IFERROR(INDEX(Reference!$E:$E,MATCH("Mutual Fund|"&amp;C126&amp;"|"&amp;B126,Reference!$A:$A,0)),"")</f>
        <v>Equity</v>
      </c>
      <c r="E126" s="18" t="str">
        <f>IFERROR(INDEX(Reference!$H:$H,MATCH("Mutual Fund|"&amp;C126&amp;"|"&amp;B126,Reference!$A:$A,0)),"")</f>
        <v>US Large Cap</v>
      </c>
      <c r="F126" s="18" t="str">
        <f>IFERROR(INDEX(Reference!$G:$G,MATCH("Mutual Fund|"&amp;C126&amp;"|"&amp;B126,Reference!$A:$A,0)),"")</f>
        <v>United States</v>
      </c>
      <c r="G126" s="18" t="str">
        <f>IFERROR(INDEX(Reference!$I:$I,MATCH("Mutual Fund|"&amp;C126&amp;"|"&amp;B126,Reference!$A:$A,0)),"")</f>
        <v>RMF</v>
      </c>
      <c r="H126" s="36">
        <v>43283</v>
      </c>
      <c r="I126" s="37">
        <v>2018</v>
      </c>
      <c r="J126" s="37">
        <v>2037</v>
      </c>
      <c r="K126" s="39">
        <f t="shared" si="12"/>
        <v>7.9123887748117729</v>
      </c>
      <c r="L126" s="40">
        <v>1366.7849000000001</v>
      </c>
      <c r="M126" s="40">
        <v>18.2911</v>
      </c>
      <c r="N126" s="41">
        <f>IFERROR(INDEX(Prices!$E:$E,MATCH("Mutual Fund|"&amp;C126&amp;"|"&amp;B126,Prices!$A:$A,0)),0)</f>
        <v>41.553600000000003</v>
      </c>
      <c r="O126" s="42">
        <v>25000</v>
      </c>
      <c r="P126" s="42">
        <f t="shared" si="13"/>
        <v>56794.833020640006</v>
      </c>
      <c r="Q126" s="42">
        <f t="shared" si="14"/>
        <v>31794.833020640006</v>
      </c>
      <c r="R126" s="11">
        <f t="shared" si="15"/>
        <v>1.2717933208256003</v>
      </c>
      <c r="S126" s="35"/>
    </row>
    <row r="127" spans="1:19" ht="15" customHeight="1" x14ac:dyDescent="0.2">
      <c r="A127" s="35">
        <v>123</v>
      </c>
      <c r="B127" s="35" t="s">
        <v>148</v>
      </c>
      <c r="C127" s="35" t="s">
        <v>149</v>
      </c>
      <c r="D127" s="18" t="str">
        <f>IFERROR(INDEX(Reference!$E:$E,MATCH("Mutual Fund|"&amp;C127&amp;"|"&amp;B127,Reference!$A:$A,0)),"")</f>
        <v>Equity</v>
      </c>
      <c r="E127" s="18" t="str">
        <f>IFERROR(INDEX(Reference!$H:$H,MATCH("Mutual Fund|"&amp;C127&amp;"|"&amp;B127,Reference!$A:$A,0)),"")</f>
        <v>US Large Cap</v>
      </c>
      <c r="F127" s="18" t="str">
        <f>IFERROR(INDEX(Reference!$G:$G,MATCH("Mutual Fund|"&amp;C127&amp;"|"&amp;B127,Reference!$A:$A,0)),"")</f>
        <v>United States</v>
      </c>
      <c r="G127" s="18" t="str">
        <f>IFERROR(INDEX(Reference!$I:$I,MATCH("Mutual Fund|"&amp;C127&amp;"|"&amp;B127,Reference!$A:$A,0)),"")</f>
        <v>RMF</v>
      </c>
      <c r="H127" s="36">
        <v>43298</v>
      </c>
      <c r="I127" s="37">
        <v>2018</v>
      </c>
      <c r="J127" s="37">
        <v>2037</v>
      </c>
      <c r="K127" s="39">
        <f t="shared" si="12"/>
        <v>7.871321013004791</v>
      </c>
      <c r="L127" s="40">
        <v>54914.9951</v>
      </c>
      <c r="M127" s="40">
        <v>18.8508</v>
      </c>
      <c r="N127" s="41">
        <f>IFERROR(INDEX(Prices!$E:$E,MATCH("Mutual Fund|"&amp;C127&amp;"|"&amp;B127,Prices!$A:$A,0)),0)</f>
        <v>41.553600000000003</v>
      </c>
      <c r="O127" s="42">
        <v>1035191.59</v>
      </c>
      <c r="P127" s="42">
        <f t="shared" si="13"/>
        <v>2281915.7403873601</v>
      </c>
      <c r="Q127" s="42">
        <f t="shared" si="14"/>
        <v>1246724.1503873602</v>
      </c>
      <c r="R127" s="11">
        <f t="shared" si="15"/>
        <v>1.2043414595237971</v>
      </c>
      <c r="S127" s="35"/>
    </row>
    <row r="128" spans="1:19" ht="15" customHeight="1" x14ac:dyDescent="0.2">
      <c r="A128" s="35">
        <v>124</v>
      </c>
      <c r="B128" s="35" t="s">
        <v>148</v>
      </c>
      <c r="C128" s="35" t="s">
        <v>149</v>
      </c>
      <c r="D128" s="18" t="str">
        <f>IFERROR(INDEX(Reference!$E:$E,MATCH("Mutual Fund|"&amp;C128&amp;"|"&amp;B128,Reference!$A:$A,0)),"")</f>
        <v>Equity</v>
      </c>
      <c r="E128" s="18" t="str">
        <f>IFERROR(INDEX(Reference!$H:$H,MATCH("Mutual Fund|"&amp;C128&amp;"|"&amp;B128,Reference!$A:$A,0)),"")</f>
        <v>US Large Cap</v>
      </c>
      <c r="F128" s="18" t="str">
        <f>IFERROR(INDEX(Reference!$G:$G,MATCH("Mutual Fund|"&amp;C128&amp;"|"&amp;B128,Reference!$A:$A,0)),"")</f>
        <v>United States</v>
      </c>
      <c r="G128" s="18" t="str">
        <f>IFERROR(INDEX(Reference!$I:$I,MATCH("Mutual Fund|"&amp;C128&amp;"|"&amp;B128,Reference!$A:$A,0)),"")</f>
        <v>RMF</v>
      </c>
      <c r="H128" s="36">
        <v>43455</v>
      </c>
      <c r="I128" s="37">
        <v>2018</v>
      </c>
      <c r="J128" s="37">
        <v>2037</v>
      </c>
      <c r="K128" s="39">
        <f t="shared" si="12"/>
        <v>7.4414784394250511</v>
      </c>
      <c r="L128" s="40">
        <v>3407.4926999999998</v>
      </c>
      <c r="M128" s="40">
        <v>16.140899999999998</v>
      </c>
      <c r="N128" s="41">
        <f>IFERROR(INDEX(Prices!$E:$E,MATCH("Mutual Fund|"&amp;C128&amp;"|"&amp;B128,Prices!$A:$A,0)),0)</f>
        <v>41.553600000000003</v>
      </c>
      <c r="O128" s="42">
        <v>55000</v>
      </c>
      <c r="P128" s="42">
        <f t="shared" si="13"/>
        <v>141593.58865871999</v>
      </c>
      <c r="Q128" s="42">
        <f t="shared" si="14"/>
        <v>86593.588658719993</v>
      </c>
      <c r="R128" s="11">
        <f t="shared" si="15"/>
        <v>1.5744288847039998</v>
      </c>
      <c r="S128" s="35"/>
    </row>
    <row r="129" spans="1:19" ht="15" customHeight="1" x14ac:dyDescent="0.2">
      <c r="A129" s="35">
        <v>125</v>
      </c>
      <c r="B129" s="35" t="s">
        <v>148</v>
      </c>
      <c r="C129" s="35" t="s">
        <v>149</v>
      </c>
      <c r="D129" s="18" t="str">
        <f>IFERROR(INDEX(Reference!$E:$E,MATCH("Mutual Fund|"&amp;C129&amp;"|"&amp;B129,Reference!$A:$A,0)),"")</f>
        <v>Equity</v>
      </c>
      <c r="E129" s="18" t="str">
        <f>IFERROR(INDEX(Reference!$H:$H,MATCH("Mutual Fund|"&amp;C129&amp;"|"&amp;B129,Reference!$A:$A,0)),"")</f>
        <v>US Large Cap</v>
      </c>
      <c r="F129" s="18" t="str">
        <f>IFERROR(INDEX(Reference!$G:$G,MATCH("Mutual Fund|"&amp;C129&amp;"|"&amp;B129,Reference!$A:$A,0)),"")</f>
        <v>United States</v>
      </c>
      <c r="G129" s="18" t="str">
        <f>IFERROR(INDEX(Reference!$I:$I,MATCH("Mutual Fund|"&amp;C129&amp;"|"&amp;B129,Reference!$A:$A,0)),"")</f>
        <v>RMF</v>
      </c>
      <c r="H129" s="36">
        <v>43460</v>
      </c>
      <c r="I129" s="37">
        <v>2018</v>
      </c>
      <c r="J129" s="37">
        <v>2037</v>
      </c>
      <c r="K129" s="39">
        <f t="shared" si="12"/>
        <v>7.4277891854893907</v>
      </c>
      <c r="L129" s="40">
        <v>6076.3676999999998</v>
      </c>
      <c r="M129" s="40">
        <v>16.4572</v>
      </c>
      <c r="N129" s="41">
        <f>IFERROR(INDEX(Prices!$E:$E,MATCH("Mutual Fund|"&amp;C129&amp;"|"&amp;B129,Prices!$A:$A,0)),0)</f>
        <v>41.553600000000003</v>
      </c>
      <c r="O129" s="42">
        <v>100000</v>
      </c>
      <c r="P129" s="42">
        <f t="shared" si="13"/>
        <v>252494.95285872</v>
      </c>
      <c r="Q129" s="42">
        <f t="shared" si="14"/>
        <v>152494.95285872</v>
      </c>
      <c r="R129" s="11">
        <f t="shared" si="15"/>
        <v>1.5249495285872001</v>
      </c>
      <c r="S129" s="35"/>
    </row>
    <row r="130" spans="1:19" ht="15" customHeight="1" x14ac:dyDescent="0.2">
      <c r="A130" s="35">
        <v>126</v>
      </c>
      <c r="B130" s="35" t="s">
        <v>148</v>
      </c>
      <c r="C130" s="35" t="s">
        <v>149</v>
      </c>
      <c r="D130" s="18" t="str">
        <f>IFERROR(INDEX(Reference!$E:$E,MATCH("Mutual Fund|"&amp;C130&amp;"|"&amp;B130,Reference!$A:$A,0)),"")</f>
        <v>Equity</v>
      </c>
      <c r="E130" s="18" t="str">
        <f>IFERROR(INDEX(Reference!$H:$H,MATCH("Mutual Fund|"&amp;C130&amp;"|"&amp;B130,Reference!$A:$A,0)),"")</f>
        <v>US Large Cap</v>
      </c>
      <c r="F130" s="18" t="str">
        <f>IFERROR(INDEX(Reference!$G:$G,MATCH("Mutual Fund|"&amp;C130&amp;"|"&amp;B130,Reference!$A:$A,0)),"")</f>
        <v>United States</v>
      </c>
      <c r="G130" s="18" t="str">
        <f>IFERROR(INDEX(Reference!$I:$I,MATCH("Mutual Fund|"&amp;C130&amp;"|"&amp;B130,Reference!$A:$A,0)),"")</f>
        <v>RMF</v>
      </c>
      <c r="H130" s="36">
        <v>43825</v>
      </c>
      <c r="I130" s="37">
        <v>2019</v>
      </c>
      <c r="J130" s="37">
        <v>2037</v>
      </c>
      <c r="K130" s="39">
        <f t="shared" si="12"/>
        <v>6.4284736481861735</v>
      </c>
      <c r="L130" s="40">
        <v>5921.1958999999997</v>
      </c>
      <c r="M130" s="40">
        <v>21.110600000000002</v>
      </c>
      <c r="N130" s="41">
        <f>IFERROR(INDEX(Prices!$E:$E,MATCH("Mutual Fund|"&amp;C130&amp;"|"&amp;B130,Prices!$A:$A,0)),0)</f>
        <v>41.553600000000003</v>
      </c>
      <c r="O130" s="42">
        <v>125000</v>
      </c>
      <c r="P130" s="42">
        <f t="shared" si="13"/>
        <v>246047.00595024001</v>
      </c>
      <c r="Q130" s="42">
        <f t="shared" si="14"/>
        <v>121047.00595024001</v>
      </c>
      <c r="R130" s="11">
        <f t="shared" si="15"/>
        <v>0.96837604760192009</v>
      </c>
      <c r="S130" s="35"/>
    </row>
    <row r="131" spans="1:19" ht="15" customHeight="1" x14ac:dyDescent="0.2">
      <c r="A131" s="35">
        <v>127</v>
      </c>
      <c r="B131" s="35" t="s">
        <v>148</v>
      </c>
      <c r="C131" s="35" t="s">
        <v>149</v>
      </c>
      <c r="D131" s="18" t="str">
        <f>IFERROR(INDEX(Reference!$E:$E,MATCH("Mutual Fund|"&amp;C131&amp;"|"&amp;B131,Reference!$A:$A,0)),"")</f>
        <v>Equity</v>
      </c>
      <c r="E131" s="18" t="str">
        <f>IFERROR(INDEX(Reference!$H:$H,MATCH("Mutual Fund|"&amp;C131&amp;"|"&amp;B131,Reference!$A:$A,0)),"")</f>
        <v>US Large Cap</v>
      </c>
      <c r="F131" s="18" t="str">
        <f>IFERROR(INDEX(Reference!$G:$G,MATCH("Mutual Fund|"&amp;C131&amp;"|"&amp;B131,Reference!$A:$A,0)),"")</f>
        <v>United States</v>
      </c>
      <c r="G131" s="18" t="str">
        <f>IFERROR(INDEX(Reference!$I:$I,MATCH("Mutual Fund|"&amp;C131&amp;"|"&amp;B131,Reference!$A:$A,0)),"")</f>
        <v>RMF</v>
      </c>
      <c r="H131" s="36">
        <v>44189</v>
      </c>
      <c r="I131" s="37">
        <v>2020</v>
      </c>
      <c r="J131" s="37">
        <v>2037</v>
      </c>
      <c r="K131" s="39">
        <f t="shared" si="12"/>
        <v>5.4318959616700893</v>
      </c>
      <c r="L131" s="40">
        <v>5888.5383000000002</v>
      </c>
      <c r="M131" s="40">
        <v>23.774999999999999</v>
      </c>
      <c r="N131" s="41">
        <f>IFERROR(INDEX(Prices!$E:$E,MATCH("Mutual Fund|"&amp;C131&amp;"|"&amp;B131,Prices!$A:$A,0)),0)</f>
        <v>41.553600000000003</v>
      </c>
      <c r="O131" s="42">
        <v>140000</v>
      </c>
      <c r="P131" s="42">
        <f t="shared" si="13"/>
        <v>244689.96510288003</v>
      </c>
      <c r="Q131" s="42">
        <f t="shared" si="14"/>
        <v>104689.96510288003</v>
      </c>
      <c r="R131" s="11">
        <f t="shared" si="15"/>
        <v>0.74778546502057164</v>
      </c>
      <c r="S131" s="35"/>
    </row>
    <row r="132" spans="1:19" ht="15" customHeight="1" x14ac:dyDescent="0.2">
      <c r="A132" s="35">
        <v>128</v>
      </c>
      <c r="B132" s="35" t="s">
        <v>148</v>
      </c>
      <c r="C132" s="35" t="s">
        <v>149</v>
      </c>
      <c r="D132" s="18" t="str">
        <f>IFERROR(INDEX(Reference!$E:$E,MATCH("Mutual Fund|"&amp;C132&amp;"|"&amp;B132,Reference!$A:$A,0)),"")</f>
        <v>Equity</v>
      </c>
      <c r="E132" s="18" t="str">
        <f>IFERROR(INDEX(Reference!$H:$H,MATCH("Mutual Fund|"&amp;C132&amp;"|"&amp;B132,Reference!$A:$A,0)),"")</f>
        <v>US Large Cap</v>
      </c>
      <c r="F132" s="18" t="str">
        <f>IFERROR(INDEX(Reference!$G:$G,MATCH("Mutual Fund|"&amp;C132&amp;"|"&amp;B132,Reference!$A:$A,0)),"")</f>
        <v>United States</v>
      </c>
      <c r="G132" s="18" t="str">
        <f>IFERROR(INDEX(Reference!$I:$I,MATCH("Mutual Fund|"&amp;C132&amp;"|"&amp;B132,Reference!$A:$A,0)),"")</f>
        <v>RMF</v>
      </c>
      <c r="H132" s="36">
        <v>44410</v>
      </c>
      <c r="I132" s="37">
        <v>2021</v>
      </c>
      <c r="J132" s="37">
        <v>2037</v>
      </c>
      <c r="K132" s="39">
        <f t="shared" si="12"/>
        <v>4.8268309377138943</v>
      </c>
      <c r="L132" s="40">
        <v>1059.6324999999999</v>
      </c>
      <c r="M132" s="40">
        <v>28.311699999999998</v>
      </c>
      <c r="N132" s="41">
        <f>IFERROR(INDEX(Prices!$E:$E,MATCH("Mutual Fund|"&amp;C132&amp;"|"&amp;B132,Prices!$A:$A,0)),0)</f>
        <v>41.553600000000003</v>
      </c>
      <c r="O132" s="42">
        <v>30000</v>
      </c>
      <c r="P132" s="42">
        <f t="shared" si="13"/>
        <v>44031.545052000001</v>
      </c>
      <c r="Q132" s="42">
        <f t="shared" si="14"/>
        <v>14031.545052000001</v>
      </c>
      <c r="R132" s="11">
        <f t="shared" si="15"/>
        <v>0.46771816840000002</v>
      </c>
      <c r="S132" s="35"/>
    </row>
    <row r="133" spans="1:19" ht="15" customHeight="1" x14ac:dyDescent="0.2">
      <c r="A133" s="35">
        <v>129</v>
      </c>
      <c r="B133" s="35" t="s">
        <v>148</v>
      </c>
      <c r="C133" s="35" t="s">
        <v>149</v>
      </c>
      <c r="D133" s="18" t="str">
        <f>IFERROR(INDEX(Reference!$E:$E,MATCH("Mutual Fund|"&amp;C133&amp;"|"&amp;B133,Reference!$A:$A,0)),"")</f>
        <v>Equity</v>
      </c>
      <c r="E133" s="18" t="str">
        <f>IFERROR(INDEX(Reference!$H:$H,MATCH("Mutual Fund|"&amp;C133&amp;"|"&amp;B133,Reference!$A:$A,0)),"")</f>
        <v>US Large Cap</v>
      </c>
      <c r="F133" s="18" t="str">
        <f>IFERROR(INDEX(Reference!$G:$G,MATCH("Mutual Fund|"&amp;C133&amp;"|"&amp;B133,Reference!$A:$A,0)),"")</f>
        <v>United States</v>
      </c>
      <c r="G133" s="18" t="str">
        <f>IFERROR(INDEX(Reference!$I:$I,MATCH("Mutual Fund|"&amp;C133&amp;"|"&amp;B133,Reference!$A:$A,0)),"")</f>
        <v>RMF</v>
      </c>
      <c r="H133" s="36">
        <v>44441</v>
      </c>
      <c r="I133" s="37">
        <v>2021</v>
      </c>
      <c r="J133" s="37">
        <v>2037</v>
      </c>
      <c r="K133" s="39">
        <f t="shared" ref="K133:K165" si="16">IFERROR(IF(H133="","",(AsOfDate-H133)/365.25),"")</f>
        <v>4.7419575633127993</v>
      </c>
      <c r="L133" s="40">
        <v>1712.5281</v>
      </c>
      <c r="M133" s="40">
        <v>29.1966</v>
      </c>
      <c r="N133" s="41">
        <f>IFERROR(INDEX(Prices!$E:$E,MATCH("Mutual Fund|"&amp;C133&amp;"|"&amp;B133,Prices!$A:$A,0)),0)</f>
        <v>41.553600000000003</v>
      </c>
      <c r="O133" s="42">
        <v>50000</v>
      </c>
      <c r="P133" s="42">
        <f t="shared" ref="P133:P165" si="17">L133*N133</f>
        <v>71161.707656160012</v>
      </c>
      <c r="Q133" s="42">
        <f t="shared" ref="Q133:Q164" si="18">P133-O133</f>
        <v>21161.707656160012</v>
      </c>
      <c r="R133" s="11">
        <f t="shared" ref="R133:R164" si="19">IFERROR(Q133/O133,0)</f>
        <v>0.42323415312320023</v>
      </c>
      <c r="S133" s="35"/>
    </row>
    <row r="134" spans="1:19" ht="15" customHeight="1" x14ac:dyDescent="0.2">
      <c r="A134" s="35">
        <v>130</v>
      </c>
      <c r="B134" s="35" t="s">
        <v>148</v>
      </c>
      <c r="C134" s="35" t="s">
        <v>149</v>
      </c>
      <c r="D134" s="18" t="str">
        <f>IFERROR(INDEX(Reference!$E:$E,MATCH("Mutual Fund|"&amp;C134&amp;"|"&amp;B134,Reference!$A:$A,0)),"")</f>
        <v>Equity</v>
      </c>
      <c r="E134" s="18" t="str">
        <f>IFERROR(INDEX(Reference!$H:$H,MATCH("Mutual Fund|"&amp;C134&amp;"|"&amp;B134,Reference!$A:$A,0)),"")</f>
        <v>US Large Cap</v>
      </c>
      <c r="F134" s="18" t="str">
        <f>IFERROR(INDEX(Reference!$G:$G,MATCH("Mutual Fund|"&amp;C134&amp;"|"&amp;B134,Reference!$A:$A,0)),"")</f>
        <v>United States</v>
      </c>
      <c r="G134" s="18" t="str">
        <f>IFERROR(INDEX(Reference!$I:$I,MATCH("Mutual Fund|"&amp;C134&amp;"|"&amp;B134,Reference!$A:$A,0)),"")</f>
        <v>RMF</v>
      </c>
      <c r="H134" s="36">
        <v>44508</v>
      </c>
      <c r="I134" s="37">
        <v>2021</v>
      </c>
      <c r="J134" s="37">
        <v>2037</v>
      </c>
      <c r="K134" s="39">
        <f t="shared" si="16"/>
        <v>4.5585215605749489</v>
      </c>
      <c r="L134" s="40">
        <v>661.19849999999997</v>
      </c>
      <c r="M134" s="40">
        <v>30.248100000000001</v>
      </c>
      <c r="N134" s="41">
        <f>IFERROR(INDEX(Prices!$E:$E,MATCH("Mutual Fund|"&amp;C134&amp;"|"&amp;B134,Prices!$A:$A,0)),0)</f>
        <v>41.553600000000003</v>
      </c>
      <c r="O134" s="42">
        <v>20000</v>
      </c>
      <c r="P134" s="42">
        <f t="shared" si="17"/>
        <v>27475.177989600001</v>
      </c>
      <c r="Q134" s="42">
        <f t="shared" si="18"/>
        <v>7475.1779896000007</v>
      </c>
      <c r="R134" s="11">
        <f t="shared" si="19"/>
        <v>0.37375889948000002</v>
      </c>
      <c r="S134" s="35"/>
    </row>
    <row r="135" spans="1:19" ht="15" customHeight="1" x14ac:dyDescent="0.2">
      <c r="A135" s="35">
        <v>131</v>
      </c>
      <c r="B135" s="35" t="s">
        <v>148</v>
      </c>
      <c r="C135" s="35" t="s">
        <v>149</v>
      </c>
      <c r="D135" s="18" t="str">
        <f>IFERROR(INDEX(Reference!$E:$E,MATCH("Mutual Fund|"&amp;C135&amp;"|"&amp;B135,Reference!$A:$A,0)),"")</f>
        <v>Equity</v>
      </c>
      <c r="E135" s="18" t="str">
        <f>IFERROR(INDEX(Reference!$H:$H,MATCH("Mutual Fund|"&amp;C135&amp;"|"&amp;B135,Reference!$A:$A,0)),"")</f>
        <v>US Large Cap</v>
      </c>
      <c r="F135" s="18" t="str">
        <f>IFERROR(INDEX(Reference!$G:$G,MATCH("Mutual Fund|"&amp;C135&amp;"|"&amp;B135,Reference!$A:$A,0)),"")</f>
        <v>United States</v>
      </c>
      <c r="G135" s="18" t="str">
        <f>IFERROR(INDEX(Reference!$I:$I,MATCH("Mutual Fund|"&amp;C135&amp;"|"&amp;B135,Reference!$A:$A,0)),"")</f>
        <v>RMF</v>
      </c>
      <c r="H135" s="36">
        <v>44620</v>
      </c>
      <c r="I135" s="37">
        <v>2022</v>
      </c>
      <c r="J135" s="37">
        <v>2037</v>
      </c>
      <c r="K135" s="39">
        <f t="shared" si="16"/>
        <v>4.2518822724161529</v>
      </c>
      <c r="L135" s="40">
        <v>1065.1782000000001</v>
      </c>
      <c r="M135" s="40">
        <v>28.164300000000001</v>
      </c>
      <c r="N135" s="41">
        <f>IFERROR(INDEX(Prices!$E:$E,MATCH("Mutual Fund|"&amp;C135&amp;"|"&amp;B135,Prices!$A:$A,0)),0)</f>
        <v>41.553600000000003</v>
      </c>
      <c r="O135" s="42">
        <v>30000</v>
      </c>
      <c r="P135" s="42">
        <f t="shared" si="17"/>
        <v>44261.988851520007</v>
      </c>
      <c r="Q135" s="42">
        <f t="shared" si="18"/>
        <v>14261.988851520007</v>
      </c>
      <c r="R135" s="11">
        <f t="shared" si="19"/>
        <v>0.47539962838400024</v>
      </c>
      <c r="S135" s="35"/>
    </row>
    <row r="136" spans="1:19" ht="15" customHeight="1" x14ac:dyDescent="0.2">
      <c r="A136" s="35">
        <v>132</v>
      </c>
      <c r="B136" s="35" t="s">
        <v>148</v>
      </c>
      <c r="C136" s="35" t="s">
        <v>149</v>
      </c>
      <c r="D136" s="18" t="str">
        <f>IFERROR(INDEX(Reference!$E:$E,MATCH("Mutual Fund|"&amp;C136&amp;"|"&amp;B136,Reference!$A:$A,0)),"")</f>
        <v>Equity</v>
      </c>
      <c r="E136" s="18" t="str">
        <f>IFERROR(INDEX(Reference!$H:$H,MATCH("Mutual Fund|"&amp;C136&amp;"|"&amp;B136,Reference!$A:$A,0)),"")</f>
        <v>US Large Cap</v>
      </c>
      <c r="F136" s="18" t="str">
        <f>IFERROR(INDEX(Reference!$G:$G,MATCH("Mutual Fund|"&amp;C136&amp;"|"&amp;B136,Reference!$A:$A,0)),"")</f>
        <v>United States</v>
      </c>
      <c r="G136" s="18" t="str">
        <f>IFERROR(INDEX(Reference!$I:$I,MATCH("Mutual Fund|"&amp;C136&amp;"|"&amp;B136,Reference!$A:$A,0)),"")</f>
        <v>RMF</v>
      </c>
      <c r="H136" s="36">
        <v>45187</v>
      </c>
      <c r="I136" s="37">
        <v>2023</v>
      </c>
      <c r="J136" s="37">
        <v>2037</v>
      </c>
      <c r="K136" s="39">
        <f t="shared" si="16"/>
        <v>2.6995208761122518</v>
      </c>
      <c r="L136" s="40">
        <v>1090.1123</v>
      </c>
      <c r="M136" s="40">
        <v>27.520099999999999</v>
      </c>
      <c r="N136" s="41">
        <f>IFERROR(INDEX(Prices!$E:$E,MATCH("Mutual Fund|"&amp;C136&amp;"|"&amp;B136,Prices!$A:$A,0)),0)</f>
        <v>41.553600000000003</v>
      </c>
      <c r="O136" s="42">
        <v>30000</v>
      </c>
      <c r="P136" s="42">
        <f t="shared" si="17"/>
        <v>45298.090469280003</v>
      </c>
      <c r="Q136" s="42">
        <f t="shared" si="18"/>
        <v>15298.090469280003</v>
      </c>
      <c r="R136" s="11">
        <f t="shared" si="19"/>
        <v>0.50993634897600015</v>
      </c>
      <c r="S136" s="35"/>
    </row>
    <row r="137" spans="1:19" ht="15" customHeight="1" x14ac:dyDescent="0.2">
      <c r="A137" s="35">
        <v>133</v>
      </c>
      <c r="B137" s="35" t="s">
        <v>148</v>
      </c>
      <c r="C137" s="35" t="s">
        <v>149</v>
      </c>
      <c r="D137" s="18" t="str">
        <f>IFERROR(INDEX(Reference!$E:$E,MATCH("Mutual Fund|"&amp;C137&amp;"|"&amp;B137,Reference!$A:$A,0)),"")</f>
        <v>Equity</v>
      </c>
      <c r="E137" s="18" t="str">
        <f>IFERROR(INDEX(Reference!$H:$H,MATCH("Mutual Fund|"&amp;C137&amp;"|"&amp;B137,Reference!$A:$A,0)),"")</f>
        <v>US Large Cap</v>
      </c>
      <c r="F137" s="18" t="str">
        <f>IFERROR(INDEX(Reference!$G:$G,MATCH("Mutual Fund|"&amp;C137&amp;"|"&amp;B137,Reference!$A:$A,0)),"")</f>
        <v>United States</v>
      </c>
      <c r="G137" s="18" t="str">
        <f>IFERROR(INDEX(Reference!$I:$I,MATCH("Mutual Fund|"&amp;C137&amp;"|"&amp;B137,Reference!$A:$A,0)),"")</f>
        <v>RMF</v>
      </c>
      <c r="H137" s="36">
        <v>45355</v>
      </c>
      <c r="I137" s="37">
        <v>2024</v>
      </c>
      <c r="J137" s="37">
        <v>2037</v>
      </c>
      <c r="K137" s="39">
        <f t="shared" si="16"/>
        <v>2.239561943874059</v>
      </c>
      <c r="L137" s="40">
        <v>967.46100000000001</v>
      </c>
      <c r="M137" s="40">
        <v>31.009</v>
      </c>
      <c r="N137" s="41">
        <f>IFERROR(INDEX(Prices!$E:$E,MATCH("Mutual Fund|"&amp;C137&amp;"|"&amp;B137,Prices!$A:$A,0)),0)</f>
        <v>41.553600000000003</v>
      </c>
      <c r="O137" s="42">
        <v>30000</v>
      </c>
      <c r="P137" s="42">
        <f t="shared" si="17"/>
        <v>40201.487409600006</v>
      </c>
      <c r="Q137" s="42">
        <f t="shared" si="18"/>
        <v>10201.487409600006</v>
      </c>
      <c r="R137" s="11">
        <f t="shared" si="19"/>
        <v>0.34004958032000021</v>
      </c>
      <c r="S137" s="35"/>
    </row>
    <row r="138" spans="1:19" ht="15" customHeight="1" x14ac:dyDescent="0.2">
      <c r="A138" s="35">
        <v>134</v>
      </c>
      <c r="B138" s="35" t="s">
        <v>148</v>
      </c>
      <c r="C138" s="35" t="s">
        <v>149</v>
      </c>
      <c r="D138" s="18" t="str">
        <f>IFERROR(INDEX(Reference!$E:$E,MATCH("Mutual Fund|"&amp;C138&amp;"|"&amp;B138,Reference!$A:$A,0)),"")</f>
        <v>Equity</v>
      </c>
      <c r="E138" s="18" t="str">
        <f>IFERROR(INDEX(Reference!$H:$H,MATCH("Mutual Fund|"&amp;C138&amp;"|"&amp;B138,Reference!$A:$A,0)),"")</f>
        <v>US Large Cap</v>
      </c>
      <c r="F138" s="18" t="str">
        <f>IFERROR(INDEX(Reference!$G:$G,MATCH("Mutual Fund|"&amp;C138&amp;"|"&amp;B138,Reference!$A:$A,0)),"")</f>
        <v>United States</v>
      </c>
      <c r="G138" s="18" t="str">
        <f>IFERROR(INDEX(Reference!$I:$I,MATCH("Mutual Fund|"&amp;C138&amp;"|"&amp;B138,Reference!$A:$A,0)),"")</f>
        <v>RMF</v>
      </c>
      <c r="H138" s="36">
        <v>45887</v>
      </c>
      <c r="I138" s="37">
        <v>2025</v>
      </c>
      <c r="J138" s="37">
        <v>2037</v>
      </c>
      <c r="K138" s="39">
        <f t="shared" si="16"/>
        <v>0.78302532511978096</v>
      </c>
      <c r="L138" s="40">
        <v>821.49459999999999</v>
      </c>
      <c r="M138" s="40">
        <v>36.518799999999999</v>
      </c>
      <c r="N138" s="41">
        <f>IFERROR(INDEX(Prices!$E:$E,MATCH("Mutual Fund|"&amp;C138&amp;"|"&amp;B138,Prices!$A:$A,0)),0)</f>
        <v>41.553600000000003</v>
      </c>
      <c r="O138" s="42">
        <v>30000</v>
      </c>
      <c r="P138" s="42">
        <f t="shared" si="17"/>
        <v>34136.058010560002</v>
      </c>
      <c r="Q138" s="42">
        <f t="shared" si="18"/>
        <v>4136.058010560002</v>
      </c>
      <c r="R138" s="11">
        <f t="shared" si="19"/>
        <v>0.13786860035200008</v>
      </c>
      <c r="S138" s="35"/>
    </row>
    <row r="139" spans="1:19" ht="15" customHeight="1" x14ac:dyDescent="0.2">
      <c r="A139" s="35">
        <v>135</v>
      </c>
      <c r="B139" s="35" t="s">
        <v>151</v>
      </c>
      <c r="C139" s="35" t="s">
        <v>152</v>
      </c>
      <c r="D139" s="18" t="str">
        <f>IFERROR(INDEX(Reference!$E:$E,MATCH("Mutual Fund|"&amp;C139&amp;"|"&amp;B139,Reference!$A:$A,0)),"")</f>
        <v>Equity</v>
      </c>
      <c r="E139" s="18" t="str">
        <f>IFERROR(INDEX(Reference!$H:$H,MATCH("Mutual Fund|"&amp;C139&amp;"|"&amp;B139,Reference!$A:$A,0)),"")</f>
        <v>Healthcare</v>
      </c>
      <c r="F139" s="18" t="str">
        <f>IFERROR(INDEX(Reference!$G:$G,MATCH("Mutual Fund|"&amp;C139&amp;"|"&amp;B139,Reference!$A:$A,0)),"")</f>
        <v>Global</v>
      </c>
      <c r="G139" s="18" t="str">
        <f>IFERROR(INDEX(Reference!$I:$I,MATCH("Mutual Fund|"&amp;C139&amp;"|"&amp;B139,Reference!$A:$A,0)),"")</f>
        <v>RMF</v>
      </c>
      <c r="H139" s="36">
        <v>43462</v>
      </c>
      <c r="I139" s="37">
        <v>2018</v>
      </c>
      <c r="J139" s="37">
        <v>2037</v>
      </c>
      <c r="K139" s="39">
        <f t="shared" si="16"/>
        <v>7.4223134839151266</v>
      </c>
      <c r="L139" s="40">
        <v>10767.276</v>
      </c>
      <c r="M139" s="40">
        <v>9.2873999999999999</v>
      </c>
      <c r="N139" s="41">
        <f>IFERROR(INDEX(Prices!$E:$E,MATCH("Mutual Fund|"&amp;C139&amp;"|"&amp;B139,Prices!$A:$A,0)),0)</f>
        <v>13.1196</v>
      </c>
      <c r="O139" s="42">
        <v>100000</v>
      </c>
      <c r="P139" s="42">
        <f t="shared" si="17"/>
        <v>141262.35420959999</v>
      </c>
      <c r="Q139" s="42">
        <f t="shared" si="18"/>
        <v>41262.354209599987</v>
      </c>
      <c r="R139" s="11">
        <f t="shared" si="19"/>
        <v>0.41262354209599988</v>
      </c>
      <c r="S139" s="35"/>
    </row>
    <row r="140" spans="1:19" ht="15" customHeight="1" x14ac:dyDescent="0.2">
      <c r="A140" s="35">
        <v>136</v>
      </c>
      <c r="B140" s="35" t="s">
        <v>151</v>
      </c>
      <c r="C140" s="35" t="s">
        <v>152</v>
      </c>
      <c r="D140" s="18" t="str">
        <f>IFERROR(INDEX(Reference!$E:$E,MATCH("Mutual Fund|"&amp;C140&amp;"|"&amp;B140,Reference!$A:$A,0)),"")</f>
        <v>Equity</v>
      </c>
      <c r="E140" s="18" t="str">
        <f>IFERROR(INDEX(Reference!$H:$H,MATCH("Mutual Fund|"&amp;C140&amp;"|"&amp;B140,Reference!$A:$A,0)),"")</f>
        <v>Healthcare</v>
      </c>
      <c r="F140" s="18" t="str">
        <f>IFERROR(INDEX(Reference!$G:$G,MATCH("Mutual Fund|"&amp;C140&amp;"|"&amp;B140,Reference!$A:$A,0)),"")</f>
        <v>Global</v>
      </c>
      <c r="G140" s="18" t="str">
        <f>IFERROR(INDEX(Reference!$I:$I,MATCH("Mutual Fund|"&amp;C140&amp;"|"&amp;B140,Reference!$A:$A,0)),"")</f>
        <v>RMF</v>
      </c>
      <c r="H140" s="36">
        <v>43682</v>
      </c>
      <c r="I140" s="37">
        <v>2019</v>
      </c>
      <c r="J140" s="37">
        <v>2037</v>
      </c>
      <c r="K140" s="39">
        <f t="shared" si="16"/>
        <v>6.8199863107460645</v>
      </c>
      <c r="L140" s="40">
        <v>8732.7271000000001</v>
      </c>
      <c r="M140" s="40">
        <v>9.7334999999999994</v>
      </c>
      <c r="N140" s="41">
        <f>IFERROR(INDEX(Prices!$E:$E,MATCH("Mutual Fund|"&amp;C140&amp;"|"&amp;B140,Prices!$A:$A,0)),0)</f>
        <v>13.1196</v>
      </c>
      <c r="O140" s="42">
        <v>85000</v>
      </c>
      <c r="P140" s="42">
        <f t="shared" si="17"/>
        <v>114569.88646116</v>
      </c>
      <c r="Q140" s="42">
        <f t="shared" si="18"/>
        <v>29569.88646116</v>
      </c>
      <c r="R140" s="11">
        <f t="shared" si="19"/>
        <v>0.34788101719011766</v>
      </c>
      <c r="S140" s="35"/>
    </row>
    <row r="141" spans="1:19" ht="15" customHeight="1" x14ac:dyDescent="0.2">
      <c r="A141" s="35">
        <v>137</v>
      </c>
      <c r="B141" s="35" t="s">
        <v>151</v>
      </c>
      <c r="C141" s="35" t="s">
        <v>152</v>
      </c>
      <c r="D141" s="18" t="str">
        <f>IFERROR(INDEX(Reference!$E:$E,MATCH("Mutual Fund|"&amp;C141&amp;"|"&amp;B141,Reference!$A:$A,0)),"")</f>
        <v>Equity</v>
      </c>
      <c r="E141" s="18" t="str">
        <f>IFERROR(INDEX(Reference!$H:$H,MATCH("Mutual Fund|"&amp;C141&amp;"|"&amp;B141,Reference!$A:$A,0)),"")</f>
        <v>Healthcare</v>
      </c>
      <c r="F141" s="18" t="str">
        <f>IFERROR(INDEX(Reference!$G:$G,MATCH("Mutual Fund|"&amp;C141&amp;"|"&amp;B141,Reference!$A:$A,0)),"")</f>
        <v>Global</v>
      </c>
      <c r="G141" s="18" t="str">
        <f>IFERROR(INDEX(Reference!$I:$I,MATCH("Mutual Fund|"&amp;C141&amp;"|"&amp;B141,Reference!$A:$A,0)),"")</f>
        <v>RMF</v>
      </c>
      <c r="H141" s="36">
        <v>43815</v>
      </c>
      <c r="I141" s="37">
        <v>2019</v>
      </c>
      <c r="J141" s="37">
        <v>2037</v>
      </c>
      <c r="K141" s="39">
        <f t="shared" si="16"/>
        <v>6.4558521560574951</v>
      </c>
      <c r="L141" s="40">
        <v>3676.5718999999999</v>
      </c>
      <c r="M141" s="40">
        <v>10.8797</v>
      </c>
      <c r="N141" s="41">
        <f>IFERROR(INDEX(Prices!$E:$E,MATCH("Mutual Fund|"&amp;C141&amp;"|"&amp;B141,Prices!$A:$A,0)),0)</f>
        <v>13.1196</v>
      </c>
      <c r="O141" s="42">
        <v>40000</v>
      </c>
      <c r="P141" s="42">
        <f t="shared" si="17"/>
        <v>48235.152699239996</v>
      </c>
      <c r="Q141" s="42">
        <f t="shared" si="18"/>
        <v>8235.1526992399959</v>
      </c>
      <c r="R141" s="11">
        <f t="shared" si="19"/>
        <v>0.2058788174809999</v>
      </c>
      <c r="S141" s="35"/>
    </row>
    <row r="142" spans="1:19" ht="15" customHeight="1" x14ac:dyDescent="0.2">
      <c r="A142" s="35">
        <v>138</v>
      </c>
      <c r="B142" s="35" t="s">
        <v>151</v>
      </c>
      <c r="C142" s="35" t="s">
        <v>152</v>
      </c>
      <c r="D142" s="18" t="str">
        <f>IFERROR(INDEX(Reference!$E:$E,MATCH("Mutual Fund|"&amp;C142&amp;"|"&amp;B142,Reference!$A:$A,0)),"")</f>
        <v>Equity</v>
      </c>
      <c r="E142" s="18" t="str">
        <f>IFERROR(INDEX(Reference!$H:$H,MATCH("Mutual Fund|"&amp;C142&amp;"|"&amp;B142,Reference!$A:$A,0)),"")</f>
        <v>Healthcare</v>
      </c>
      <c r="F142" s="18" t="str">
        <f>IFERROR(INDEX(Reference!$G:$G,MATCH("Mutual Fund|"&amp;C142&amp;"|"&amp;B142,Reference!$A:$A,0)),"")</f>
        <v>Global</v>
      </c>
      <c r="G142" s="18" t="str">
        <f>IFERROR(INDEX(Reference!$I:$I,MATCH("Mutual Fund|"&amp;C142&amp;"|"&amp;B142,Reference!$A:$A,0)),"")</f>
        <v>RMF</v>
      </c>
      <c r="H142" s="36">
        <v>43859</v>
      </c>
      <c r="I142" s="37">
        <v>2020</v>
      </c>
      <c r="J142" s="37">
        <v>2037</v>
      </c>
      <c r="K142" s="39">
        <f t="shared" si="16"/>
        <v>6.3353867214236823</v>
      </c>
      <c r="L142" s="40">
        <v>5354.4656000000004</v>
      </c>
      <c r="M142" s="40">
        <v>11.2056</v>
      </c>
      <c r="N142" s="41">
        <f>IFERROR(INDEX(Prices!$E:$E,MATCH("Mutual Fund|"&amp;C142&amp;"|"&amp;B142,Prices!$A:$A,0)),0)</f>
        <v>13.1196</v>
      </c>
      <c r="O142" s="42">
        <v>60000</v>
      </c>
      <c r="P142" s="42">
        <f t="shared" si="17"/>
        <v>70248.44688576</v>
      </c>
      <c r="Q142" s="42">
        <f t="shared" si="18"/>
        <v>10248.44688576</v>
      </c>
      <c r="R142" s="11">
        <f t="shared" si="19"/>
        <v>0.17080744809600001</v>
      </c>
      <c r="S142" s="35"/>
    </row>
    <row r="143" spans="1:19" ht="15" customHeight="1" x14ac:dyDescent="0.2">
      <c r="A143" s="35">
        <v>139</v>
      </c>
      <c r="B143" s="35" t="s">
        <v>151</v>
      </c>
      <c r="C143" s="35" t="s">
        <v>152</v>
      </c>
      <c r="D143" s="18" t="str">
        <f>IFERROR(INDEX(Reference!$E:$E,MATCH("Mutual Fund|"&amp;C143&amp;"|"&amp;B143,Reference!$A:$A,0)),"")</f>
        <v>Equity</v>
      </c>
      <c r="E143" s="18" t="str">
        <f>IFERROR(INDEX(Reference!$H:$H,MATCH("Mutual Fund|"&amp;C143&amp;"|"&amp;B143,Reference!$A:$A,0)),"")</f>
        <v>Healthcare</v>
      </c>
      <c r="F143" s="18" t="str">
        <f>IFERROR(INDEX(Reference!$G:$G,MATCH("Mutual Fund|"&amp;C143&amp;"|"&amp;B143,Reference!$A:$A,0)),"")</f>
        <v>Global</v>
      </c>
      <c r="G143" s="18" t="str">
        <f>IFERROR(INDEX(Reference!$I:$I,MATCH("Mutual Fund|"&amp;C143&amp;"|"&amp;B143,Reference!$A:$A,0)),"")</f>
        <v>RMF</v>
      </c>
      <c r="H143" s="36">
        <v>44046</v>
      </c>
      <c r="I143" s="37">
        <v>2020</v>
      </c>
      <c r="J143" s="37">
        <v>2037</v>
      </c>
      <c r="K143" s="39">
        <f t="shared" si="16"/>
        <v>5.8234086242299794</v>
      </c>
      <c r="L143" s="40">
        <v>3296.6307999999999</v>
      </c>
      <c r="M143" s="40">
        <v>12.133599999999999</v>
      </c>
      <c r="N143" s="41">
        <f>IFERROR(INDEX(Prices!$E:$E,MATCH("Mutual Fund|"&amp;C143&amp;"|"&amp;B143,Prices!$A:$A,0)),0)</f>
        <v>13.1196</v>
      </c>
      <c r="O143" s="42">
        <v>40000</v>
      </c>
      <c r="P143" s="42">
        <f t="shared" si="17"/>
        <v>43250.47744368</v>
      </c>
      <c r="Q143" s="42">
        <f t="shared" si="18"/>
        <v>3250.4774436799999</v>
      </c>
      <c r="R143" s="11">
        <f t="shared" si="19"/>
        <v>8.1261936091999998E-2</v>
      </c>
      <c r="S143" s="35"/>
    </row>
    <row r="144" spans="1:19" ht="15" customHeight="1" x14ac:dyDescent="0.2">
      <c r="A144" s="35">
        <v>140</v>
      </c>
      <c r="B144" s="35" t="s">
        <v>151</v>
      </c>
      <c r="C144" s="35" t="s">
        <v>152</v>
      </c>
      <c r="D144" s="18" t="str">
        <f>IFERROR(INDEX(Reference!$E:$E,MATCH("Mutual Fund|"&amp;C144&amp;"|"&amp;B144,Reference!$A:$A,0)),"")</f>
        <v>Equity</v>
      </c>
      <c r="E144" s="18" t="str">
        <f>IFERROR(INDEX(Reference!$H:$H,MATCH("Mutual Fund|"&amp;C144&amp;"|"&amp;B144,Reference!$A:$A,0)),"")</f>
        <v>Healthcare</v>
      </c>
      <c r="F144" s="18" t="str">
        <f>IFERROR(INDEX(Reference!$G:$G,MATCH("Mutual Fund|"&amp;C144&amp;"|"&amp;B144,Reference!$A:$A,0)),"")</f>
        <v>Global</v>
      </c>
      <c r="G144" s="18" t="str">
        <f>IFERROR(INDEX(Reference!$I:$I,MATCH("Mutual Fund|"&amp;C144&amp;"|"&amp;B144,Reference!$A:$A,0)),"")</f>
        <v>RMF</v>
      </c>
      <c r="H144" s="36">
        <v>44186</v>
      </c>
      <c r="I144" s="37">
        <v>2020</v>
      </c>
      <c r="J144" s="37">
        <v>2037</v>
      </c>
      <c r="K144" s="39">
        <f t="shared" si="16"/>
        <v>5.4401095140314855</v>
      </c>
      <c r="L144" s="40">
        <v>3026.9092000000001</v>
      </c>
      <c r="M144" s="40">
        <v>13.2148</v>
      </c>
      <c r="N144" s="41">
        <f>IFERROR(INDEX(Prices!$E:$E,MATCH("Mutual Fund|"&amp;C144&amp;"|"&amp;B144,Prices!$A:$A,0)),0)</f>
        <v>13.1196</v>
      </c>
      <c r="O144" s="42">
        <v>40000</v>
      </c>
      <c r="P144" s="42">
        <f t="shared" si="17"/>
        <v>39711.837940320002</v>
      </c>
      <c r="Q144" s="42">
        <f t="shared" si="18"/>
        <v>-288.16205967999849</v>
      </c>
      <c r="R144" s="11">
        <f t="shared" si="19"/>
        <v>-7.204051491999962E-3</v>
      </c>
      <c r="S144" s="35"/>
    </row>
    <row r="145" spans="1:19" ht="15" customHeight="1" x14ac:dyDescent="0.2">
      <c r="A145" s="35">
        <v>141</v>
      </c>
      <c r="B145" s="35" t="s">
        <v>151</v>
      </c>
      <c r="C145" s="35" t="s">
        <v>152</v>
      </c>
      <c r="D145" s="18" t="str">
        <f>IFERROR(INDEX(Reference!$E:$E,MATCH("Mutual Fund|"&amp;C145&amp;"|"&amp;B145,Reference!$A:$A,0)),"")</f>
        <v>Equity</v>
      </c>
      <c r="E145" s="18" t="str">
        <f>IFERROR(INDEX(Reference!$H:$H,MATCH("Mutual Fund|"&amp;C145&amp;"|"&amp;B145,Reference!$A:$A,0)),"")</f>
        <v>Healthcare</v>
      </c>
      <c r="F145" s="18" t="str">
        <f>IFERROR(INDEX(Reference!$G:$G,MATCH("Mutual Fund|"&amp;C145&amp;"|"&amp;B145,Reference!$A:$A,0)),"")</f>
        <v>Global</v>
      </c>
      <c r="G145" s="18" t="str">
        <f>IFERROR(INDEX(Reference!$I:$I,MATCH("Mutual Fund|"&amp;C145&amp;"|"&amp;B145,Reference!$A:$A,0)),"")</f>
        <v>RMF</v>
      </c>
      <c r="H145" s="36">
        <v>44225</v>
      </c>
      <c r="I145" s="37">
        <v>2021</v>
      </c>
      <c r="J145" s="37">
        <v>2037</v>
      </c>
      <c r="K145" s="39">
        <f t="shared" si="16"/>
        <v>5.333333333333333</v>
      </c>
      <c r="L145" s="40">
        <v>3609.0399000000002</v>
      </c>
      <c r="M145" s="40">
        <v>13.854100000000001</v>
      </c>
      <c r="N145" s="41">
        <f>IFERROR(INDEX(Prices!$E:$E,MATCH("Mutual Fund|"&amp;C145&amp;"|"&amp;B145,Prices!$A:$A,0)),0)</f>
        <v>13.1196</v>
      </c>
      <c r="O145" s="42">
        <v>50000</v>
      </c>
      <c r="P145" s="42">
        <f t="shared" si="17"/>
        <v>47349.15987204</v>
      </c>
      <c r="Q145" s="42">
        <f t="shared" si="18"/>
        <v>-2650.8401279600002</v>
      </c>
      <c r="R145" s="11">
        <f t="shared" si="19"/>
        <v>-5.3016802559200008E-2</v>
      </c>
      <c r="S145" s="35"/>
    </row>
    <row r="146" spans="1:19" ht="15" customHeight="1" x14ac:dyDescent="0.2">
      <c r="A146" s="35">
        <v>142</v>
      </c>
      <c r="B146" s="35" t="s">
        <v>151</v>
      </c>
      <c r="C146" s="35" t="s">
        <v>152</v>
      </c>
      <c r="D146" s="18" t="str">
        <f>IFERROR(INDEX(Reference!$E:$E,MATCH("Mutual Fund|"&amp;C146&amp;"|"&amp;B146,Reference!$A:$A,0)),"")</f>
        <v>Equity</v>
      </c>
      <c r="E146" s="18" t="str">
        <f>IFERROR(INDEX(Reference!$H:$H,MATCH("Mutual Fund|"&amp;C146&amp;"|"&amp;B146,Reference!$A:$A,0)),"")</f>
        <v>Healthcare</v>
      </c>
      <c r="F146" s="18" t="str">
        <f>IFERROR(INDEX(Reference!$G:$G,MATCH("Mutual Fund|"&amp;C146&amp;"|"&amp;B146,Reference!$A:$A,0)),"")</f>
        <v>Global</v>
      </c>
      <c r="G146" s="18" t="str">
        <f>IFERROR(INDEX(Reference!$I:$I,MATCH("Mutual Fund|"&amp;C146&amp;"|"&amp;B146,Reference!$A:$A,0)),"")</f>
        <v>RMF</v>
      </c>
      <c r="H146" s="36">
        <v>44256</v>
      </c>
      <c r="I146" s="37">
        <v>2021</v>
      </c>
      <c r="J146" s="37">
        <v>2037</v>
      </c>
      <c r="K146" s="39">
        <f t="shared" si="16"/>
        <v>5.248459958932238</v>
      </c>
      <c r="L146" s="40">
        <v>3715.1242000000002</v>
      </c>
      <c r="M146" s="40">
        <v>13.458500000000001</v>
      </c>
      <c r="N146" s="41">
        <f>IFERROR(INDEX(Prices!$E:$E,MATCH("Mutual Fund|"&amp;C146&amp;"|"&amp;B146,Prices!$A:$A,0)),0)</f>
        <v>13.1196</v>
      </c>
      <c r="O146" s="42">
        <v>50000</v>
      </c>
      <c r="P146" s="42">
        <f t="shared" si="17"/>
        <v>48740.943454320004</v>
      </c>
      <c r="Q146" s="42">
        <f t="shared" si="18"/>
        <v>-1259.0565456799959</v>
      </c>
      <c r="R146" s="11">
        <f t="shared" si="19"/>
        <v>-2.5181130913599917E-2</v>
      </c>
      <c r="S146" s="35"/>
    </row>
    <row r="147" spans="1:19" ht="15" customHeight="1" x14ac:dyDescent="0.2">
      <c r="A147" s="35">
        <v>143</v>
      </c>
      <c r="B147" s="35" t="s">
        <v>151</v>
      </c>
      <c r="C147" s="35" t="s">
        <v>152</v>
      </c>
      <c r="D147" s="18" t="str">
        <f>IFERROR(INDEX(Reference!$E:$E,MATCH("Mutual Fund|"&amp;C147&amp;"|"&amp;B147,Reference!$A:$A,0)),"")</f>
        <v>Equity</v>
      </c>
      <c r="E147" s="18" t="str">
        <f>IFERROR(INDEX(Reference!$H:$H,MATCH("Mutual Fund|"&amp;C147&amp;"|"&amp;B147,Reference!$A:$A,0)),"")</f>
        <v>Healthcare</v>
      </c>
      <c r="F147" s="18" t="str">
        <f>IFERROR(INDEX(Reference!$G:$G,MATCH("Mutual Fund|"&amp;C147&amp;"|"&amp;B147,Reference!$A:$A,0)),"")</f>
        <v>Global</v>
      </c>
      <c r="G147" s="18" t="str">
        <f>IFERROR(INDEX(Reference!$I:$I,MATCH("Mutual Fund|"&amp;C147&amp;"|"&amp;B147,Reference!$A:$A,0)),"")</f>
        <v>RMF</v>
      </c>
      <c r="H147" s="36">
        <v>44501</v>
      </c>
      <c r="I147" s="37">
        <v>2021</v>
      </c>
      <c r="J147" s="37">
        <v>2037</v>
      </c>
      <c r="K147" s="39">
        <f t="shared" si="16"/>
        <v>4.5776865160848734</v>
      </c>
      <c r="L147" s="40">
        <v>2016.4541999999999</v>
      </c>
      <c r="M147" s="40">
        <v>14.877599999999999</v>
      </c>
      <c r="N147" s="41">
        <f>IFERROR(INDEX(Prices!$E:$E,MATCH("Mutual Fund|"&amp;C147&amp;"|"&amp;B147,Prices!$A:$A,0)),0)</f>
        <v>13.1196</v>
      </c>
      <c r="O147" s="42">
        <v>30000</v>
      </c>
      <c r="P147" s="42">
        <f t="shared" si="17"/>
        <v>26455.072522319999</v>
      </c>
      <c r="Q147" s="42">
        <f t="shared" si="18"/>
        <v>-3544.9274776800012</v>
      </c>
      <c r="R147" s="11">
        <f t="shared" si="19"/>
        <v>-0.11816424925600004</v>
      </c>
      <c r="S147" s="35"/>
    </row>
    <row r="148" spans="1:19" ht="15" customHeight="1" x14ac:dyDescent="0.2">
      <c r="A148" s="35">
        <v>144</v>
      </c>
      <c r="B148" s="35" t="s">
        <v>151</v>
      </c>
      <c r="C148" s="35" t="s">
        <v>152</v>
      </c>
      <c r="D148" s="18" t="str">
        <f>IFERROR(INDEX(Reference!$E:$E,MATCH("Mutual Fund|"&amp;C148&amp;"|"&amp;B148,Reference!$A:$A,0)),"")</f>
        <v>Equity</v>
      </c>
      <c r="E148" s="18" t="str">
        <f>IFERROR(INDEX(Reference!$H:$H,MATCH("Mutual Fund|"&amp;C148&amp;"|"&amp;B148,Reference!$A:$A,0)),"")</f>
        <v>Healthcare</v>
      </c>
      <c r="F148" s="18" t="str">
        <f>IFERROR(INDEX(Reference!$G:$G,MATCH("Mutual Fund|"&amp;C148&amp;"|"&amp;B148,Reference!$A:$A,0)),"")</f>
        <v>Global</v>
      </c>
      <c r="G148" s="18" t="str">
        <f>IFERROR(INDEX(Reference!$I:$I,MATCH("Mutual Fund|"&amp;C148&amp;"|"&amp;B148,Reference!$A:$A,0)),"")</f>
        <v>RMF</v>
      </c>
      <c r="H148" s="36">
        <v>44532</v>
      </c>
      <c r="I148" s="37">
        <v>2021</v>
      </c>
      <c r="J148" s="37">
        <v>2037</v>
      </c>
      <c r="K148" s="39">
        <f t="shared" si="16"/>
        <v>4.4928131416837784</v>
      </c>
      <c r="L148" s="40">
        <v>2153.8726000000001</v>
      </c>
      <c r="M148" s="40">
        <v>13.9284</v>
      </c>
      <c r="N148" s="41">
        <f>IFERROR(INDEX(Prices!$E:$E,MATCH("Mutual Fund|"&amp;C148&amp;"|"&amp;B148,Prices!$A:$A,0)),0)</f>
        <v>13.1196</v>
      </c>
      <c r="O148" s="42">
        <v>30000</v>
      </c>
      <c r="P148" s="42">
        <f t="shared" si="17"/>
        <v>28257.946962960003</v>
      </c>
      <c r="Q148" s="42">
        <f t="shared" si="18"/>
        <v>-1742.0530370399974</v>
      </c>
      <c r="R148" s="11">
        <f t="shared" si="19"/>
        <v>-5.8068434567999913E-2</v>
      </c>
      <c r="S148" s="35"/>
    </row>
    <row r="149" spans="1:19" ht="15" customHeight="1" x14ac:dyDescent="0.2">
      <c r="A149" s="35">
        <v>145</v>
      </c>
      <c r="B149" s="35" t="s">
        <v>151</v>
      </c>
      <c r="C149" s="35" t="s">
        <v>152</v>
      </c>
      <c r="D149" s="18" t="str">
        <f>IFERROR(INDEX(Reference!$E:$E,MATCH("Mutual Fund|"&amp;C149&amp;"|"&amp;B149,Reference!$A:$A,0)),"")</f>
        <v>Equity</v>
      </c>
      <c r="E149" s="18" t="str">
        <f>IFERROR(INDEX(Reference!$H:$H,MATCH("Mutual Fund|"&amp;C149&amp;"|"&amp;B149,Reference!$A:$A,0)),"")</f>
        <v>Healthcare</v>
      </c>
      <c r="F149" s="18" t="str">
        <f>IFERROR(INDEX(Reference!$G:$G,MATCH("Mutual Fund|"&amp;C149&amp;"|"&amp;B149,Reference!$A:$A,0)),"")</f>
        <v>Global</v>
      </c>
      <c r="G149" s="18" t="str">
        <f>IFERROR(INDEX(Reference!$I:$I,MATCH("Mutual Fund|"&amp;C149&amp;"|"&amp;B149,Reference!$A:$A,0)),"")</f>
        <v>RMF</v>
      </c>
      <c r="H149" s="36">
        <v>44553</v>
      </c>
      <c r="I149" s="37">
        <v>2021</v>
      </c>
      <c r="J149" s="37">
        <v>2037</v>
      </c>
      <c r="K149" s="39">
        <f t="shared" si="16"/>
        <v>4.4353182751540041</v>
      </c>
      <c r="L149" s="40">
        <v>1352.8961999999999</v>
      </c>
      <c r="M149" s="40">
        <v>14.783099999999999</v>
      </c>
      <c r="N149" s="41">
        <f>IFERROR(INDEX(Prices!$E:$E,MATCH("Mutual Fund|"&amp;C149&amp;"|"&amp;B149,Prices!$A:$A,0)),0)</f>
        <v>13.1196</v>
      </c>
      <c r="O149" s="42">
        <v>20000</v>
      </c>
      <c r="P149" s="42">
        <f t="shared" si="17"/>
        <v>17749.456985519999</v>
      </c>
      <c r="Q149" s="42">
        <f t="shared" si="18"/>
        <v>-2250.5430144800011</v>
      </c>
      <c r="R149" s="11">
        <f t="shared" si="19"/>
        <v>-0.11252715072400006</v>
      </c>
      <c r="S149" s="35"/>
    </row>
    <row r="150" spans="1:19" ht="15" customHeight="1" x14ac:dyDescent="0.2">
      <c r="A150" s="35">
        <v>146</v>
      </c>
      <c r="B150" s="35" t="s">
        <v>151</v>
      </c>
      <c r="C150" s="35" t="s">
        <v>152</v>
      </c>
      <c r="D150" s="18" t="str">
        <f>IFERROR(INDEX(Reference!$E:$E,MATCH("Mutual Fund|"&amp;C150&amp;"|"&amp;B150,Reference!$A:$A,0)),"")</f>
        <v>Equity</v>
      </c>
      <c r="E150" s="18" t="str">
        <f>IFERROR(INDEX(Reference!$H:$H,MATCH("Mutual Fund|"&amp;C150&amp;"|"&amp;B150,Reference!$A:$A,0)),"")</f>
        <v>Healthcare</v>
      </c>
      <c r="F150" s="18" t="str">
        <f>IFERROR(INDEX(Reference!$G:$G,MATCH("Mutual Fund|"&amp;C150&amp;"|"&amp;B150,Reference!$A:$A,0)),"")</f>
        <v>Global</v>
      </c>
      <c r="G150" s="18" t="str">
        <f>IFERROR(INDEX(Reference!$I:$I,MATCH("Mutual Fund|"&amp;C150&amp;"|"&amp;B150,Reference!$A:$A,0)),"")</f>
        <v>RMF</v>
      </c>
      <c r="H150" s="36">
        <v>44658</v>
      </c>
      <c r="I150" s="37">
        <v>2022</v>
      </c>
      <c r="J150" s="37">
        <v>2037</v>
      </c>
      <c r="K150" s="39">
        <f t="shared" si="16"/>
        <v>4.1478439425051334</v>
      </c>
      <c r="L150" s="40">
        <v>3353.2741000000001</v>
      </c>
      <c r="M150" s="40">
        <v>14.9108</v>
      </c>
      <c r="N150" s="41">
        <f>IFERROR(INDEX(Prices!$E:$E,MATCH("Mutual Fund|"&amp;C150&amp;"|"&amp;B150,Prices!$A:$A,0)),0)</f>
        <v>13.1196</v>
      </c>
      <c r="O150" s="42">
        <v>50000</v>
      </c>
      <c r="P150" s="42">
        <f t="shared" si="17"/>
        <v>43993.614882360002</v>
      </c>
      <c r="Q150" s="42">
        <f t="shared" si="18"/>
        <v>-6006.3851176399985</v>
      </c>
      <c r="R150" s="11">
        <f t="shared" si="19"/>
        <v>-0.12012770235279997</v>
      </c>
      <c r="S150" s="35"/>
    </row>
    <row r="151" spans="1:19" ht="15" customHeight="1" x14ac:dyDescent="0.2">
      <c r="A151" s="35">
        <v>147</v>
      </c>
      <c r="B151" s="35" t="s">
        <v>151</v>
      </c>
      <c r="C151" s="35" t="s">
        <v>152</v>
      </c>
      <c r="D151" s="18" t="str">
        <f>IFERROR(INDEX(Reference!$E:$E,MATCH("Mutual Fund|"&amp;C151&amp;"|"&amp;B151,Reference!$A:$A,0)),"")</f>
        <v>Equity</v>
      </c>
      <c r="E151" s="18" t="str">
        <f>IFERROR(INDEX(Reference!$H:$H,MATCH("Mutual Fund|"&amp;C151&amp;"|"&amp;B151,Reference!$A:$A,0)),"")</f>
        <v>Healthcare</v>
      </c>
      <c r="F151" s="18" t="str">
        <f>IFERROR(INDEX(Reference!$G:$G,MATCH("Mutual Fund|"&amp;C151&amp;"|"&amp;B151,Reference!$A:$A,0)),"")</f>
        <v>Global</v>
      </c>
      <c r="G151" s="18" t="str">
        <f>IFERROR(INDEX(Reference!$I:$I,MATCH("Mutual Fund|"&amp;C151&amp;"|"&amp;B151,Reference!$A:$A,0)),"")</f>
        <v>RMF</v>
      </c>
      <c r="H151" s="36">
        <v>44894</v>
      </c>
      <c r="I151" s="37">
        <v>2022</v>
      </c>
      <c r="J151" s="37">
        <v>2037</v>
      </c>
      <c r="K151" s="39">
        <f t="shared" si="16"/>
        <v>3.5017111567419574</v>
      </c>
      <c r="L151" s="40">
        <v>11102.6402</v>
      </c>
      <c r="M151" s="40">
        <v>13.510300000000001</v>
      </c>
      <c r="N151" s="41">
        <f>IFERROR(INDEX(Prices!$E:$E,MATCH("Mutual Fund|"&amp;C151&amp;"|"&amp;B151,Prices!$A:$A,0)),0)</f>
        <v>13.1196</v>
      </c>
      <c r="O151" s="42">
        <v>150000</v>
      </c>
      <c r="P151" s="42">
        <f t="shared" si="17"/>
        <v>145662.19836792001</v>
      </c>
      <c r="Q151" s="42">
        <f t="shared" si="18"/>
        <v>-4337.8016320799943</v>
      </c>
      <c r="R151" s="11">
        <f t="shared" si="19"/>
        <v>-2.8918677547199963E-2</v>
      </c>
      <c r="S151" s="35"/>
    </row>
    <row r="152" spans="1:19" ht="15" customHeight="1" x14ac:dyDescent="0.2">
      <c r="A152" s="35">
        <v>148</v>
      </c>
      <c r="B152" s="35" t="s">
        <v>151</v>
      </c>
      <c r="C152" s="35" t="s">
        <v>152</v>
      </c>
      <c r="D152" s="18" t="str">
        <f>IFERROR(INDEX(Reference!$E:$E,MATCH("Mutual Fund|"&amp;C152&amp;"|"&amp;B152,Reference!$A:$A,0)),"")</f>
        <v>Equity</v>
      </c>
      <c r="E152" s="18" t="str">
        <f>IFERROR(INDEX(Reference!$H:$H,MATCH("Mutual Fund|"&amp;C152&amp;"|"&amp;B152,Reference!$A:$A,0)),"")</f>
        <v>Healthcare</v>
      </c>
      <c r="F152" s="18" t="str">
        <f>IFERROR(INDEX(Reference!$G:$G,MATCH("Mutual Fund|"&amp;C152&amp;"|"&amp;B152,Reference!$A:$A,0)),"")</f>
        <v>Global</v>
      </c>
      <c r="G152" s="18" t="str">
        <f>IFERROR(INDEX(Reference!$I:$I,MATCH("Mutual Fund|"&amp;C152&amp;"|"&amp;B152,Reference!$A:$A,0)),"")</f>
        <v>RMF</v>
      </c>
      <c r="H152" s="36">
        <v>45145</v>
      </c>
      <c r="I152" s="37">
        <v>2023</v>
      </c>
      <c r="J152" s="37">
        <v>2037</v>
      </c>
      <c r="K152" s="39">
        <f t="shared" si="16"/>
        <v>2.8145106091718</v>
      </c>
      <c r="L152" s="40">
        <v>7610.1184000000003</v>
      </c>
      <c r="M152" s="40">
        <v>13.1404</v>
      </c>
      <c r="N152" s="41">
        <f>IFERROR(INDEX(Prices!$E:$E,MATCH("Mutual Fund|"&amp;C152&amp;"|"&amp;B152,Prices!$A:$A,0)),0)</f>
        <v>13.1196</v>
      </c>
      <c r="O152" s="42">
        <v>100000</v>
      </c>
      <c r="P152" s="42">
        <f t="shared" si="17"/>
        <v>99841.709360640001</v>
      </c>
      <c r="Q152" s="42">
        <f t="shared" si="18"/>
        <v>-158.29063935999875</v>
      </c>
      <c r="R152" s="11">
        <f t="shared" si="19"/>
        <v>-1.5829063935999875E-3</v>
      </c>
      <c r="S152" s="35"/>
    </row>
    <row r="153" spans="1:19" ht="15" customHeight="1" x14ac:dyDescent="0.2">
      <c r="A153" s="35">
        <v>149</v>
      </c>
      <c r="B153" s="35" t="s">
        <v>151</v>
      </c>
      <c r="C153" s="35" t="s">
        <v>152</v>
      </c>
      <c r="D153" s="18" t="str">
        <f>IFERROR(INDEX(Reference!$E:$E,MATCH("Mutual Fund|"&amp;C153&amp;"|"&amp;B153,Reference!$A:$A,0)),"")</f>
        <v>Equity</v>
      </c>
      <c r="E153" s="18" t="str">
        <f>IFERROR(INDEX(Reference!$H:$H,MATCH("Mutual Fund|"&amp;C153&amp;"|"&amp;B153,Reference!$A:$A,0)),"")</f>
        <v>Healthcare</v>
      </c>
      <c r="F153" s="18" t="str">
        <f>IFERROR(INDEX(Reference!$G:$G,MATCH("Mutual Fund|"&amp;C153&amp;"|"&amp;B153,Reference!$A:$A,0)),"")</f>
        <v>Global</v>
      </c>
      <c r="G153" s="18" t="str">
        <f>IFERROR(INDEX(Reference!$I:$I,MATCH("Mutual Fund|"&amp;C153&amp;"|"&amp;B153,Reference!$A:$A,0)),"")</f>
        <v>RMF</v>
      </c>
      <c r="H153" s="36">
        <v>45391</v>
      </c>
      <c r="I153" s="37">
        <v>2024</v>
      </c>
      <c r="J153" s="37">
        <v>2037</v>
      </c>
      <c r="K153" s="39">
        <f t="shared" si="16"/>
        <v>2.1409993155373033</v>
      </c>
      <c r="L153" s="40">
        <v>3633.3247999999999</v>
      </c>
      <c r="M153" s="40">
        <v>13.7615</v>
      </c>
      <c r="N153" s="41">
        <f>IFERROR(INDEX(Prices!$E:$E,MATCH("Mutual Fund|"&amp;C153&amp;"|"&amp;B153,Prices!$A:$A,0)),0)</f>
        <v>13.1196</v>
      </c>
      <c r="O153" s="42">
        <v>50000</v>
      </c>
      <c r="P153" s="42">
        <f t="shared" si="17"/>
        <v>47667.768046079997</v>
      </c>
      <c r="Q153" s="42">
        <f t="shared" si="18"/>
        <v>-2332.2319539200034</v>
      </c>
      <c r="R153" s="11">
        <f t="shared" si="19"/>
        <v>-4.6644639078400066E-2</v>
      </c>
      <c r="S153" s="35"/>
    </row>
    <row r="154" spans="1:19" ht="15" customHeight="1" x14ac:dyDescent="0.2">
      <c r="A154" s="35">
        <v>150</v>
      </c>
      <c r="B154" s="35" t="s">
        <v>151</v>
      </c>
      <c r="C154" s="35" t="s">
        <v>152</v>
      </c>
      <c r="D154" s="18" t="str">
        <f>IFERROR(INDEX(Reference!$E:$E,MATCH("Mutual Fund|"&amp;C154&amp;"|"&amp;B154,Reference!$A:$A,0)),"")</f>
        <v>Equity</v>
      </c>
      <c r="E154" s="18" t="str">
        <f>IFERROR(INDEX(Reference!$H:$H,MATCH("Mutual Fund|"&amp;C154&amp;"|"&amp;B154,Reference!$A:$A,0)),"")</f>
        <v>Healthcare</v>
      </c>
      <c r="F154" s="18" t="str">
        <f>IFERROR(INDEX(Reference!$G:$G,MATCH("Mutual Fund|"&amp;C154&amp;"|"&amp;B154,Reference!$A:$A,0)),"")</f>
        <v>Global</v>
      </c>
      <c r="G154" s="18" t="str">
        <f>IFERROR(INDEX(Reference!$I:$I,MATCH("Mutual Fund|"&amp;C154&amp;"|"&amp;B154,Reference!$A:$A,0)),"")</f>
        <v>RMF</v>
      </c>
      <c r="H154" s="36">
        <v>45414</v>
      </c>
      <c r="I154" s="37">
        <v>2024</v>
      </c>
      <c r="J154" s="37">
        <v>2037</v>
      </c>
      <c r="K154" s="39">
        <f t="shared" si="16"/>
        <v>2.0780287474332648</v>
      </c>
      <c r="L154" s="40">
        <v>3682.4274</v>
      </c>
      <c r="M154" s="40">
        <v>13.577999999999999</v>
      </c>
      <c r="N154" s="41">
        <f>IFERROR(INDEX(Prices!$E:$E,MATCH("Mutual Fund|"&amp;C154&amp;"|"&amp;B154,Prices!$A:$A,0)),0)</f>
        <v>13.1196</v>
      </c>
      <c r="O154" s="42">
        <v>50000</v>
      </c>
      <c r="P154" s="42">
        <f t="shared" si="17"/>
        <v>48311.974517039998</v>
      </c>
      <c r="Q154" s="42">
        <f t="shared" si="18"/>
        <v>-1688.0254829600017</v>
      </c>
      <c r="R154" s="11">
        <f t="shared" si="19"/>
        <v>-3.3760509659200036E-2</v>
      </c>
      <c r="S154" s="35"/>
    </row>
    <row r="155" spans="1:19" ht="15" customHeight="1" x14ac:dyDescent="0.2">
      <c r="A155" s="35">
        <v>151</v>
      </c>
      <c r="B155" s="35" t="s">
        <v>151</v>
      </c>
      <c r="C155" s="35" t="s">
        <v>152</v>
      </c>
      <c r="D155" s="18" t="str">
        <f>IFERROR(INDEX(Reference!$E:$E,MATCH("Mutual Fund|"&amp;C155&amp;"|"&amp;B155,Reference!$A:$A,0)),"")</f>
        <v>Equity</v>
      </c>
      <c r="E155" s="18" t="str">
        <f>IFERROR(INDEX(Reference!$H:$H,MATCH("Mutual Fund|"&amp;C155&amp;"|"&amp;B155,Reference!$A:$A,0)),"")</f>
        <v>Healthcare</v>
      </c>
      <c r="F155" s="18" t="str">
        <f>IFERROR(INDEX(Reference!$G:$G,MATCH("Mutual Fund|"&amp;C155&amp;"|"&amp;B155,Reference!$A:$A,0)),"")</f>
        <v>Global</v>
      </c>
      <c r="G155" s="18" t="str">
        <f>IFERROR(INDEX(Reference!$I:$I,MATCH("Mutual Fund|"&amp;C155&amp;"|"&amp;B155,Reference!$A:$A,0)),"")</f>
        <v>RMF</v>
      </c>
      <c r="H155" s="36">
        <v>46002</v>
      </c>
      <c r="I155" s="37">
        <v>2025</v>
      </c>
      <c r="J155" s="37">
        <v>2037</v>
      </c>
      <c r="K155" s="39">
        <f t="shared" si="16"/>
        <v>0.46817248459958932</v>
      </c>
      <c r="L155" s="40">
        <v>7370.12</v>
      </c>
      <c r="M155" s="40">
        <v>13.568300000000001</v>
      </c>
      <c r="N155" s="41">
        <f>IFERROR(INDEX(Prices!$E:$E,MATCH("Mutual Fund|"&amp;C155&amp;"|"&amp;B155,Prices!$A:$A,0)),0)</f>
        <v>13.1196</v>
      </c>
      <c r="O155" s="42">
        <v>100000</v>
      </c>
      <c r="P155" s="42">
        <f t="shared" si="17"/>
        <v>96693.026352000001</v>
      </c>
      <c r="Q155" s="42">
        <f t="shared" si="18"/>
        <v>-3306.9736479999992</v>
      </c>
      <c r="R155" s="11">
        <f t="shared" si="19"/>
        <v>-3.3069736479999993E-2</v>
      </c>
      <c r="S155" s="35"/>
    </row>
    <row r="156" spans="1:19" ht="15" customHeight="1" x14ac:dyDescent="0.2">
      <c r="A156" s="35">
        <v>152</v>
      </c>
      <c r="B156" s="35" t="s">
        <v>151</v>
      </c>
      <c r="C156" s="35" t="s">
        <v>155</v>
      </c>
      <c r="D156" s="18" t="str">
        <f>IFERROR(INDEX(Reference!$E:$E,MATCH("Mutual Fund|"&amp;C156&amp;"|"&amp;B156,Reference!$A:$A,0)),"")</f>
        <v>Equity</v>
      </c>
      <c r="E156" s="18" t="str">
        <f>IFERROR(INDEX(Reference!$H:$H,MATCH("Mutual Fund|"&amp;C156&amp;"|"&amp;B156,Reference!$A:$A,0)),"")</f>
        <v>Vietnam Equity</v>
      </c>
      <c r="F156" s="18" t="str">
        <f>IFERROR(INDEX(Reference!$G:$G,MATCH("Mutual Fund|"&amp;C156&amp;"|"&amp;B156,Reference!$A:$A,0)),"")</f>
        <v>Vietnam</v>
      </c>
      <c r="G156" s="18" t="str">
        <f>IFERROR(INDEX(Reference!$I:$I,MATCH("Mutual Fund|"&amp;C156&amp;"|"&amp;B156,Reference!$A:$A,0)),"")</f>
        <v>RMF</v>
      </c>
      <c r="H156" s="36">
        <v>44922</v>
      </c>
      <c r="I156" s="37">
        <v>2022</v>
      </c>
      <c r="J156" s="37">
        <v>2037</v>
      </c>
      <c r="K156" s="39">
        <f t="shared" si="16"/>
        <v>3.4250513347022586</v>
      </c>
      <c r="L156" s="40">
        <v>25298.522499999999</v>
      </c>
      <c r="M156" s="40">
        <v>7.9055999999999997</v>
      </c>
      <c r="N156" s="41">
        <f>IFERROR(INDEX(Prices!$E:$E,MATCH("Mutual Fund|"&amp;C156&amp;"|"&amp;B156,Prices!$A:$A,0)),0)</f>
        <v>9.9961000000000002</v>
      </c>
      <c r="O156" s="42">
        <v>200000</v>
      </c>
      <c r="P156" s="42">
        <f t="shared" si="17"/>
        <v>252886.56076225001</v>
      </c>
      <c r="Q156" s="42">
        <f t="shared" si="18"/>
        <v>52886.56076225001</v>
      </c>
      <c r="R156" s="11">
        <f t="shared" si="19"/>
        <v>0.26443280381125006</v>
      </c>
      <c r="S156" s="35"/>
    </row>
    <row r="157" spans="1:19" ht="15" customHeight="1" x14ac:dyDescent="0.2">
      <c r="A157" s="35">
        <v>153</v>
      </c>
      <c r="B157" s="35" t="s">
        <v>151</v>
      </c>
      <c r="C157" s="35" t="s">
        <v>155</v>
      </c>
      <c r="D157" s="18" t="str">
        <f>IFERROR(INDEX(Reference!$E:$E,MATCH("Mutual Fund|"&amp;C157&amp;"|"&amp;B157,Reference!$A:$A,0)),"")</f>
        <v>Equity</v>
      </c>
      <c r="E157" s="18" t="str">
        <f>IFERROR(INDEX(Reference!$H:$H,MATCH("Mutual Fund|"&amp;C157&amp;"|"&amp;B157,Reference!$A:$A,0)),"")</f>
        <v>Vietnam Equity</v>
      </c>
      <c r="F157" s="18" t="str">
        <f>IFERROR(INDEX(Reference!$G:$G,MATCH("Mutual Fund|"&amp;C157&amp;"|"&amp;B157,Reference!$A:$A,0)),"")</f>
        <v>Vietnam</v>
      </c>
      <c r="G157" s="18" t="str">
        <f>IFERROR(INDEX(Reference!$I:$I,MATCH("Mutual Fund|"&amp;C157&amp;"|"&amp;B157,Reference!$A:$A,0)),"")</f>
        <v>RMF</v>
      </c>
      <c r="H157" s="36">
        <v>45145</v>
      </c>
      <c r="I157" s="37">
        <v>2023</v>
      </c>
      <c r="J157" s="37">
        <v>2037</v>
      </c>
      <c r="K157" s="39">
        <f t="shared" si="16"/>
        <v>2.8145106091718</v>
      </c>
      <c r="L157" s="40">
        <v>10538.4072</v>
      </c>
      <c r="M157" s="40">
        <v>9.4891000000000005</v>
      </c>
      <c r="N157" s="41">
        <f>IFERROR(INDEX(Prices!$E:$E,MATCH("Mutual Fund|"&amp;C157&amp;"|"&amp;B157,Prices!$A:$A,0)),0)</f>
        <v>9.9961000000000002</v>
      </c>
      <c r="O157" s="42">
        <v>100000</v>
      </c>
      <c r="P157" s="42">
        <f t="shared" si="17"/>
        <v>105342.97221192</v>
      </c>
      <c r="Q157" s="42">
        <f t="shared" si="18"/>
        <v>5342.9722119200014</v>
      </c>
      <c r="R157" s="11">
        <f t="shared" si="19"/>
        <v>5.3429722119200017E-2</v>
      </c>
      <c r="S157" s="35"/>
    </row>
    <row r="158" spans="1:19" ht="15" customHeight="1" x14ac:dyDescent="0.2">
      <c r="A158" s="35">
        <v>154</v>
      </c>
      <c r="B158" s="35" t="s">
        <v>151</v>
      </c>
      <c r="C158" s="35" t="s">
        <v>155</v>
      </c>
      <c r="D158" s="18" t="str">
        <f>IFERROR(INDEX(Reference!$E:$E,MATCH("Mutual Fund|"&amp;C158&amp;"|"&amp;B158,Reference!$A:$A,0)),"")</f>
        <v>Equity</v>
      </c>
      <c r="E158" s="18" t="str">
        <f>IFERROR(INDEX(Reference!$H:$H,MATCH("Mutual Fund|"&amp;C158&amp;"|"&amp;B158,Reference!$A:$A,0)),"")</f>
        <v>Vietnam Equity</v>
      </c>
      <c r="F158" s="18" t="str">
        <f>IFERROR(INDEX(Reference!$G:$G,MATCH("Mutual Fund|"&amp;C158&amp;"|"&amp;B158,Reference!$A:$A,0)),"")</f>
        <v>Vietnam</v>
      </c>
      <c r="G158" s="18" t="str">
        <f>IFERROR(INDEX(Reference!$I:$I,MATCH("Mutual Fund|"&amp;C158&amp;"|"&amp;B158,Reference!$A:$A,0)),"")</f>
        <v>RMF</v>
      </c>
      <c r="H158" s="36">
        <v>45174</v>
      </c>
      <c r="I158" s="37">
        <v>2023</v>
      </c>
      <c r="J158" s="37">
        <v>2037</v>
      </c>
      <c r="K158" s="39">
        <f t="shared" si="16"/>
        <v>2.7351129363449691</v>
      </c>
      <c r="L158" s="40">
        <v>10516.1317</v>
      </c>
      <c r="M158" s="40">
        <v>9.5091999999999999</v>
      </c>
      <c r="N158" s="41">
        <f>IFERROR(INDEX(Prices!$E:$E,MATCH("Mutual Fund|"&amp;C158&amp;"|"&amp;B158,Prices!$A:$A,0)),0)</f>
        <v>9.9961000000000002</v>
      </c>
      <c r="O158" s="42">
        <v>100000</v>
      </c>
      <c r="P158" s="42">
        <f t="shared" si="17"/>
        <v>105120.30408637</v>
      </c>
      <c r="Q158" s="42">
        <f t="shared" si="18"/>
        <v>5120.3040863700007</v>
      </c>
      <c r="R158" s="11">
        <f t="shared" si="19"/>
        <v>5.1203040863700006E-2</v>
      </c>
      <c r="S158" s="35"/>
    </row>
    <row r="159" spans="1:19" ht="15" customHeight="1" x14ac:dyDescent="0.2">
      <c r="A159" s="35">
        <v>155</v>
      </c>
      <c r="B159" s="35" t="s">
        <v>151</v>
      </c>
      <c r="C159" s="35" t="s">
        <v>155</v>
      </c>
      <c r="D159" s="18" t="str">
        <f>IFERROR(INDEX(Reference!$E:$E,MATCH("Mutual Fund|"&amp;C159&amp;"|"&amp;B159,Reference!$A:$A,0)),"")</f>
        <v>Equity</v>
      </c>
      <c r="E159" s="18" t="str">
        <f>IFERROR(INDEX(Reference!$H:$H,MATCH("Mutual Fund|"&amp;C159&amp;"|"&amp;B159,Reference!$A:$A,0)),"")</f>
        <v>Vietnam Equity</v>
      </c>
      <c r="F159" s="18" t="str">
        <f>IFERROR(INDEX(Reference!$G:$G,MATCH("Mutual Fund|"&amp;C159&amp;"|"&amp;B159,Reference!$A:$A,0)),"")</f>
        <v>Vietnam</v>
      </c>
      <c r="G159" s="18" t="str">
        <f>IFERROR(INDEX(Reference!$I:$I,MATCH("Mutual Fund|"&amp;C159&amp;"|"&amp;B159,Reference!$A:$A,0)),"")</f>
        <v>RMF</v>
      </c>
      <c r="H159" s="36">
        <v>45261</v>
      </c>
      <c r="I159" s="37">
        <v>2023</v>
      </c>
      <c r="J159" s="37">
        <v>2037</v>
      </c>
      <c r="K159" s="39">
        <f t="shared" si="16"/>
        <v>2.4969199178644765</v>
      </c>
      <c r="L159" s="40">
        <v>12220.606299999999</v>
      </c>
      <c r="M159" s="40">
        <v>8.1829000000000001</v>
      </c>
      <c r="N159" s="41">
        <f>IFERROR(INDEX(Prices!$E:$E,MATCH("Mutual Fund|"&amp;C159&amp;"|"&amp;B159,Prices!$A:$A,0)),0)</f>
        <v>9.9961000000000002</v>
      </c>
      <c r="O159" s="42">
        <v>100000</v>
      </c>
      <c r="P159" s="42">
        <f t="shared" si="17"/>
        <v>122158.40263543</v>
      </c>
      <c r="Q159" s="42">
        <f t="shared" si="18"/>
        <v>22158.40263543</v>
      </c>
      <c r="R159" s="11">
        <f t="shared" si="19"/>
        <v>0.2215840263543</v>
      </c>
      <c r="S159" s="35"/>
    </row>
    <row r="160" spans="1:19" ht="15" customHeight="1" x14ac:dyDescent="0.2">
      <c r="A160" s="35">
        <v>156</v>
      </c>
      <c r="B160" s="35" t="s">
        <v>151</v>
      </c>
      <c r="C160" s="35" t="s">
        <v>155</v>
      </c>
      <c r="D160" s="18" t="str">
        <f>IFERROR(INDEX(Reference!$E:$E,MATCH("Mutual Fund|"&amp;C160&amp;"|"&amp;B160,Reference!$A:$A,0)),"")</f>
        <v>Equity</v>
      </c>
      <c r="E160" s="18" t="str">
        <f>IFERROR(INDEX(Reference!$H:$H,MATCH("Mutual Fund|"&amp;C160&amp;"|"&amp;B160,Reference!$A:$A,0)),"")</f>
        <v>Vietnam Equity</v>
      </c>
      <c r="F160" s="18" t="str">
        <f>IFERROR(INDEX(Reference!$G:$G,MATCH("Mutual Fund|"&amp;C160&amp;"|"&amp;B160,Reference!$A:$A,0)),"")</f>
        <v>Vietnam</v>
      </c>
      <c r="G160" s="18" t="str">
        <f>IFERROR(INDEX(Reference!$I:$I,MATCH("Mutual Fund|"&amp;C160&amp;"|"&amp;B160,Reference!$A:$A,0)),"")</f>
        <v>RMF</v>
      </c>
      <c r="H160" s="36">
        <v>45475</v>
      </c>
      <c r="I160" s="37">
        <v>2024</v>
      </c>
      <c r="J160" s="37">
        <v>2037</v>
      </c>
      <c r="K160" s="39">
        <f t="shared" si="16"/>
        <v>1.9110198494182067</v>
      </c>
      <c r="L160" s="40">
        <v>9940.0614000000005</v>
      </c>
      <c r="M160" s="40">
        <v>10.0603</v>
      </c>
      <c r="N160" s="41">
        <f>IFERROR(INDEX(Prices!$E:$E,MATCH("Mutual Fund|"&amp;C160&amp;"|"&amp;B160,Prices!$A:$A,0)),0)</f>
        <v>9.9961000000000002</v>
      </c>
      <c r="O160" s="42">
        <v>100000</v>
      </c>
      <c r="P160" s="42">
        <f t="shared" si="17"/>
        <v>99361.847760540011</v>
      </c>
      <c r="Q160" s="42">
        <f t="shared" si="18"/>
        <v>-638.15223945998878</v>
      </c>
      <c r="R160" s="11">
        <f t="shared" si="19"/>
        <v>-6.3815223945998881E-3</v>
      </c>
      <c r="S160" s="35"/>
    </row>
    <row r="161" spans="1:19" ht="15" customHeight="1" x14ac:dyDescent="0.2">
      <c r="A161" s="35">
        <v>157</v>
      </c>
      <c r="B161" s="35" t="s">
        <v>151</v>
      </c>
      <c r="C161" s="35" t="s">
        <v>155</v>
      </c>
      <c r="D161" s="18" t="str">
        <f>IFERROR(INDEX(Reference!$E:$E,MATCH("Mutual Fund|"&amp;C161&amp;"|"&amp;B161,Reference!$A:$A,0)),"")</f>
        <v>Equity</v>
      </c>
      <c r="E161" s="18" t="str">
        <f>IFERROR(INDEX(Reference!$H:$H,MATCH("Mutual Fund|"&amp;C161&amp;"|"&amp;B161,Reference!$A:$A,0)),"")</f>
        <v>Vietnam Equity</v>
      </c>
      <c r="F161" s="18" t="str">
        <f>IFERROR(INDEX(Reference!$G:$G,MATCH("Mutual Fund|"&amp;C161&amp;"|"&amp;B161,Reference!$A:$A,0)),"")</f>
        <v>Vietnam</v>
      </c>
      <c r="G161" s="18" t="str">
        <f>IFERROR(INDEX(Reference!$I:$I,MATCH("Mutual Fund|"&amp;C161&amp;"|"&amp;B161,Reference!$A:$A,0)),"")</f>
        <v>RMF</v>
      </c>
      <c r="H161" s="36">
        <v>45539</v>
      </c>
      <c r="I161" s="37">
        <v>2024</v>
      </c>
      <c r="J161" s="37">
        <v>2037</v>
      </c>
      <c r="K161" s="39">
        <f t="shared" si="16"/>
        <v>1.7357973990417521</v>
      </c>
      <c r="L161" s="40">
        <v>10308.7469</v>
      </c>
      <c r="M161" s="40">
        <v>9.7004999999999999</v>
      </c>
      <c r="N161" s="41">
        <f>IFERROR(INDEX(Prices!$E:$E,MATCH("Mutual Fund|"&amp;C161&amp;"|"&amp;B161,Prices!$A:$A,0)),0)</f>
        <v>9.9961000000000002</v>
      </c>
      <c r="O161" s="42">
        <v>100000</v>
      </c>
      <c r="P161" s="42">
        <f t="shared" si="17"/>
        <v>103047.26488709</v>
      </c>
      <c r="Q161" s="42">
        <f t="shared" si="18"/>
        <v>3047.2648870900011</v>
      </c>
      <c r="R161" s="11">
        <f t="shared" si="19"/>
        <v>3.047264887090001E-2</v>
      </c>
      <c r="S161" s="35"/>
    </row>
    <row r="162" spans="1:19" ht="15" customHeight="1" x14ac:dyDescent="0.2">
      <c r="A162" s="35">
        <v>158</v>
      </c>
      <c r="B162" s="35" t="s">
        <v>151</v>
      </c>
      <c r="C162" s="35" t="s">
        <v>155</v>
      </c>
      <c r="D162" s="18" t="str">
        <f>IFERROR(INDEX(Reference!$E:$E,MATCH("Mutual Fund|"&amp;C162&amp;"|"&amp;B162,Reference!$A:$A,0)),"")</f>
        <v>Equity</v>
      </c>
      <c r="E162" s="18" t="str">
        <f>IFERROR(INDEX(Reference!$H:$H,MATCH("Mutual Fund|"&amp;C162&amp;"|"&amp;B162,Reference!$A:$A,0)),"")</f>
        <v>Vietnam Equity</v>
      </c>
      <c r="F162" s="18" t="str">
        <f>IFERROR(INDEX(Reference!$G:$G,MATCH("Mutual Fund|"&amp;C162&amp;"|"&amp;B162,Reference!$A:$A,0)),"")</f>
        <v>Vietnam</v>
      </c>
      <c r="G162" s="18" t="str">
        <f>IFERROR(INDEX(Reference!$I:$I,MATCH("Mutual Fund|"&amp;C162&amp;"|"&amp;B162,Reference!$A:$A,0)),"")</f>
        <v>RMF</v>
      </c>
      <c r="H162" s="36">
        <v>45597</v>
      </c>
      <c r="I162" s="37">
        <v>2024</v>
      </c>
      <c r="J162" s="37">
        <v>2037</v>
      </c>
      <c r="K162" s="39">
        <f t="shared" si="16"/>
        <v>1.5770020533880904</v>
      </c>
      <c r="L162" s="40">
        <v>10703.200199999999</v>
      </c>
      <c r="M162" s="40">
        <v>9.343</v>
      </c>
      <c r="N162" s="41">
        <f>IFERROR(INDEX(Prices!$E:$E,MATCH("Mutual Fund|"&amp;C162&amp;"|"&amp;B162,Prices!$A:$A,0)),0)</f>
        <v>9.9961000000000002</v>
      </c>
      <c r="O162" s="42">
        <v>100000</v>
      </c>
      <c r="P162" s="42">
        <f t="shared" si="17"/>
        <v>106990.25951922</v>
      </c>
      <c r="Q162" s="42">
        <f t="shared" si="18"/>
        <v>6990.2595192199951</v>
      </c>
      <c r="R162" s="11">
        <f t="shared" si="19"/>
        <v>6.9902595192199948E-2</v>
      </c>
      <c r="S162" s="35"/>
    </row>
    <row r="163" spans="1:19" ht="15" customHeight="1" x14ac:dyDescent="0.2">
      <c r="A163" s="35">
        <v>159</v>
      </c>
      <c r="B163" s="35" t="s">
        <v>151</v>
      </c>
      <c r="C163" s="35" t="s">
        <v>155</v>
      </c>
      <c r="D163" s="18" t="str">
        <f>IFERROR(INDEX(Reference!$E:$E,MATCH("Mutual Fund|"&amp;C163&amp;"|"&amp;B163,Reference!$A:$A,0)),"")</f>
        <v>Equity</v>
      </c>
      <c r="E163" s="18" t="str">
        <f>IFERROR(INDEX(Reference!$H:$H,MATCH("Mutual Fund|"&amp;C163&amp;"|"&amp;B163,Reference!$A:$A,0)),"")</f>
        <v>Vietnam Equity</v>
      </c>
      <c r="F163" s="18" t="str">
        <f>IFERROR(INDEX(Reference!$G:$G,MATCH("Mutual Fund|"&amp;C163&amp;"|"&amp;B163,Reference!$A:$A,0)),"")</f>
        <v>Vietnam</v>
      </c>
      <c r="G163" s="18" t="str">
        <f>IFERROR(INDEX(Reference!$I:$I,MATCH("Mutual Fund|"&amp;C163&amp;"|"&amp;B163,Reference!$A:$A,0)),"")</f>
        <v>RMF</v>
      </c>
      <c r="H163" s="36">
        <v>45903</v>
      </c>
      <c r="I163" s="37">
        <v>2025</v>
      </c>
      <c r="J163" s="37">
        <v>2037</v>
      </c>
      <c r="K163" s="39">
        <f t="shared" si="16"/>
        <v>0.73921971252566732</v>
      </c>
      <c r="L163" s="40">
        <v>9157.5090999999993</v>
      </c>
      <c r="M163" s="40">
        <v>10.92</v>
      </c>
      <c r="N163" s="41">
        <f>IFERROR(INDEX(Prices!$E:$E,MATCH("Mutual Fund|"&amp;C163&amp;"|"&amp;B163,Prices!$A:$A,0)),0)</f>
        <v>9.9961000000000002</v>
      </c>
      <c r="O163" s="42">
        <v>100000</v>
      </c>
      <c r="P163" s="42">
        <f t="shared" si="17"/>
        <v>91539.376714509999</v>
      </c>
      <c r="Q163" s="42">
        <f t="shared" si="18"/>
        <v>-8460.6232854900009</v>
      </c>
      <c r="R163" s="11">
        <f t="shared" si="19"/>
        <v>-8.4606232854900015E-2</v>
      </c>
      <c r="S163" s="35"/>
    </row>
    <row r="164" spans="1:19" ht="15" customHeight="1" x14ac:dyDescent="0.2">
      <c r="A164" s="35">
        <v>160</v>
      </c>
      <c r="B164" s="35" t="s">
        <v>151</v>
      </c>
      <c r="C164" s="35" t="s">
        <v>155</v>
      </c>
      <c r="D164" s="18" t="str">
        <f>IFERROR(INDEX(Reference!$E:$E,MATCH("Mutual Fund|"&amp;C164&amp;"|"&amp;B164,Reference!$A:$A,0)),"")</f>
        <v>Equity</v>
      </c>
      <c r="E164" s="18" t="str">
        <f>IFERROR(INDEX(Reference!$H:$H,MATCH("Mutual Fund|"&amp;C164&amp;"|"&amp;B164,Reference!$A:$A,0)),"")</f>
        <v>Vietnam Equity</v>
      </c>
      <c r="F164" s="18" t="str">
        <f>IFERROR(INDEX(Reference!$G:$G,MATCH("Mutual Fund|"&amp;C164&amp;"|"&amp;B164,Reference!$A:$A,0)),"")</f>
        <v>Vietnam</v>
      </c>
      <c r="G164" s="18" t="str">
        <f>IFERROR(INDEX(Reference!$I:$I,MATCH("Mutual Fund|"&amp;C164&amp;"|"&amp;B164,Reference!$A:$A,0)),"")</f>
        <v>RMF</v>
      </c>
      <c r="H164" s="36">
        <v>45932</v>
      </c>
      <c r="I164" s="37">
        <v>2025</v>
      </c>
      <c r="J164" s="37">
        <v>2037</v>
      </c>
      <c r="K164" s="39">
        <f t="shared" si="16"/>
        <v>0.65982203969883646</v>
      </c>
      <c r="L164" s="40">
        <v>9604.3027000000002</v>
      </c>
      <c r="M164" s="40">
        <v>10.412000000000001</v>
      </c>
      <c r="N164" s="41">
        <f>IFERROR(INDEX(Prices!$E:$E,MATCH("Mutual Fund|"&amp;C164&amp;"|"&amp;B164,Prices!$A:$A,0)),0)</f>
        <v>9.9961000000000002</v>
      </c>
      <c r="O164" s="42">
        <v>100000</v>
      </c>
      <c r="P164" s="42">
        <f t="shared" si="17"/>
        <v>96005.570219469999</v>
      </c>
      <c r="Q164" s="42">
        <f t="shared" si="18"/>
        <v>-3994.4297805300012</v>
      </c>
      <c r="R164" s="11">
        <f t="shared" si="19"/>
        <v>-3.9944297805300011E-2</v>
      </c>
      <c r="S164" s="35"/>
    </row>
    <row r="165" spans="1:19" ht="15" customHeight="1" x14ac:dyDescent="0.2">
      <c r="A165" s="35">
        <v>161</v>
      </c>
      <c r="B165" s="35" t="s">
        <v>151</v>
      </c>
      <c r="C165" s="35" t="s">
        <v>155</v>
      </c>
      <c r="D165" s="18" t="str">
        <f>IFERROR(INDEX(Reference!$E:$E,MATCH("Mutual Fund|"&amp;C165&amp;"|"&amp;B165,Reference!$A:$A,0)),"")</f>
        <v>Equity</v>
      </c>
      <c r="E165" s="18" t="str">
        <f>IFERROR(INDEX(Reference!$H:$H,MATCH("Mutual Fund|"&amp;C165&amp;"|"&amp;B165,Reference!$A:$A,0)),"")</f>
        <v>Vietnam Equity</v>
      </c>
      <c r="F165" s="18" t="str">
        <f>IFERROR(INDEX(Reference!$G:$G,MATCH("Mutual Fund|"&amp;C165&amp;"|"&amp;B165,Reference!$A:$A,0)),"")</f>
        <v>Vietnam</v>
      </c>
      <c r="G165" s="18" t="str">
        <f>IFERROR(INDEX(Reference!$I:$I,MATCH("Mutual Fund|"&amp;C165&amp;"|"&amp;B165,Reference!$A:$A,0)),"")</f>
        <v>RMF</v>
      </c>
      <c r="H165" s="36">
        <v>46002</v>
      </c>
      <c r="I165" s="37">
        <v>2025</v>
      </c>
      <c r="J165" s="37">
        <v>2037</v>
      </c>
      <c r="K165" s="39">
        <f t="shared" si="16"/>
        <v>0.46817248459958932</v>
      </c>
      <c r="L165" s="40">
        <v>10129.044</v>
      </c>
      <c r="M165" s="40">
        <v>9.8726000000000003</v>
      </c>
      <c r="N165" s="41">
        <f>IFERROR(INDEX(Prices!$E:$E,MATCH("Mutual Fund|"&amp;C165&amp;"|"&amp;B165,Prices!$A:$A,0)),0)</f>
        <v>9.9961000000000002</v>
      </c>
      <c r="O165" s="42">
        <v>100000</v>
      </c>
      <c r="P165" s="42">
        <f t="shared" si="17"/>
        <v>101250.9367284</v>
      </c>
      <c r="Q165" s="42">
        <f t="shared" ref="Q165" si="20">P165-O165</f>
        <v>1250.9367284000036</v>
      </c>
      <c r="R165" s="11">
        <f t="shared" ref="R165" si="21">IFERROR(Q165/O165,0)</f>
        <v>1.2509367284000036E-2</v>
      </c>
      <c r="S165" s="35"/>
    </row>
    <row r="166" spans="1:19" ht="15" customHeight="1" x14ac:dyDescent="0.2">
      <c r="A166" s="35"/>
      <c r="B166" s="35"/>
      <c r="C166" s="35"/>
      <c r="D166" s="18"/>
      <c r="E166" s="18"/>
      <c r="F166" s="18"/>
      <c r="G166" s="18"/>
      <c r="H166" s="36"/>
      <c r="I166" s="37"/>
      <c r="J166" s="37"/>
      <c r="K166" s="39"/>
      <c r="L166" s="40"/>
      <c r="M166" s="40"/>
      <c r="N166" s="41"/>
      <c r="O166" s="42"/>
      <c r="P166" s="42"/>
      <c r="Q166" s="42"/>
      <c r="R166" s="11"/>
      <c r="S166" s="35"/>
    </row>
    <row r="167" spans="1:19" ht="15" customHeight="1" x14ac:dyDescent="0.2">
      <c r="A167" s="13" t="s">
        <v>69</v>
      </c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14">
        <f>SUM(O5:O166)</f>
        <v>15095577.879999999</v>
      </c>
      <c r="P167" s="14">
        <f>SUM(P5:P166)</f>
        <v>19021215.728761856</v>
      </c>
      <c r="Q167" s="14">
        <f>SUM(Q5:Q166)</f>
        <v>3925637.8487618603</v>
      </c>
      <c r="R167" s="15">
        <f>IFERROR(Q167/O167,0)</f>
        <v>0.2600521742173848</v>
      </c>
      <c r="S167" s="43"/>
    </row>
  </sheetData>
  <autoFilter ref="A4:S166" xr:uid="{00000000-0009-0000-0000-000005000000}"/>
  <mergeCells count="1">
    <mergeCell ref="A2:S2"/>
  </mergeCells>
  <conditionalFormatting sqref="Q5:R166">
    <cfRule type="cellIs" dxfId="5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 x14ac:dyDescent="0.2"/>
  <cols>
    <col min="1" max="1" width="5" customWidth="1"/>
    <col min="2" max="2" width="22" customWidth="1"/>
    <col min="3" max="3" width="16" customWidth="1"/>
    <col min="4" max="4" width="20" customWidth="1"/>
    <col min="5" max="5" width="26" customWidth="1"/>
    <col min="6" max="6" width="16" customWidth="1"/>
    <col min="7" max="7" width="14" customWidth="1"/>
    <col min="8" max="8" width="12" customWidth="1"/>
    <col min="9" max="11" width="16" customWidth="1"/>
    <col min="12" max="13" width="12" customWidth="1"/>
  </cols>
  <sheetData>
    <row r="2" spans="1:13" ht="30" customHeight="1" x14ac:dyDescent="0.2">
      <c r="A2" s="49" t="s">
        <v>258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</row>
    <row r="4" spans="1:13" ht="36" customHeight="1" x14ac:dyDescent="0.2">
      <c r="A4" s="8" t="s">
        <v>242</v>
      </c>
      <c r="B4" s="8" t="s">
        <v>244</v>
      </c>
      <c r="C4" s="8" t="s">
        <v>243</v>
      </c>
      <c r="D4" s="8" t="s">
        <v>51</v>
      </c>
      <c r="E4" s="8" t="s">
        <v>88</v>
      </c>
      <c r="F4" s="8" t="s">
        <v>56</v>
      </c>
      <c r="G4" s="8" t="s">
        <v>74</v>
      </c>
      <c r="H4" s="8" t="s">
        <v>259</v>
      </c>
      <c r="I4" s="8" t="s">
        <v>249</v>
      </c>
      <c r="J4" s="8" t="s">
        <v>252</v>
      </c>
      <c r="K4" s="8" t="s">
        <v>253</v>
      </c>
      <c r="L4" s="8" t="s">
        <v>254</v>
      </c>
      <c r="M4" s="8" t="s">
        <v>115</v>
      </c>
    </row>
    <row r="5" spans="1:13" ht="15" customHeight="1" x14ac:dyDescent="0.2">
      <c r="A5" s="35">
        <v>1</v>
      </c>
      <c r="B5" s="35" t="s">
        <v>130</v>
      </c>
      <c r="C5" s="35" t="s">
        <v>131</v>
      </c>
      <c r="D5" s="18" t="str">
        <f>IFERROR(INDEX(Reference!$E:$E,MATCH("Mutual Fund|"&amp;B5&amp;"|"&amp;C5,Reference!$A:$A,0)),"")</f>
        <v>Equity</v>
      </c>
      <c r="E5" s="18" t="str">
        <f>IFERROR(INDEX(Reference!$H:$H,MATCH("Mutual Fund|"&amp;B5&amp;"|"&amp;C5,Reference!$A:$A,0)),"")</f>
        <v>AI / Innovation</v>
      </c>
      <c r="F5" s="18" t="str">
        <f>IFERROR(INDEX(Reference!$G:$G,MATCH("Mutual Fund|"&amp;B5&amp;"|"&amp;C5,Reference!$A:$A,0)),"")</f>
        <v>Global</v>
      </c>
      <c r="G5" s="18" t="str">
        <f>IFERROR(INDEX(Reference!$I:$I,MATCH("Mutual Fund|"&amp;B5&amp;"|"&amp;C5,Reference!$A:$A,0)),"")</f>
        <v>Open-Ended</v>
      </c>
      <c r="H5" s="44">
        <f>COUNTIFS('MF - Lots'!$C:$C,B5)</f>
        <v>1</v>
      </c>
      <c r="I5" s="41">
        <f>SUMIFS('MF - Lots'!$L:$L,'MF - Lots'!$C:$C,B5)</f>
        <v>9900.9901000000009</v>
      </c>
      <c r="J5" s="10">
        <f>SUMIFS('MF - Lots'!$O:$O,'MF - Lots'!$C:$C,B5)</f>
        <v>100000</v>
      </c>
      <c r="K5" s="10">
        <f>SUMIFS('MF - Lots'!$P:$P,'MF - Lots'!$C:$C,B5)</f>
        <v>248184.15844066005</v>
      </c>
      <c r="L5" s="12">
        <f t="shared" ref="L5:L37" si="0">K5-J5</f>
        <v>148184.15844066005</v>
      </c>
      <c r="M5" s="11">
        <f t="shared" ref="M5:M37" si="1">IFERROR(L5/J5,0)</f>
        <v>1.4818415844066004</v>
      </c>
    </row>
    <row r="6" spans="1:13" ht="15" customHeight="1" x14ac:dyDescent="0.2">
      <c r="A6" s="35">
        <v>2</v>
      </c>
      <c r="B6" s="35" t="s">
        <v>133</v>
      </c>
      <c r="C6" s="35" t="s">
        <v>131</v>
      </c>
      <c r="D6" s="18" t="str">
        <f>IFERROR(INDEX(Reference!$E:$E,MATCH("Mutual Fund|"&amp;B6&amp;"|"&amp;C6,Reference!$A:$A,0)),"")</f>
        <v>Cash &amp; Equivalents</v>
      </c>
      <c r="E6" s="18" t="str">
        <f>IFERROR(INDEX(Reference!$H:$H,MATCH("Mutual Fund|"&amp;B6&amp;"|"&amp;C6,Reference!$A:$A,0)),"")</f>
        <v>TH Short-Term Bond</v>
      </c>
      <c r="F6" s="18" t="str">
        <f>IFERROR(INDEX(Reference!$G:$G,MATCH("Mutual Fund|"&amp;B6&amp;"|"&amp;C6,Reference!$A:$A,0)),"")</f>
        <v>Thailand</v>
      </c>
      <c r="G6" s="18" t="str">
        <f>IFERROR(INDEX(Reference!$I:$I,MATCH("Mutual Fund|"&amp;B6&amp;"|"&amp;C6,Reference!$A:$A,0)),"")</f>
        <v>Open-Ended</v>
      </c>
      <c r="H6" s="44">
        <f>COUNTIFS('MF - Lots'!$C:$C,B6)</f>
        <v>2</v>
      </c>
      <c r="I6" s="41">
        <f>SUMIFS('MF - Lots'!$L:$L,'MF - Lots'!$C:$C,B6)</f>
        <v>843.43260000000009</v>
      </c>
      <c r="J6" s="10">
        <f>SUMIFS('MF - Lots'!$O:$O,'MF - Lots'!$C:$C,B6)</f>
        <v>8878.67</v>
      </c>
      <c r="K6" s="10">
        <f>SUMIFS('MF - Lots'!$P:$P,'MF - Lots'!$C:$C,B6)</f>
        <v>9011.9086444799996</v>
      </c>
      <c r="L6" s="12">
        <f t="shared" si="0"/>
        <v>133.23864447999949</v>
      </c>
      <c r="M6" s="11">
        <f t="shared" si="1"/>
        <v>1.5006599465910941E-2</v>
      </c>
    </row>
    <row r="7" spans="1:13" ht="15" customHeight="1" x14ac:dyDescent="0.2">
      <c r="A7" s="35">
        <v>3</v>
      </c>
      <c r="B7" s="35" t="s">
        <v>134</v>
      </c>
      <c r="C7" s="35" t="s">
        <v>131</v>
      </c>
      <c r="D7" s="18" t="str">
        <f>IFERROR(INDEX(Reference!$E:$E,MATCH("Mutual Fund|"&amp;B7&amp;"|"&amp;C7,Reference!$A:$A,0)),"")</f>
        <v>Equity</v>
      </c>
      <c r="E7" s="18" t="str">
        <f>IFERROR(INDEX(Reference!$H:$H,MATCH("Mutual Fund|"&amp;B7&amp;"|"&amp;C7,Reference!$A:$A,0)),"")</f>
        <v>Europe Equity</v>
      </c>
      <c r="F7" s="18" t="str">
        <f>IFERROR(INDEX(Reference!$G:$G,MATCH("Mutual Fund|"&amp;B7&amp;"|"&amp;C7,Reference!$A:$A,0)),"")</f>
        <v>Europe</v>
      </c>
      <c r="G7" s="18" t="str">
        <f>IFERROR(INDEX(Reference!$I:$I,MATCH("Mutual Fund|"&amp;B7&amp;"|"&amp;C7,Reference!$A:$A,0)),"")</f>
        <v>Open-Ended</v>
      </c>
      <c r="H7" s="44">
        <f>COUNTIFS('MF - Lots'!$C:$C,B7)</f>
        <v>1</v>
      </c>
      <c r="I7" s="41">
        <f>SUMIFS('MF - Lots'!$L:$L,'MF - Lots'!$C:$C,B7)</f>
        <v>9876.5432000000001</v>
      </c>
      <c r="J7" s="10">
        <f>SUMIFS('MF - Lots'!$O:$O,'MF - Lots'!$C:$C,B7)</f>
        <v>100000</v>
      </c>
      <c r="K7" s="10">
        <f>SUMIFS('MF - Lots'!$P:$P,'MF - Lots'!$C:$C,B7)</f>
        <v>70803.950546480002</v>
      </c>
      <c r="L7" s="12">
        <f t="shared" si="0"/>
        <v>-29196.049453519998</v>
      </c>
      <c r="M7" s="11">
        <f t="shared" si="1"/>
        <v>-0.29196049453519995</v>
      </c>
    </row>
    <row r="8" spans="1:13" ht="15" customHeight="1" x14ac:dyDescent="0.2">
      <c r="A8" s="35">
        <v>4</v>
      </c>
      <c r="B8" s="35" t="s">
        <v>135</v>
      </c>
      <c r="C8" s="35" t="s">
        <v>131</v>
      </c>
      <c r="D8" s="18" t="str">
        <f>IFERROR(INDEX(Reference!$E:$E,MATCH("Mutual Fund|"&amp;B8&amp;"|"&amp;C8,Reference!$A:$A,0)),"")</f>
        <v>Equity</v>
      </c>
      <c r="E8" s="18" t="str">
        <f>IFERROR(INDEX(Reference!$H:$H,MATCH("Mutual Fund|"&amp;B8&amp;"|"&amp;C8,Reference!$A:$A,0)),"")</f>
        <v>China Equity</v>
      </c>
      <c r="F8" s="18" t="str">
        <f>IFERROR(INDEX(Reference!$G:$G,MATCH("Mutual Fund|"&amp;B8&amp;"|"&amp;C8,Reference!$A:$A,0)),"")</f>
        <v>China</v>
      </c>
      <c r="G8" s="18" t="str">
        <f>IFERROR(INDEX(Reference!$I:$I,MATCH("Mutual Fund|"&amp;B8&amp;"|"&amp;C8,Reference!$A:$A,0)),"")</f>
        <v>Open-Ended</v>
      </c>
      <c r="H8" s="44">
        <f>COUNTIFS('MF - Lots'!$C:$C,B8)</f>
        <v>1</v>
      </c>
      <c r="I8" s="41">
        <f>SUMIFS('MF - Lots'!$L:$L,'MF - Lots'!$C:$C,B8)</f>
        <v>14024.200500000001</v>
      </c>
      <c r="J8" s="10">
        <f>SUMIFS('MF - Lots'!$O:$O,'MF - Lots'!$C:$C,B8)</f>
        <v>320000</v>
      </c>
      <c r="K8" s="10">
        <f>SUMIFS('MF - Lots'!$P:$P,'MF - Lots'!$C:$C,B8)</f>
        <v>136769.6129562</v>
      </c>
      <c r="L8" s="12">
        <f t="shared" si="0"/>
        <v>-183230.3870438</v>
      </c>
      <c r="M8" s="11">
        <f t="shared" si="1"/>
        <v>-0.572594959511875</v>
      </c>
    </row>
    <row r="9" spans="1:13" ht="15" customHeight="1" x14ac:dyDescent="0.2">
      <c r="A9" s="35">
        <v>5</v>
      </c>
      <c r="B9" s="35" t="s">
        <v>136</v>
      </c>
      <c r="C9" s="35" t="s">
        <v>131</v>
      </c>
      <c r="D9" s="18" t="str">
        <f>IFERROR(INDEX(Reference!$E:$E,MATCH("Mutual Fund|"&amp;B9&amp;"|"&amp;C9,Reference!$A:$A,0)),"")</f>
        <v>Multi-Asset</v>
      </c>
      <c r="E9" s="18" t="str">
        <f>IFERROR(INDEX(Reference!$H:$H,MATCH("Mutual Fund|"&amp;B9&amp;"|"&amp;C9,Reference!$A:$A,0)),"")</f>
        <v>Thai Balanced</v>
      </c>
      <c r="F9" s="18" t="str">
        <f>IFERROR(INDEX(Reference!$G:$G,MATCH("Mutual Fund|"&amp;B9&amp;"|"&amp;C9,Reference!$A:$A,0)),"")</f>
        <v>Thailand</v>
      </c>
      <c r="G9" s="18" t="str">
        <f>IFERROR(INDEX(Reference!$I:$I,MATCH("Mutual Fund|"&amp;B9&amp;"|"&amp;C9,Reference!$A:$A,0)),"")</f>
        <v>Open-Ended</v>
      </c>
      <c r="H9" s="44">
        <f>COUNTIFS('MF - Lots'!$C:$C,B9)</f>
        <v>1</v>
      </c>
      <c r="I9" s="41">
        <f>SUMIFS('MF - Lots'!$L:$L,'MF - Lots'!$C:$C,B9)</f>
        <v>4957.8581999999997</v>
      </c>
      <c r="J9" s="10">
        <f>SUMIFS('MF - Lots'!$O:$O,'MF - Lots'!$C:$C,B9)</f>
        <v>50000</v>
      </c>
      <c r="K9" s="10">
        <f>SUMIFS('MF - Lots'!$P:$P,'MF - Lots'!$C:$C,B9)</f>
        <v>46215.170997119996</v>
      </c>
      <c r="L9" s="12">
        <f t="shared" si="0"/>
        <v>-3784.8290028800038</v>
      </c>
      <c r="M9" s="11">
        <f t="shared" si="1"/>
        <v>-7.5696580057600077E-2</v>
      </c>
    </row>
    <row r="10" spans="1:13" ht="15" customHeight="1" x14ac:dyDescent="0.2">
      <c r="A10" s="35">
        <v>6</v>
      </c>
      <c r="B10" s="35" t="s">
        <v>137</v>
      </c>
      <c r="C10" s="35" t="s">
        <v>131</v>
      </c>
      <c r="D10" s="18" t="str">
        <f>IFERROR(INDEX(Reference!$E:$E,MATCH("Mutual Fund|"&amp;B10&amp;"|"&amp;C10,Reference!$A:$A,0)),"")</f>
        <v>Equity</v>
      </c>
      <c r="E10" s="18" t="str">
        <f>IFERROR(INDEX(Reference!$H:$H,MATCH("Mutual Fund|"&amp;B10&amp;"|"&amp;C10,Reference!$A:$A,0)),"")</f>
        <v>Japan Equity</v>
      </c>
      <c r="F10" s="18" t="str">
        <f>IFERROR(INDEX(Reference!$G:$G,MATCH("Mutual Fund|"&amp;B10&amp;"|"&amp;C10,Reference!$A:$A,0)),"")</f>
        <v>Japan</v>
      </c>
      <c r="G10" s="18" t="str">
        <f>IFERROR(INDEX(Reference!$I:$I,MATCH("Mutual Fund|"&amp;B10&amp;"|"&amp;C10,Reference!$A:$A,0)),"")</f>
        <v>Open-Ended</v>
      </c>
      <c r="H10" s="44">
        <f>COUNTIFS('MF - Lots'!$C:$C,B10)</f>
        <v>1</v>
      </c>
      <c r="I10" s="41">
        <f>SUMIFS('MF - Lots'!$L:$L,'MF - Lots'!$C:$C,B10)</f>
        <v>9876.5432000000001</v>
      </c>
      <c r="J10" s="10">
        <f>SUMIFS('MF - Lots'!$O:$O,'MF - Lots'!$C:$C,B10)</f>
        <v>100000</v>
      </c>
      <c r="K10" s="10">
        <f>SUMIFS('MF - Lots'!$P:$P,'MF - Lots'!$C:$C,B10)</f>
        <v>130615.30851136</v>
      </c>
      <c r="L10" s="12">
        <f t="shared" si="0"/>
        <v>30615.308511359995</v>
      </c>
      <c r="M10" s="11">
        <f t="shared" si="1"/>
        <v>0.30615308511359995</v>
      </c>
    </row>
    <row r="11" spans="1:13" ht="15" customHeight="1" x14ac:dyDescent="0.2">
      <c r="A11" s="35">
        <v>7</v>
      </c>
      <c r="B11" s="35" t="s">
        <v>138</v>
      </c>
      <c r="C11" s="35" t="s">
        <v>131</v>
      </c>
      <c r="D11" s="18" t="str">
        <f>IFERROR(INDEX(Reference!$E:$E,MATCH("Mutual Fund|"&amp;B11&amp;"|"&amp;C11,Reference!$A:$A,0)),"")</f>
        <v>Equity</v>
      </c>
      <c r="E11" s="18" t="str">
        <f>IFERROR(INDEX(Reference!$H:$H,MATCH("Mutual Fund|"&amp;B11&amp;"|"&amp;C11,Reference!$A:$A,0)),"")</f>
        <v>Thai Equity</v>
      </c>
      <c r="F11" s="18" t="str">
        <f>IFERROR(INDEX(Reference!$G:$G,MATCH("Mutual Fund|"&amp;B11&amp;"|"&amp;C11,Reference!$A:$A,0)),"")</f>
        <v>Thailand</v>
      </c>
      <c r="G11" s="18" t="str">
        <f>IFERROR(INDEX(Reference!$I:$I,MATCH("Mutual Fund|"&amp;B11&amp;"|"&amp;C11,Reference!$A:$A,0)),"")</f>
        <v>Open-Ended</v>
      </c>
      <c r="H11" s="44">
        <f>COUNTIFS('MF - Lots'!$C:$C,B11)</f>
        <v>3</v>
      </c>
      <c r="I11" s="41">
        <f>SUMIFS('MF - Lots'!$L:$L,'MF - Lots'!$C:$C,B11)</f>
        <v>28608.688999999998</v>
      </c>
      <c r="J11" s="10">
        <f>SUMIFS('MF - Lots'!$O:$O,'MF - Lots'!$C:$C,B11)</f>
        <v>450000</v>
      </c>
      <c r="K11" s="10">
        <f>SUMIFS('MF - Lots'!$P:$P,'MF - Lots'!$C:$C,B11)</f>
        <v>374052.88693719998</v>
      </c>
      <c r="L11" s="12">
        <f t="shared" si="0"/>
        <v>-75947.113062800025</v>
      </c>
      <c r="M11" s="11">
        <f t="shared" si="1"/>
        <v>-0.16877136236177784</v>
      </c>
    </row>
    <row r="12" spans="1:13" ht="15" customHeight="1" x14ac:dyDescent="0.2">
      <c r="A12" s="35">
        <v>8</v>
      </c>
      <c r="B12" s="35" t="s">
        <v>139</v>
      </c>
      <c r="C12" s="35" t="s">
        <v>131</v>
      </c>
      <c r="D12" s="18" t="str">
        <f>IFERROR(INDEX(Reference!$E:$E,MATCH("Mutual Fund|"&amp;B12&amp;"|"&amp;C12,Reference!$A:$A,0)),"")</f>
        <v>Equity</v>
      </c>
      <c r="E12" s="18" t="str">
        <f>IFERROR(INDEX(Reference!$H:$H,MATCH("Mutual Fund|"&amp;B12&amp;"|"&amp;C12,Reference!$A:$A,0)),"")</f>
        <v>Thai Equity</v>
      </c>
      <c r="F12" s="18" t="str">
        <f>IFERROR(INDEX(Reference!$G:$G,MATCH("Mutual Fund|"&amp;B12&amp;"|"&amp;C12,Reference!$A:$A,0)),"")</f>
        <v>Thailand</v>
      </c>
      <c r="G12" s="18" t="str">
        <f>IFERROR(INDEX(Reference!$I:$I,MATCH("Mutual Fund|"&amp;B12&amp;"|"&amp;C12,Reference!$A:$A,0)),"")</f>
        <v>LTF</v>
      </c>
      <c r="H12" s="44">
        <f>COUNTIFS('MF - Lots'!$C:$C,B12)</f>
        <v>3</v>
      </c>
      <c r="I12" s="41">
        <f>SUMIFS('MF - Lots'!$L:$L,'MF - Lots'!$C:$C,B12)</f>
        <v>4472.7563</v>
      </c>
      <c r="J12" s="10">
        <f>SUMIFS('MF - Lots'!$O:$O,'MF - Lots'!$C:$C,B12)</f>
        <v>109000</v>
      </c>
      <c r="K12" s="10">
        <f>SUMIFS('MF - Lots'!$P:$P,'MF - Lots'!$C:$C,B12)</f>
        <v>118151.88314517</v>
      </c>
      <c r="L12" s="12">
        <f t="shared" si="0"/>
        <v>9151.8831451699953</v>
      </c>
      <c r="M12" s="11">
        <f t="shared" si="1"/>
        <v>8.3962230689632988E-2</v>
      </c>
    </row>
    <row r="13" spans="1:13" ht="15" customHeight="1" x14ac:dyDescent="0.2">
      <c r="A13" s="35">
        <v>9</v>
      </c>
      <c r="B13" s="35" t="s">
        <v>140</v>
      </c>
      <c r="C13" s="35" t="s">
        <v>141</v>
      </c>
      <c r="D13" s="18" t="str">
        <f>IFERROR(INDEX(Reference!$E:$E,MATCH("Mutual Fund|"&amp;B13&amp;"|"&amp;C13,Reference!$A:$A,0)),"")</f>
        <v>Equity</v>
      </c>
      <c r="E13" s="18" t="str">
        <f>IFERROR(INDEX(Reference!$H:$H,MATCH("Mutual Fund|"&amp;B13&amp;"|"&amp;C13,Reference!$A:$A,0)),"")</f>
        <v>Thai Equity</v>
      </c>
      <c r="F13" s="18" t="str">
        <f>IFERROR(INDEX(Reference!$G:$G,MATCH("Mutual Fund|"&amp;B13&amp;"|"&amp;C13,Reference!$A:$A,0)),"")</f>
        <v>Thailand</v>
      </c>
      <c r="G13" s="18" t="str">
        <f>IFERROR(INDEX(Reference!$I:$I,MATCH("Mutual Fund|"&amp;B13&amp;"|"&amp;C13,Reference!$A:$A,0)),"")</f>
        <v>LTF</v>
      </c>
      <c r="H13" s="44">
        <f>COUNTIFS('MF - Lots'!$C:$C,B13)</f>
        <v>8</v>
      </c>
      <c r="I13" s="41">
        <f>SUMIFS('MF - Lots'!$L:$L,'MF - Lots'!$C:$C,B13)</f>
        <v>8955.1113000000005</v>
      </c>
      <c r="J13" s="10">
        <f>SUMIFS('MF - Lots'!$O:$O,'MF - Lots'!$C:$C,B13)</f>
        <v>342000</v>
      </c>
      <c r="K13" s="10">
        <f>SUMIFS('MF - Lots'!$P:$P,'MF - Lots'!$C:$C,B13)</f>
        <v>321699.83629667998</v>
      </c>
      <c r="L13" s="12">
        <f t="shared" si="0"/>
        <v>-20300.163703320024</v>
      </c>
      <c r="M13" s="11">
        <f t="shared" si="1"/>
        <v>-5.9357203810877265E-2</v>
      </c>
    </row>
    <row r="14" spans="1:13" ht="15" customHeight="1" x14ac:dyDescent="0.2">
      <c r="A14" s="35">
        <v>10</v>
      </c>
      <c r="B14" s="35" t="s">
        <v>142</v>
      </c>
      <c r="C14" s="35" t="s">
        <v>141</v>
      </c>
      <c r="D14" s="18" t="str">
        <f>IFERROR(INDEX(Reference!$E:$E,MATCH("Mutual Fund|"&amp;B14&amp;"|"&amp;C14,Reference!$A:$A,0)),"")</f>
        <v>Multi-Asset</v>
      </c>
      <c r="E14" s="18" t="str">
        <f>IFERROR(INDEX(Reference!$H:$H,MATCH("Mutual Fund|"&amp;B14&amp;"|"&amp;C14,Reference!$A:$A,0)),"")</f>
        <v>Thai Balanced</v>
      </c>
      <c r="F14" s="18" t="str">
        <f>IFERROR(INDEX(Reference!$G:$G,MATCH("Mutual Fund|"&amp;B14&amp;"|"&amp;C14,Reference!$A:$A,0)),"")</f>
        <v>Thailand</v>
      </c>
      <c r="G14" s="18" t="str">
        <f>IFERROR(INDEX(Reference!$I:$I,MATCH("Mutual Fund|"&amp;B14&amp;"|"&amp;C14,Reference!$A:$A,0)),"")</f>
        <v>LTF</v>
      </c>
      <c r="H14" s="44">
        <f>COUNTIFS('MF - Lots'!$C:$C,B14)</f>
        <v>5</v>
      </c>
      <c r="I14" s="41">
        <f>SUMIFS('MF - Lots'!$L:$L,'MF - Lots'!$C:$C,B14)</f>
        <v>7728.8002999999999</v>
      </c>
      <c r="J14" s="10">
        <f>SUMIFS('MF - Lots'!$O:$O,'MF - Lots'!$C:$C,B14)</f>
        <v>205000</v>
      </c>
      <c r="K14" s="10">
        <f>SUMIFS('MF - Lots'!$P:$P,'MF - Lots'!$C:$C,B14)</f>
        <v>195037.04845052998</v>
      </c>
      <c r="L14" s="12">
        <f t="shared" si="0"/>
        <v>-9962.9515494700172</v>
      </c>
      <c r="M14" s="11">
        <f t="shared" si="1"/>
        <v>-4.8599763655951304E-2</v>
      </c>
    </row>
    <row r="15" spans="1:13" ht="15" customHeight="1" x14ac:dyDescent="0.2">
      <c r="A15" s="35">
        <v>11</v>
      </c>
      <c r="B15" s="35" t="s">
        <v>143</v>
      </c>
      <c r="C15" s="35" t="s">
        <v>141</v>
      </c>
      <c r="D15" s="18" t="str">
        <f>IFERROR(INDEX(Reference!$E:$E,MATCH("Mutual Fund|"&amp;B15&amp;"|"&amp;C15,Reference!$A:$A,0)),"")</f>
        <v>Equity</v>
      </c>
      <c r="E15" s="18" t="str">
        <f>IFERROR(INDEX(Reference!$H:$H,MATCH("Mutual Fund|"&amp;B15&amp;"|"&amp;C15,Reference!$A:$A,0)),"")</f>
        <v>Healthcare</v>
      </c>
      <c r="F15" s="18" t="str">
        <f>IFERROR(INDEX(Reference!$G:$G,MATCH("Mutual Fund|"&amp;B15&amp;"|"&amp;C15,Reference!$A:$A,0)),"")</f>
        <v>Global</v>
      </c>
      <c r="G15" s="18" t="str">
        <f>IFERROR(INDEX(Reference!$I:$I,MATCH("Mutual Fund|"&amp;B15&amp;"|"&amp;C15,Reference!$A:$A,0)),"")</f>
        <v>RMF</v>
      </c>
      <c r="H15" s="44">
        <f>COUNTIFS('MF - Lots'!$C:$C,B15)</f>
        <v>14</v>
      </c>
      <c r="I15" s="41">
        <f>SUMIFS('MF - Lots'!$L:$L,'MF - Lots'!$C:$C,B15)</f>
        <v>44183.991299999994</v>
      </c>
      <c r="J15" s="10">
        <f>SUMIFS('MF - Lots'!$O:$O,'MF - Lots'!$C:$C,B15)</f>
        <v>565000</v>
      </c>
      <c r="K15" s="10">
        <f>SUMIFS('MF - Lots'!$P:$P,'MF - Lots'!$C:$C,B15)</f>
        <v>654559.32071471994</v>
      </c>
      <c r="L15" s="12">
        <f t="shared" si="0"/>
        <v>89559.320714719943</v>
      </c>
      <c r="M15" s="11">
        <f t="shared" si="1"/>
        <v>0.15851207206145124</v>
      </c>
    </row>
    <row r="16" spans="1:13" ht="15" customHeight="1" x14ac:dyDescent="0.2">
      <c r="A16" s="35">
        <v>12</v>
      </c>
      <c r="B16" s="35" t="s">
        <v>144</v>
      </c>
      <c r="C16" s="35" t="s">
        <v>141</v>
      </c>
      <c r="D16" s="18" t="str">
        <f>IFERROR(INDEX(Reference!$E:$E,MATCH("Mutual Fund|"&amp;B16&amp;"|"&amp;C16,Reference!$A:$A,0)),"")</f>
        <v>Equity</v>
      </c>
      <c r="E16" s="18" t="str">
        <f>IFERROR(INDEX(Reference!$H:$H,MATCH("Mutual Fund|"&amp;B16&amp;"|"&amp;C16,Reference!$A:$A,0)),"")</f>
        <v>Thai Equity</v>
      </c>
      <c r="F16" s="18" t="str">
        <f>IFERROR(INDEX(Reference!$G:$G,MATCH("Mutual Fund|"&amp;B16&amp;"|"&amp;C16,Reference!$A:$A,0)),"")</f>
        <v>Thailand</v>
      </c>
      <c r="G16" s="18" t="str">
        <f>IFERROR(INDEX(Reference!$I:$I,MATCH("Mutual Fund|"&amp;B16&amp;"|"&amp;C16,Reference!$A:$A,0)),"")</f>
        <v>RMF</v>
      </c>
      <c r="H16" s="44">
        <f>COUNTIFS('MF - Lots'!$C:$C,B16)</f>
        <v>12</v>
      </c>
      <c r="I16" s="41">
        <f>SUMIFS('MF - Lots'!$L:$L,'MF - Lots'!$C:$C,B16)</f>
        <v>2331.4910999999997</v>
      </c>
      <c r="J16" s="10">
        <f>SUMIFS('MF - Lots'!$O:$O,'MF - Lots'!$C:$C,B16)</f>
        <v>210000</v>
      </c>
      <c r="K16" s="10">
        <f>SUMIFS('MF - Lots'!$P:$P,'MF - Lots'!$C:$C,B16)</f>
        <v>188052.24339824996</v>
      </c>
      <c r="L16" s="12">
        <f t="shared" si="0"/>
        <v>-21947.756601750036</v>
      </c>
      <c r="M16" s="11">
        <f t="shared" si="1"/>
        <v>-0.10451312667500016</v>
      </c>
    </row>
    <row r="17" spans="1:13" ht="15" customHeight="1" x14ac:dyDescent="0.2">
      <c r="A17" s="35">
        <v>13</v>
      </c>
      <c r="B17" s="35" t="s">
        <v>145</v>
      </c>
      <c r="C17" s="35" t="s">
        <v>141</v>
      </c>
      <c r="D17" s="18" t="str">
        <f>IFERROR(INDEX(Reference!$E:$E,MATCH("Mutual Fund|"&amp;B17&amp;"|"&amp;C17,Reference!$A:$A,0)),"")</f>
        <v>Multi-Asset</v>
      </c>
      <c r="E17" s="18" t="str">
        <f>IFERROR(INDEX(Reference!$H:$H,MATCH("Mutual Fund|"&amp;B17&amp;"|"&amp;C17,Reference!$A:$A,0)),"")</f>
        <v>Thai Balanced</v>
      </c>
      <c r="F17" s="18" t="str">
        <f>IFERROR(INDEX(Reference!$G:$G,MATCH("Mutual Fund|"&amp;B17&amp;"|"&amp;C17,Reference!$A:$A,0)),"")</f>
        <v>Thailand</v>
      </c>
      <c r="G17" s="18" t="str">
        <f>IFERROR(INDEX(Reference!$I:$I,MATCH("Mutual Fund|"&amp;B17&amp;"|"&amp;C17,Reference!$A:$A,0)),"")</f>
        <v>RMF</v>
      </c>
      <c r="H17" s="44">
        <f>COUNTIFS('MF - Lots'!$C:$C,B17)</f>
        <v>21</v>
      </c>
      <c r="I17" s="41">
        <f>SUMIFS('MF - Lots'!$L:$L,'MF - Lots'!$C:$C,B17)</f>
        <v>16015.755600000004</v>
      </c>
      <c r="J17" s="10">
        <f>SUMIFS('MF - Lots'!$O:$O,'MF - Lots'!$C:$C,B17)</f>
        <v>915000</v>
      </c>
      <c r="K17" s="10">
        <f>SUMIFS('MF - Lots'!$P:$P,'MF - Lots'!$C:$C,B17)</f>
        <v>847534.56744528003</v>
      </c>
      <c r="L17" s="12">
        <f t="shared" si="0"/>
        <v>-67465.43255471997</v>
      </c>
      <c r="M17" s="11">
        <f t="shared" si="1"/>
        <v>-7.3732713174557346E-2</v>
      </c>
    </row>
    <row r="18" spans="1:13" ht="15" customHeight="1" x14ac:dyDescent="0.2">
      <c r="A18" s="35">
        <v>14</v>
      </c>
      <c r="B18" s="35" t="s">
        <v>146</v>
      </c>
      <c r="C18" s="35" t="s">
        <v>141</v>
      </c>
      <c r="D18" s="18" t="str">
        <f>IFERROR(INDEX(Reference!$E:$E,MATCH("Mutual Fund|"&amp;B18&amp;"|"&amp;C18,Reference!$A:$A,0)),"")</f>
        <v>Fixed Income</v>
      </c>
      <c r="E18" s="18" t="str">
        <f>IFERROR(INDEX(Reference!$H:$H,MATCH("Mutual Fund|"&amp;B18&amp;"|"&amp;C18,Reference!$A:$A,0)),"")</f>
        <v>TH Gov Bond</v>
      </c>
      <c r="F18" s="18" t="str">
        <f>IFERROR(INDEX(Reference!$G:$G,MATCH("Mutual Fund|"&amp;B18&amp;"|"&amp;C18,Reference!$A:$A,0)),"")</f>
        <v>Thailand</v>
      </c>
      <c r="G18" s="18" t="str">
        <f>IFERROR(INDEX(Reference!$I:$I,MATCH("Mutual Fund|"&amp;B18&amp;"|"&amp;C18,Reference!$A:$A,0)),"")</f>
        <v>RMF</v>
      </c>
      <c r="H18" s="44">
        <f>COUNTIFS('MF - Lots'!$C:$C,B18)</f>
        <v>13</v>
      </c>
      <c r="I18" s="41">
        <f>SUMIFS('MF - Lots'!$L:$L,'MF - Lots'!$C:$C,B18)</f>
        <v>22751.140500000001</v>
      </c>
      <c r="J18" s="10">
        <f>SUMIFS('MF - Lots'!$O:$O,'MF - Lots'!$C:$C,B18)</f>
        <v>330000</v>
      </c>
      <c r="K18" s="10">
        <f>SUMIFS('MF - Lots'!$P:$P,'MF - Lots'!$C:$C,B18)</f>
        <v>373528.22472899989</v>
      </c>
      <c r="L18" s="12">
        <f t="shared" si="0"/>
        <v>43528.224728999892</v>
      </c>
      <c r="M18" s="11">
        <f t="shared" si="1"/>
        <v>0.13190371129999967</v>
      </c>
    </row>
    <row r="19" spans="1:13" ht="15" customHeight="1" x14ac:dyDescent="0.2">
      <c r="A19" s="35">
        <v>15</v>
      </c>
      <c r="B19" s="35" t="s">
        <v>147</v>
      </c>
      <c r="C19" s="35" t="s">
        <v>148</v>
      </c>
      <c r="D19" s="18" t="str">
        <f>IFERROR(INDEX(Reference!$E:$E,MATCH("Mutual Fund|"&amp;B19&amp;"|"&amp;C19,Reference!$A:$A,0)),"")</f>
        <v>Cash &amp; Equivalents</v>
      </c>
      <c r="E19" s="18" t="str">
        <f>IFERROR(INDEX(Reference!$H:$H,MATCH("Mutual Fund|"&amp;B19&amp;"|"&amp;C19,Reference!$A:$A,0)),"")</f>
        <v>TH Money Market</v>
      </c>
      <c r="F19" s="18" t="str">
        <f>IFERROR(INDEX(Reference!$G:$G,MATCH("Mutual Fund|"&amp;B19&amp;"|"&amp;C19,Reference!$A:$A,0)),"")</f>
        <v>Thailand</v>
      </c>
      <c r="G19" s="18" t="str">
        <f>IFERROR(INDEX(Reference!$I:$I,MATCH("Mutual Fund|"&amp;B19&amp;"|"&amp;C19,Reference!$A:$A,0)),"")</f>
        <v>Open-Ended</v>
      </c>
      <c r="H19" s="44">
        <f>COUNTIFS('MF - Lots'!$C:$C,B19)</f>
        <v>3</v>
      </c>
      <c r="I19" s="41">
        <f>SUMIFS('MF - Lots'!$L:$L,'MF - Lots'!$C:$C,B19)</f>
        <v>27.2074</v>
      </c>
      <c r="J19" s="10">
        <f>SUMIFS('MF - Lots'!$O:$O,'MF - Lots'!$C:$C,B19)</f>
        <v>600</v>
      </c>
      <c r="K19" s="10">
        <f>SUMIFS('MF - Lots'!$P:$P,'MF - Lots'!$C:$C,B19)</f>
        <v>636.60690741999997</v>
      </c>
      <c r="L19" s="12">
        <f t="shared" si="0"/>
        <v>36.60690741999997</v>
      </c>
      <c r="M19" s="11">
        <f t="shared" si="1"/>
        <v>6.1011512366666618E-2</v>
      </c>
    </row>
    <row r="20" spans="1:13" ht="15" customHeight="1" x14ac:dyDescent="0.2">
      <c r="A20" s="35">
        <v>16</v>
      </c>
      <c r="B20" s="35" t="s">
        <v>149</v>
      </c>
      <c r="C20" s="35" t="s">
        <v>148</v>
      </c>
      <c r="D20" s="18" t="str">
        <f>IFERROR(INDEX(Reference!$E:$E,MATCH("Mutual Fund|"&amp;B20&amp;"|"&amp;C20,Reference!$A:$A,0)),"")</f>
        <v>Equity</v>
      </c>
      <c r="E20" s="18" t="str">
        <f>IFERROR(INDEX(Reference!$H:$H,MATCH("Mutual Fund|"&amp;B20&amp;"|"&amp;C20,Reference!$A:$A,0)),"")</f>
        <v>US Large Cap</v>
      </c>
      <c r="F20" s="18" t="str">
        <f>IFERROR(INDEX(Reference!$G:$G,MATCH("Mutual Fund|"&amp;B20&amp;"|"&amp;C20,Reference!$A:$A,0)),"")</f>
        <v>United States</v>
      </c>
      <c r="G20" s="18" t="str">
        <f>IFERROR(INDEX(Reference!$I:$I,MATCH("Mutual Fund|"&amp;B20&amp;"|"&amp;C20,Reference!$A:$A,0)),"")</f>
        <v>RMF</v>
      </c>
      <c r="H20" s="44">
        <f>COUNTIFS('MF - Lots'!$C:$C,B20)</f>
        <v>13</v>
      </c>
      <c r="I20" s="41">
        <f>SUMIFS('MF - Lots'!$L:$L,'MF - Lots'!$C:$C,B20)</f>
        <v>84952.979800000001</v>
      </c>
      <c r="J20" s="10">
        <f>SUMIFS('MF - Lots'!$O:$O,'MF - Lots'!$C:$C,B20)</f>
        <v>1700191.5899999999</v>
      </c>
      <c r="K20" s="10">
        <f>SUMIFS('MF - Lots'!$P:$P,'MF - Lots'!$C:$C,B20)</f>
        <v>3530102.1414172803</v>
      </c>
      <c r="L20" s="12">
        <f t="shared" si="0"/>
        <v>1829910.5514172805</v>
      </c>
      <c r="M20" s="11">
        <f t="shared" si="1"/>
        <v>1.0762966727869068</v>
      </c>
    </row>
    <row r="21" spans="1:13" ht="15" customHeight="1" x14ac:dyDescent="0.2">
      <c r="A21" s="35">
        <v>17</v>
      </c>
      <c r="B21" s="35" t="s">
        <v>150</v>
      </c>
      <c r="C21" s="35" t="s">
        <v>151</v>
      </c>
      <c r="D21" s="18" t="str">
        <f>IFERROR(INDEX(Reference!$E:$E,MATCH("Mutual Fund|"&amp;B21&amp;"|"&amp;C21,Reference!$A:$A,0)),"")</f>
        <v>Equity</v>
      </c>
      <c r="E21" s="18" t="str">
        <f>IFERROR(INDEX(Reference!$H:$H,MATCH("Mutual Fund|"&amp;B21&amp;"|"&amp;C21,Reference!$A:$A,0)),"")</f>
        <v>China Equity</v>
      </c>
      <c r="F21" s="18" t="str">
        <f>IFERROR(INDEX(Reference!$G:$G,MATCH("Mutual Fund|"&amp;B21&amp;"|"&amp;C21,Reference!$A:$A,0)),"")</f>
        <v>China</v>
      </c>
      <c r="G21" s="18" t="str">
        <f>IFERROR(INDEX(Reference!$I:$I,MATCH("Mutual Fund|"&amp;B21&amp;"|"&amp;C21,Reference!$A:$A,0)),"")</f>
        <v>Open-Ended</v>
      </c>
      <c r="H21" s="44">
        <f>COUNTIFS('MF - Lots'!$C:$C,B21)</f>
        <v>1</v>
      </c>
      <c r="I21" s="41">
        <f>SUMIFS('MF - Lots'!$L:$L,'MF - Lots'!$C:$C,B21)</f>
        <v>58910.161999999997</v>
      </c>
      <c r="J21" s="10">
        <f>SUMIFS('MF - Lots'!$O:$O,'MF - Lots'!$C:$C,B21)</f>
        <v>1000000</v>
      </c>
      <c r="K21" s="10">
        <f>SUMIFS('MF - Lots'!$P:$P,'MF - Lots'!$C:$C,B21)</f>
        <v>786597.93810499995</v>
      </c>
      <c r="L21" s="12">
        <f t="shared" si="0"/>
        <v>-213402.06189500005</v>
      </c>
      <c r="M21" s="11">
        <f t="shared" si="1"/>
        <v>-0.21340206189500005</v>
      </c>
    </row>
    <row r="22" spans="1:13" ht="15" customHeight="1" x14ac:dyDescent="0.2">
      <c r="A22" s="35">
        <v>18</v>
      </c>
      <c r="B22" s="35" t="s">
        <v>152</v>
      </c>
      <c r="C22" s="35" t="s">
        <v>151</v>
      </c>
      <c r="D22" s="18" t="str">
        <f>IFERROR(INDEX(Reference!$E:$E,MATCH("Mutual Fund|"&amp;B22&amp;"|"&amp;C22,Reference!$A:$A,0)),"")</f>
        <v>Equity</v>
      </c>
      <c r="E22" s="18" t="str">
        <f>IFERROR(INDEX(Reference!$H:$H,MATCH("Mutual Fund|"&amp;B22&amp;"|"&amp;C22,Reference!$A:$A,0)),"")</f>
        <v>Healthcare</v>
      </c>
      <c r="F22" s="18" t="str">
        <f>IFERROR(INDEX(Reference!$G:$G,MATCH("Mutual Fund|"&amp;B22&amp;"|"&amp;C22,Reference!$A:$A,0)),"")</f>
        <v>Global</v>
      </c>
      <c r="G22" s="18" t="str">
        <f>IFERROR(INDEX(Reference!$I:$I,MATCH("Mutual Fund|"&amp;B22&amp;"|"&amp;C22,Reference!$A:$A,0)),"")</f>
        <v>RMF</v>
      </c>
      <c r="H22" s="44">
        <f>COUNTIFS('MF - Lots'!$C:$C,B22)</f>
        <v>17</v>
      </c>
      <c r="I22" s="41">
        <f>SUMIFS('MF - Lots'!$L:$L,'MF - Lots'!$C:$C,B22)</f>
        <v>84453.872600000017</v>
      </c>
      <c r="J22" s="10">
        <f>SUMIFS('MF - Lots'!$O:$O,'MF - Lots'!$C:$C,B22)</f>
        <v>1045000</v>
      </c>
      <c r="K22" s="10">
        <f>SUMIFS('MF - Lots'!$P:$P,'MF - Lots'!$C:$C,B22)</f>
        <v>1108001.0269629599</v>
      </c>
      <c r="L22" s="12">
        <f t="shared" si="0"/>
        <v>63001.026962959906</v>
      </c>
      <c r="M22" s="11">
        <f t="shared" si="1"/>
        <v>6.0288064079387471E-2</v>
      </c>
    </row>
    <row r="23" spans="1:13" ht="15" customHeight="1" x14ac:dyDescent="0.2">
      <c r="A23" s="35">
        <v>19</v>
      </c>
      <c r="B23" s="35" t="s">
        <v>153</v>
      </c>
      <c r="C23" s="35" t="s">
        <v>151</v>
      </c>
      <c r="D23" s="18" t="str">
        <f>IFERROR(INDEX(Reference!$E:$E,MATCH("Mutual Fund|"&amp;B23&amp;"|"&amp;C23,Reference!$A:$A,0)),"")</f>
        <v>Equity</v>
      </c>
      <c r="E23" s="18" t="str">
        <f>IFERROR(INDEX(Reference!$H:$H,MATCH("Mutual Fund|"&amp;B23&amp;"|"&amp;C23,Reference!$A:$A,0)),"")</f>
        <v>Thai Equity</v>
      </c>
      <c r="F23" s="18" t="str">
        <f>IFERROR(INDEX(Reference!$G:$G,MATCH("Mutual Fund|"&amp;B23&amp;"|"&amp;C23,Reference!$A:$A,0)),"")</f>
        <v>Thailand</v>
      </c>
      <c r="G23" s="18" t="str">
        <f>IFERROR(INDEX(Reference!$I:$I,MATCH("Mutual Fund|"&amp;B23&amp;"|"&amp;C23,Reference!$A:$A,0)),"")</f>
        <v>Thai ESG</v>
      </c>
      <c r="H23" s="44">
        <f>COUNTIFS('MF - Lots'!$C:$C,B23)</f>
        <v>3</v>
      </c>
      <c r="I23" s="41">
        <f>SUMIFS('MF - Lots'!$L:$L,'MF - Lots'!$C:$C,B23)</f>
        <v>38565.209300000002</v>
      </c>
      <c r="J23" s="10">
        <f>SUMIFS('MF - Lots'!$O:$O,'MF - Lots'!$C:$C,B23)</f>
        <v>400000</v>
      </c>
      <c r="K23" s="10">
        <f>SUMIFS('MF - Lots'!$P:$P,'MF - Lots'!$C:$C,B23)</f>
        <v>473935.57012955996</v>
      </c>
      <c r="L23" s="12">
        <f t="shared" si="0"/>
        <v>73935.570129559957</v>
      </c>
      <c r="M23" s="11">
        <f t="shared" si="1"/>
        <v>0.18483892532389989</v>
      </c>
    </row>
    <row r="24" spans="1:13" ht="15" customHeight="1" x14ac:dyDescent="0.2">
      <c r="A24" s="35">
        <v>20</v>
      </c>
      <c r="B24" s="35" t="s">
        <v>154</v>
      </c>
      <c r="C24" s="35" t="s">
        <v>151</v>
      </c>
      <c r="D24" s="18" t="str">
        <f>IFERROR(INDEX(Reference!$E:$E,MATCH("Mutual Fund|"&amp;B24&amp;"|"&amp;C24,Reference!$A:$A,0)),"")</f>
        <v>Equity</v>
      </c>
      <c r="E24" s="18" t="str">
        <f>IFERROR(INDEX(Reference!$H:$H,MATCH("Mutual Fund|"&amp;B24&amp;"|"&amp;C24,Reference!$A:$A,0)),"")</f>
        <v>US Large Cap</v>
      </c>
      <c r="F24" s="18" t="str">
        <f>IFERROR(INDEX(Reference!$G:$G,MATCH("Mutual Fund|"&amp;B24&amp;"|"&amp;C24,Reference!$A:$A,0)),"")</f>
        <v>United States</v>
      </c>
      <c r="G24" s="18" t="str">
        <f>IFERROR(INDEX(Reference!$I:$I,MATCH("Mutual Fund|"&amp;B24&amp;"|"&amp;C24,Reference!$A:$A,0)),"")</f>
        <v>Open-Ended</v>
      </c>
      <c r="H24" s="44">
        <f>COUNTIFS('MF - Lots'!$C:$C,B24)</f>
        <v>1</v>
      </c>
      <c r="I24" s="41">
        <f>SUMIFS('MF - Lots'!$L:$L,'MF - Lots'!$C:$C,B24)</f>
        <v>61110.873399999997</v>
      </c>
      <c r="J24" s="10">
        <f>SUMIFS('MF - Lots'!$O:$O,'MF - Lots'!$C:$C,B24)</f>
        <v>1000000</v>
      </c>
      <c r="K24" s="10">
        <f>SUMIFS('MF - Lots'!$P:$P,'MF - Lots'!$C:$C,B24)</f>
        <v>740847.11822819989</v>
      </c>
      <c r="L24" s="12">
        <f t="shared" si="0"/>
        <v>-259152.88177180011</v>
      </c>
      <c r="M24" s="11">
        <f t="shared" si="1"/>
        <v>-0.25915288177180013</v>
      </c>
    </row>
    <row r="25" spans="1:13" ht="15" customHeight="1" x14ac:dyDescent="0.2">
      <c r="A25" s="35">
        <v>21</v>
      </c>
      <c r="B25" s="35" t="s">
        <v>155</v>
      </c>
      <c r="C25" s="35" t="s">
        <v>151</v>
      </c>
      <c r="D25" s="18" t="str">
        <f>IFERROR(INDEX(Reference!$E:$E,MATCH("Mutual Fund|"&amp;B25&amp;"|"&amp;C25,Reference!$A:$A,0)),"")</f>
        <v>Equity</v>
      </c>
      <c r="E25" s="18" t="str">
        <f>IFERROR(INDEX(Reference!$H:$H,MATCH("Mutual Fund|"&amp;B25&amp;"|"&amp;C25,Reference!$A:$A,0)),"")</f>
        <v>Vietnam Equity</v>
      </c>
      <c r="F25" s="18" t="str">
        <f>IFERROR(INDEX(Reference!$G:$G,MATCH("Mutual Fund|"&amp;B25&amp;"|"&amp;C25,Reference!$A:$A,0)),"")</f>
        <v>Vietnam</v>
      </c>
      <c r="G25" s="18" t="str">
        <f>IFERROR(INDEX(Reference!$I:$I,MATCH("Mutual Fund|"&amp;B25&amp;"|"&amp;C25,Reference!$A:$A,0)),"")</f>
        <v>RMF</v>
      </c>
      <c r="H25" s="44">
        <f>COUNTIFS('MF - Lots'!$C:$C,B25)</f>
        <v>10</v>
      </c>
      <c r="I25" s="41">
        <f>SUMIFS('MF - Lots'!$L:$L,'MF - Lots'!$C:$C,B25)</f>
        <v>118416.53199999998</v>
      </c>
      <c r="J25" s="10">
        <f>SUMIFS('MF - Lots'!$O:$O,'MF - Lots'!$C:$C,B25)</f>
        <v>1100000</v>
      </c>
      <c r="K25" s="10">
        <f>SUMIFS('MF - Lots'!$P:$P,'MF - Lots'!$C:$C,B25)</f>
        <v>1183703.4955251999</v>
      </c>
      <c r="L25" s="12">
        <f t="shared" si="0"/>
        <v>83703.49552519992</v>
      </c>
      <c r="M25" s="11">
        <f t="shared" si="1"/>
        <v>7.6094086841090841E-2</v>
      </c>
    </row>
    <row r="26" spans="1:13" ht="15" customHeight="1" x14ac:dyDescent="0.2">
      <c r="A26" s="35">
        <v>22</v>
      </c>
      <c r="B26" s="35" t="s">
        <v>156</v>
      </c>
      <c r="C26" s="35" t="s">
        <v>151</v>
      </c>
      <c r="D26" s="18" t="str">
        <f>IFERROR(INDEX(Reference!$E:$E,MATCH("Mutual Fund|"&amp;B26&amp;"|"&amp;C26,Reference!$A:$A,0)),"")</f>
        <v>Equity</v>
      </c>
      <c r="E26" s="18" t="str">
        <f>IFERROR(INDEX(Reference!$H:$H,MATCH("Mutual Fund|"&amp;B26&amp;"|"&amp;C26,Reference!$A:$A,0)),"")</f>
        <v>Vietnam Equity</v>
      </c>
      <c r="F26" s="18" t="str">
        <f>IFERROR(INDEX(Reference!$G:$G,MATCH("Mutual Fund|"&amp;B26&amp;"|"&amp;C26,Reference!$A:$A,0)),"")</f>
        <v>Vietnam</v>
      </c>
      <c r="G26" s="18" t="str">
        <f>IFERROR(INDEX(Reference!$I:$I,MATCH("Mutual Fund|"&amp;B26&amp;"|"&amp;C26,Reference!$A:$A,0)),"")</f>
        <v>Open-Ended</v>
      </c>
      <c r="H26" s="44">
        <f>COUNTIFS('MF - Lots'!$C:$C,B26)</f>
        <v>1</v>
      </c>
      <c r="I26" s="41">
        <f>SUMIFS('MF - Lots'!$L:$L,'MF - Lots'!$C:$C,B26)</f>
        <v>8783.7374999999993</v>
      </c>
      <c r="J26" s="10">
        <f>SUMIFS('MF - Lots'!$O:$O,'MF - Lots'!$C:$C,B26)</f>
        <v>115500</v>
      </c>
      <c r="K26" s="10">
        <f>SUMIFS('MF - Lots'!$P:$P,'MF - Lots'!$C:$C,B26)</f>
        <v>123211.24265999999</v>
      </c>
      <c r="L26" s="12">
        <f t="shared" si="0"/>
        <v>7711.242659999989</v>
      </c>
      <c r="M26" s="11">
        <f t="shared" si="1"/>
        <v>6.6764005714285618E-2</v>
      </c>
    </row>
    <row r="27" spans="1:13" ht="15" customHeight="1" x14ac:dyDescent="0.2">
      <c r="A27" s="35">
        <v>23</v>
      </c>
      <c r="B27" s="35" t="s">
        <v>157</v>
      </c>
      <c r="C27" s="35" t="s">
        <v>158</v>
      </c>
      <c r="D27" s="18" t="str">
        <f>IFERROR(INDEX(Reference!$E:$E,MATCH("Mutual Fund|"&amp;B27&amp;"|"&amp;C27,Reference!$A:$A,0)),"")</f>
        <v>Equity</v>
      </c>
      <c r="E27" s="18" t="str">
        <f>IFERROR(INDEX(Reference!$H:$H,MATCH("Mutual Fund|"&amp;B27&amp;"|"&amp;C27,Reference!$A:$A,0)),"")</f>
        <v>Thai SET50</v>
      </c>
      <c r="F27" s="18" t="str">
        <f>IFERROR(INDEX(Reference!$G:$G,MATCH("Mutual Fund|"&amp;B27&amp;"|"&amp;C27,Reference!$A:$A,0)),"")</f>
        <v>Thailand</v>
      </c>
      <c r="G27" s="18" t="str">
        <f>IFERROR(INDEX(Reference!$I:$I,MATCH("Mutual Fund|"&amp;B27&amp;"|"&amp;C27,Reference!$A:$A,0)),"")</f>
        <v>LTF</v>
      </c>
      <c r="H27" s="44">
        <f>COUNTIFS('MF - Lots'!$C:$C,B27)</f>
        <v>5</v>
      </c>
      <c r="I27" s="41">
        <f>SUMIFS('MF - Lots'!$L:$L,'MF - Lots'!$C:$C,B27)</f>
        <v>13573.6898</v>
      </c>
      <c r="J27" s="10">
        <f>SUMIFS('MF - Lots'!$O:$O,'MF - Lots'!$C:$C,B27)</f>
        <v>354000</v>
      </c>
      <c r="K27" s="10">
        <f>SUMIFS('MF - Lots'!$P:$P,'MF - Lots'!$C:$C,B27)</f>
        <v>230258.64429128001</v>
      </c>
      <c r="L27" s="12">
        <f t="shared" si="0"/>
        <v>-123741.35570871999</v>
      </c>
      <c r="M27" s="11">
        <f t="shared" si="1"/>
        <v>-0.34955185228451974</v>
      </c>
    </row>
    <row r="28" spans="1:13" ht="15" customHeight="1" x14ac:dyDescent="0.2">
      <c r="A28" s="35">
        <v>24</v>
      </c>
      <c r="B28" s="35" t="s">
        <v>159</v>
      </c>
      <c r="C28" s="35" t="s">
        <v>160</v>
      </c>
      <c r="D28" s="18" t="str">
        <f>IFERROR(INDEX(Reference!$E:$E,MATCH("Mutual Fund|"&amp;B28&amp;"|"&amp;C28,Reference!$A:$A,0)),"")</f>
        <v>Alternatives</v>
      </c>
      <c r="E28" s="18" t="str">
        <f>IFERROR(INDEX(Reference!$H:$H,MATCH("Mutual Fund|"&amp;B28&amp;"|"&amp;C28,Reference!$A:$A,0)),"")</f>
        <v>Gold</v>
      </c>
      <c r="F28" s="18" t="str">
        <f>IFERROR(INDEX(Reference!$G:$G,MATCH("Mutual Fund|"&amp;B28&amp;"|"&amp;C28,Reference!$A:$A,0)),"")</f>
        <v>Global</v>
      </c>
      <c r="G28" s="18" t="str">
        <f>IFERROR(INDEX(Reference!$I:$I,MATCH("Mutual Fund|"&amp;B28&amp;"|"&amp;C28,Reference!$A:$A,0)),"")</f>
        <v>Open-Ended</v>
      </c>
      <c r="H28" s="44">
        <f>COUNTIFS('MF - Lots'!$C:$C,B28)</f>
        <v>1</v>
      </c>
      <c r="I28" s="41">
        <f>SUMIFS('MF - Lots'!$L:$L,'MF - Lots'!$C:$C,B28)</f>
        <v>38.540399999999998</v>
      </c>
      <c r="J28" s="10">
        <f>SUMIFS('MF - Lots'!$O:$O,'MF - Lots'!$C:$C,B28)</f>
        <v>400</v>
      </c>
      <c r="K28" s="10">
        <f>SUMIFS('MF - Lots'!$P:$P,'MF - Lots'!$C:$C,B28)</f>
        <v>774.73526675999994</v>
      </c>
      <c r="L28" s="12">
        <f t="shared" si="0"/>
        <v>374.73526675999994</v>
      </c>
      <c r="M28" s="11">
        <f t="shared" si="1"/>
        <v>0.93683816689999988</v>
      </c>
    </row>
    <row r="29" spans="1:13" ht="15" customHeight="1" x14ac:dyDescent="0.2">
      <c r="A29" s="35">
        <v>25</v>
      </c>
      <c r="B29" s="35" t="s">
        <v>161</v>
      </c>
      <c r="C29" s="35" t="s">
        <v>160</v>
      </c>
      <c r="D29" s="18" t="str">
        <f>IFERROR(INDEX(Reference!$E:$E,MATCH("Mutual Fund|"&amp;B29&amp;"|"&amp;C29,Reference!$A:$A,0)),"")</f>
        <v>Equity</v>
      </c>
      <c r="E29" s="18" t="str">
        <f>IFERROR(INDEX(Reference!$H:$H,MATCH("Mutual Fund|"&amp;B29&amp;"|"&amp;C29,Reference!$A:$A,0)),"")</f>
        <v>Korea</v>
      </c>
      <c r="F29" s="18" t="str">
        <f>IFERROR(INDEX(Reference!$G:$G,MATCH("Mutual Fund|"&amp;B29&amp;"|"&amp;C29,Reference!$A:$A,0)),"")</f>
        <v>South Korea</v>
      </c>
      <c r="G29" s="18" t="str">
        <f>IFERROR(INDEX(Reference!$I:$I,MATCH("Mutual Fund|"&amp;B29&amp;"|"&amp;C29,Reference!$A:$A,0)),"")</f>
        <v>Open-Ended</v>
      </c>
      <c r="H29" s="44">
        <f>COUNTIFS('MF - Lots'!$C:$C,B29)</f>
        <v>6</v>
      </c>
      <c r="I29" s="41">
        <f>SUMIFS('MF - Lots'!$L:$L,'MF - Lots'!$C:$C,B29)</f>
        <v>183993.1972</v>
      </c>
      <c r="J29" s="10">
        <f>SUMIFS('MF - Lots'!$O:$O,'MF - Lots'!$C:$C,B29)</f>
        <v>2834000</v>
      </c>
      <c r="K29" s="10">
        <f>SUMIFS('MF - Lots'!$P:$P,'MF - Lots'!$C:$C,B29)</f>
        <v>5189123.3419921603</v>
      </c>
      <c r="L29" s="12">
        <f t="shared" si="0"/>
        <v>2355123.3419921603</v>
      </c>
      <c r="M29" s="11">
        <f t="shared" si="1"/>
        <v>0.8310244678871419</v>
      </c>
    </row>
    <row r="30" spans="1:13" ht="15" customHeight="1" x14ac:dyDescent="0.2">
      <c r="A30" s="35">
        <v>26</v>
      </c>
      <c r="B30" s="35" t="s">
        <v>162</v>
      </c>
      <c r="C30" s="35" t="s">
        <v>160</v>
      </c>
      <c r="D30" s="18" t="str">
        <f>IFERROR(INDEX(Reference!$E:$E,MATCH("Mutual Fund|"&amp;B30&amp;"|"&amp;C30,Reference!$A:$A,0)),"")</f>
        <v>Equity</v>
      </c>
      <c r="E30" s="18" t="str">
        <f>IFERROR(INDEX(Reference!$H:$H,MATCH("Mutual Fund|"&amp;B30&amp;"|"&amp;C30,Reference!$A:$A,0)),"")</f>
        <v>Semiconductor</v>
      </c>
      <c r="F30" s="18" t="str">
        <f>IFERROR(INDEX(Reference!$G:$G,MATCH("Mutual Fund|"&amp;B30&amp;"|"&amp;C30,Reference!$A:$A,0)),"")</f>
        <v>Global</v>
      </c>
      <c r="G30" s="18" t="str">
        <f>IFERROR(INDEX(Reference!$I:$I,MATCH("Mutual Fund|"&amp;B30&amp;"|"&amp;C30,Reference!$A:$A,0)),"")</f>
        <v>Open-Ended</v>
      </c>
      <c r="H30" s="44">
        <f>COUNTIFS('MF - Lots'!$C:$C,B30)</f>
        <v>2</v>
      </c>
      <c r="I30" s="41">
        <f>SUMIFS('MF - Lots'!$L:$L,'MF - Lots'!$C:$C,B30)</f>
        <v>3876.4193999999998</v>
      </c>
      <c r="J30" s="10">
        <f>SUMIFS('MF - Lots'!$O:$O,'MF - Lots'!$C:$C,B30)</f>
        <v>54807.62</v>
      </c>
      <c r="K30" s="10">
        <f>SUMIFS('MF - Lots'!$P:$P,'MF - Lots'!$C:$C,B30)</f>
        <v>145885.55534153996</v>
      </c>
      <c r="L30" s="12">
        <f t="shared" si="0"/>
        <v>91077.935341539967</v>
      </c>
      <c r="M30" s="11">
        <f t="shared" si="1"/>
        <v>1.6617750477313185</v>
      </c>
    </row>
    <row r="31" spans="1:13" ht="15" customHeight="1" x14ac:dyDescent="0.2">
      <c r="A31" s="35">
        <v>27</v>
      </c>
      <c r="B31" s="35" t="s">
        <v>163</v>
      </c>
      <c r="C31" s="35" t="s">
        <v>160</v>
      </c>
      <c r="D31" s="18" t="str">
        <f>IFERROR(INDEX(Reference!$E:$E,MATCH("Mutual Fund|"&amp;B31&amp;"|"&amp;C31,Reference!$A:$A,0)),"")</f>
        <v>Equity</v>
      </c>
      <c r="E31" s="18" t="str">
        <f>IFERROR(INDEX(Reference!$H:$H,MATCH("Mutual Fund|"&amp;B31&amp;"|"&amp;C31,Reference!$A:$A,0)),"")</f>
        <v>Thai Equity</v>
      </c>
      <c r="F31" s="18" t="str">
        <f>IFERROR(INDEX(Reference!$G:$G,MATCH("Mutual Fund|"&amp;B31&amp;"|"&amp;C31,Reference!$A:$A,0)),"")</f>
        <v>Thailand</v>
      </c>
      <c r="G31" s="18" t="str">
        <f>IFERROR(INDEX(Reference!$I:$I,MATCH("Mutual Fund|"&amp;B31&amp;"|"&amp;C31,Reference!$A:$A,0)),"")</f>
        <v>SSF</v>
      </c>
      <c r="H31" s="44">
        <f>COUNTIFS('MF - Lots'!$C:$C,B31)</f>
        <v>2</v>
      </c>
      <c r="I31" s="41">
        <f>SUMIFS('MF - Lots'!$L:$L,'MF - Lots'!$C:$C,B31)</f>
        <v>18058.985099999998</v>
      </c>
      <c r="J31" s="10">
        <f>SUMIFS('MF - Lots'!$O:$O,'MF - Lots'!$C:$C,B31)</f>
        <v>200000</v>
      </c>
      <c r="K31" s="10">
        <f>SUMIFS('MF - Lots'!$P:$P,'MF - Lots'!$C:$C,B31)</f>
        <v>231431.31175203001</v>
      </c>
      <c r="L31" s="12">
        <f t="shared" si="0"/>
        <v>31431.311752030015</v>
      </c>
      <c r="M31" s="11">
        <f t="shared" si="1"/>
        <v>0.15715655876015008</v>
      </c>
    </row>
    <row r="32" spans="1:13" ht="15" customHeight="1" x14ac:dyDescent="0.2">
      <c r="A32" s="35">
        <v>28</v>
      </c>
      <c r="B32" s="35" t="s">
        <v>164</v>
      </c>
      <c r="C32" s="35" t="s">
        <v>160</v>
      </c>
      <c r="D32" s="18" t="str">
        <f>IFERROR(INDEX(Reference!$E:$E,MATCH("Mutual Fund|"&amp;B32&amp;"|"&amp;C32,Reference!$A:$A,0)),"")</f>
        <v>Cash &amp; Equivalents</v>
      </c>
      <c r="E32" s="18" t="str">
        <f>IFERROR(INDEX(Reference!$H:$H,MATCH("Mutual Fund|"&amp;B32&amp;"|"&amp;C32,Reference!$A:$A,0)),"")</f>
        <v>TH Short-Term Bond</v>
      </c>
      <c r="F32" s="18" t="str">
        <f>IFERROR(INDEX(Reference!$G:$G,MATCH("Mutual Fund|"&amp;B32&amp;"|"&amp;C32,Reference!$A:$A,0)),"")</f>
        <v>Thailand</v>
      </c>
      <c r="G32" s="18" t="str">
        <f>IFERROR(INDEX(Reference!$I:$I,MATCH("Mutual Fund|"&amp;B32&amp;"|"&amp;C32,Reference!$A:$A,0)),"")</f>
        <v>Open-Ended</v>
      </c>
      <c r="H32" s="44">
        <f>COUNTIFS('MF - Lots'!$C:$C,B32)</f>
        <v>1</v>
      </c>
      <c r="I32" s="41">
        <f>SUMIFS('MF - Lots'!$L:$L,'MF - Lots'!$C:$C,B32)</f>
        <v>27.7818</v>
      </c>
      <c r="J32" s="10">
        <f>SUMIFS('MF - Lots'!$O:$O,'MF - Lots'!$C:$C,B32)</f>
        <v>600</v>
      </c>
      <c r="K32" s="10">
        <f>SUMIFS('MF - Lots'!$P:$P,'MF - Lots'!$C:$C,B32)</f>
        <v>602.95951811999998</v>
      </c>
      <c r="L32" s="12">
        <f t="shared" si="0"/>
        <v>2.9595181199999843</v>
      </c>
      <c r="M32" s="11">
        <f t="shared" si="1"/>
        <v>4.9325301999999741E-3</v>
      </c>
    </row>
    <row r="33" spans="1:13" ht="15" customHeight="1" x14ac:dyDescent="0.2">
      <c r="A33" s="35">
        <v>29</v>
      </c>
      <c r="B33" s="35" t="s">
        <v>165</v>
      </c>
      <c r="C33" s="35" t="s">
        <v>160</v>
      </c>
      <c r="D33" s="18" t="str">
        <f>IFERROR(INDEX(Reference!$E:$E,MATCH("Mutual Fund|"&amp;B33&amp;"|"&amp;C33,Reference!$A:$A,0)),"")</f>
        <v>Equity</v>
      </c>
      <c r="E33" s="18" t="str">
        <f>IFERROR(INDEX(Reference!$H:$H,MATCH("Mutual Fund|"&amp;B33&amp;"|"&amp;C33,Reference!$A:$A,0)),"")</f>
        <v>Thai Equity</v>
      </c>
      <c r="F33" s="18" t="str">
        <f>IFERROR(INDEX(Reference!$G:$G,MATCH("Mutual Fund|"&amp;B33&amp;"|"&amp;C33,Reference!$A:$A,0)),"")</f>
        <v>Thailand</v>
      </c>
      <c r="G33" s="18" t="str">
        <f>IFERROR(INDEX(Reference!$I:$I,MATCH("Mutual Fund|"&amp;B33&amp;"|"&amp;C33,Reference!$A:$A,0)),"")</f>
        <v>SSF</v>
      </c>
      <c r="H33" s="44">
        <f>COUNTIFS('MF - Lots'!$C:$C,B33)</f>
        <v>2</v>
      </c>
      <c r="I33" s="41">
        <f>SUMIFS('MF - Lots'!$L:$L,'MF - Lots'!$C:$C,B33)</f>
        <v>32697.688200000001</v>
      </c>
      <c r="J33" s="10">
        <f>SUMIFS('MF - Lots'!$O:$O,'MF - Lots'!$C:$C,B33)</f>
        <v>300000</v>
      </c>
      <c r="K33" s="10">
        <f>SUMIFS('MF - Lots'!$P:$P,'MF - Lots'!$C:$C,B33)</f>
        <v>406955.42733720003</v>
      </c>
      <c r="L33" s="12">
        <f t="shared" si="0"/>
        <v>106955.42733720003</v>
      </c>
      <c r="M33" s="11">
        <f t="shared" si="1"/>
        <v>0.35651809112400012</v>
      </c>
    </row>
    <row r="34" spans="1:13" ht="15" customHeight="1" x14ac:dyDescent="0.2">
      <c r="A34" s="35">
        <v>30</v>
      </c>
      <c r="B34" s="35" t="s">
        <v>166</v>
      </c>
      <c r="C34" s="35" t="s">
        <v>167</v>
      </c>
      <c r="D34" s="18" t="str">
        <f>IFERROR(INDEX(Reference!$E:$E,MATCH("Mutual Fund|"&amp;B34&amp;"|"&amp;C34,Reference!$A:$A,0)),"")</f>
        <v>Cash &amp; Equivalents</v>
      </c>
      <c r="E34" s="18" t="str">
        <f>IFERROR(INDEX(Reference!$H:$H,MATCH("Mutual Fund|"&amp;B34&amp;"|"&amp;C34,Reference!$A:$A,0)),"")</f>
        <v>TH Money Market</v>
      </c>
      <c r="F34" s="18" t="str">
        <f>IFERROR(INDEX(Reference!$G:$G,MATCH("Mutual Fund|"&amp;B34&amp;"|"&amp;C34,Reference!$A:$A,0)),"")</f>
        <v>Thailand</v>
      </c>
      <c r="G34" s="18" t="str">
        <f>IFERROR(INDEX(Reference!$I:$I,MATCH("Mutual Fund|"&amp;B34&amp;"|"&amp;C34,Reference!$A:$A,0)),"")</f>
        <v>Open-Ended</v>
      </c>
      <c r="H34" s="44">
        <f>COUNTIFS('MF - Lots'!$C:$C,B34)</f>
        <v>1</v>
      </c>
      <c r="I34" s="41">
        <f>SUMIFS('MF - Lots'!$L:$L,'MF - Lots'!$C:$C,B34)</f>
        <v>37.058999999999997</v>
      </c>
      <c r="J34" s="10">
        <f>SUMIFS('MF - Lots'!$O:$O,'MF - Lots'!$C:$C,B34)</f>
        <v>600</v>
      </c>
      <c r="K34" s="10">
        <f>SUMIFS('MF - Lots'!$P:$P,'MF - Lots'!$C:$C,B34)</f>
        <v>600.38544720000004</v>
      </c>
      <c r="L34" s="12">
        <f t="shared" si="0"/>
        <v>0.38544720000004418</v>
      </c>
      <c r="M34" s="11">
        <f t="shared" si="1"/>
        <v>6.4241200000007359E-4</v>
      </c>
    </row>
    <row r="35" spans="1:13" ht="15" customHeight="1" x14ac:dyDescent="0.2">
      <c r="A35" s="35">
        <v>31</v>
      </c>
      <c r="B35" s="35" t="s">
        <v>168</v>
      </c>
      <c r="C35" s="35" t="s">
        <v>167</v>
      </c>
      <c r="D35" s="18" t="str">
        <f>IFERROR(INDEX(Reference!$E:$E,MATCH("Mutual Fund|"&amp;B35&amp;"|"&amp;C35,Reference!$A:$A,0)),"")</f>
        <v>Alternatives</v>
      </c>
      <c r="E35" s="18" t="str">
        <f>IFERROR(INDEX(Reference!$H:$H,MATCH("Mutual Fund|"&amp;B35&amp;"|"&amp;C35,Reference!$A:$A,0)),"")</f>
        <v>Gold</v>
      </c>
      <c r="F35" s="18" t="str">
        <f>IFERROR(INDEX(Reference!$G:$G,MATCH("Mutual Fund|"&amp;B35&amp;"|"&amp;C35,Reference!$A:$A,0)),"")</f>
        <v>Global</v>
      </c>
      <c r="G35" s="18" t="str">
        <f>IFERROR(INDEX(Reference!$I:$I,MATCH("Mutual Fund|"&amp;B35&amp;"|"&amp;C35,Reference!$A:$A,0)),"")</f>
        <v>Open-Ended</v>
      </c>
      <c r="H35" s="44">
        <f>COUNTIFS('MF - Lots'!$C:$C,B35)</f>
        <v>1</v>
      </c>
      <c r="I35" s="41">
        <f>SUMIFS('MF - Lots'!$L:$L,'MF - Lots'!$C:$C,B35)</f>
        <v>17947.392599999999</v>
      </c>
      <c r="J35" s="10">
        <f>SUMIFS('MF - Lots'!$O:$O,'MF - Lots'!$C:$C,B35)</f>
        <v>500000</v>
      </c>
      <c r="K35" s="10">
        <f>SUMIFS('MF - Lots'!$P:$P,'MF - Lots'!$C:$C,B35)</f>
        <v>521249.71276031993</v>
      </c>
      <c r="L35" s="12">
        <f t="shared" si="0"/>
        <v>21249.712760319933</v>
      </c>
      <c r="M35" s="11">
        <f t="shared" si="1"/>
        <v>4.2499425520639865E-2</v>
      </c>
    </row>
    <row r="36" spans="1:13" ht="15" customHeight="1" x14ac:dyDescent="0.2">
      <c r="A36" s="35">
        <v>32</v>
      </c>
      <c r="B36" s="35" t="s">
        <v>169</v>
      </c>
      <c r="C36" s="35" t="s">
        <v>167</v>
      </c>
      <c r="D36" s="18" t="str">
        <f>IFERROR(INDEX(Reference!$E:$E,MATCH("Mutual Fund|"&amp;B36&amp;"|"&amp;C36,Reference!$A:$A,0)),"")</f>
        <v>Fixed Income</v>
      </c>
      <c r="E36" s="18" t="str">
        <f>IFERROR(INDEX(Reference!$H:$H,MATCH("Mutual Fund|"&amp;B36&amp;"|"&amp;C36,Reference!$A:$A,0)),"")</f>
        <v>TH Gov Bond</v>
      </c>
      <c r="F36" s="18" t="str">
        <f>IFERROR(INDEX(Reference!$G:$G,MATCH("Mutual Fund|"&amp;B36&amp;"|"&amp;C36,Reference!$A:$A,0)),"")</f>
        <v>Thailand</v>
      </c>
      <c r="G36" s="18" t="str">
        <f>IFERROR(INDEX(Reference!$I:$I,MATCH("Mutual Fund|"&amp;B36&amp;"|"&amp;C36,Reference!$A:$A,0)),"")</f>
        <v>Thai ESG</v>
      </c>
      <c r="H36" s="44">
        <f>COUNTIFS('MF - Lots'!$C:$C,B36)</f>
        <v>2</v>
      </c>
      <c r="I36" s="41">
        <f>SUMIFS('MF - Lots'!$L:$L,'MF - Lots'!$C:$C,B36)</f>
        <v>56801.513000000006</v>
      </c>
      <c r="J36" s="10">
        <f>SUMIFS('MF - Lots'!$O:$O,'MF - Lots'!$C:$C,B36)</f>
        <v>600000</v>
      </c>
      <c r="K36" s="10">
        <f>SUMIFS('MF - Lots'!$P:$P,'MF - Lots'!$C:$C,B36)</f>
        <v>566197.48158399994</v>
      </c>
      <c r="L36" s="12">
        <f t="shared" si="0"/>
        <v>-33802.518416000064</v>
      </c>
      <c r="M36" s="11">
        <f t="shared" si="1"/>
        <v>-5.6337530693333443E-2</v>
      </c>
    </row>
    <row r="37" spans="1:13" ht="15" customHeight="1" x14ac:dyDescent="0.2">
      <c r="A37" s="35">
        <v>33</v>
      </c>
      <c r="B37" s="35" t="s">
        <v>170</v>
      </c>
      <c r="C37" s="35" t="s">
        <v>167</v>
      </c>
      <c r="D37" s="18" t="str">
        <f>IFERROR(INDEX(Reference!$E:$E,MATCH("Mutual Fund|"&amp;B37&amp;"|"&amp;C37,Reference!$A:$A,0)),"")</f>
        <v>Equity</v>
      </c>
      <c r="E37" s="18" t="str">
        <f>IFERROR(INDEX(Reference!$H:$H,MATCH("Mutual Fund|"&amp;B37&amp;"|"&amp;C37,Reference!$A:$A,0)),"")</f>
        <v>Thai Equity</v>
      </c>
      <c r="F37" s="18" t="str">
        <f>IFERROR(INDEX(Reference!$G:$G,MATCH("Mutual Fund|"&amp;B37&amp;"|"&amp;C37,Reference!$A:$A,0)),"")</f>
        <v>Thailand</v>
      </c>
      <c r="G37" s="18" t="str">
        <f>IFERROR(INDEX(Reference!$I:$I,MATCH("Mutual Fund|"&amp;B37&amp;"|"&amp;C37,Reference!$A:$A,0)),"")</f>
        <v>LTF</v>
      </c>
      <c r="H37" s="44">
        <f>COUNTIFS('MF - Lots'!$C:$C,B37)</f>
        <v>3</v>
      </c>
      <c r="I37" s="41">
        <f>SUMIFS('MF - Lots'!$L:$L,'MF - Lots'!$C:$C,B37)</f>
        <v>2987.6675</v>
      </c>
      <c r="J37" s="10">
        <f>SUMIFS('MF - Lots'!$O:$O,'MF - Lots'!$C:$C,B37)</f>
        <v>85000</v>
      </c>
      <c r="K37" s="10">
        <f>SUMIFS('MF - Lots'!$P:$P,'MF - Lots'!$C:$C,B37)</f>
        <v>66884.912322499993</v>
      </c>
      <c r="L37" s="12">
        <f t="shared" si="0"/>
        <v>-18115.087677500007</v>
      </c>
      <c r="M37" s="11">
        <f t="shared" si="1"/>
        <v>-0.2131186785588236</v>
      </c>
    </row>
    <row r="38" spans="1:13" ht="15" customHeight="1" x14ac:dyDescent="0.2">
      <c r="A38" s="35"/>
      <c r="B38" s="35"/>
      <c r="C38" s="35"/>
      <c r="D38" s="18"/>
      <c r="E38" s="18"/>
      <c r="F38" s="18"/>
      <c r="G38" s="18"/>
      <c r="H38" s="44"/>
      <c r="I38" s="41"/>
      <c r="J38" s="10"/>
      <c r="K38" s="10"/>
      <c r="L38" s="12"/>
      <c r="M38" s="11"/>
    </row>
    <row r="39" spans="1:13" ht="15" customHeight="1" x14ac:dyDescent="0.2">
      <c r="A39" s="13" t="s">
        <v>69</v>
      </c>
      <c r="B39" s="43"/>
      <c r="C39" s="43"/>
      <c r="D39" s="43"/>
      <c r="E39" s="43"/>
      <c r="F39" s="43"/>
      <c r="G39" s="43"/>
      <c r="H39" s="45">
        <f>SUM(H5:H38)</f>
        <v>161</v>
      </c>
      <c r="I39" s="43"/>
      <c r="J39" s="14">
        <f>SUM(J5:J38)</f>
        <v>15095577.879999999</v>
      </c>
      <c r="K39" s="14">
        <f>SUM(K5:K38)</f>
        <v>19021215.728761863</v>
      </c>
      <c r="L39" s="14">
        <f>SUM(L5:L38)</f>
        <v>3925637.8487618598</v>
      </c>
      <c r="M39" s="15">
        <f>IFERROR(L39/J39,0)</f>
        <v>0.2600521742173848</v>
      </c>
    </row>
  </sheetData>
  <autoFilter ref="A4:M38" xr:uid="{00000000-0009-0000-0000-000006000000}"/>
  <mergeCells count="1">
    <mergeCell ref="A2:M2"/>
  </mergeCells>
  <conditionalFormatting sqref="L5:M38">
    <cfRule type="cellIs" dxfId="4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P53"/>
  <sheetViews>
    <sheetView showGridLines="0" zoomScaleNormal="100" workbookViewId="0">
      <pane xSplit="3" ySplit="4" topLeftCell="D18" activePane="bottomRight" state="frozen"/>
      <selection pane="topRight" activeCell="D1" sqref="D1"/>
      <selection pane="bottomLeft" activeCell="A28" sqref="A28"/>
      <selection pane="bottomRight" activeCell="M18" activeCellId="5" sqref="M51 M45 M44 M24 M23 M18"/>
    </sheetView>
  </sheetViews>
  <sheetFormatPr baseColWidth="10" defaultColWidth="8.6640625" defaultRowHeight="15" x14ac:dyDescent="0.2"/>
  <cols>
    <col min="1" max="1" width="5" customWidth="1"/>
    <col min="2" max="2" width="22" customWidth="1"/>
    <col min="3" max="3" width="14" customWidth="1"/>
    <col min="4" max="4" width="10" customWidth="1"/>
    <col min="5" max="5" width="20" customWidth="1"/>
    <col min="6" max="6" width="18" customWidth="1"/>
    <col min="7" max="7" width="22" customWidth="1"/>
    <col min="8" max="8" width="14" customWidth="1"/>
    <col min="9" max="10" width="16" customWidth="1"/>
    <col min="11" max="11" width="10" customWidth="1"/>
    <col min="12" max="14" width="16" customWidth="1"/>
    <col min="15" max="15" width="10" customWidth="1"/>
    <col min="16" max="16" width="26" customWidth="1"/>
  </cols>
  <sheetData>
    <row r="2" spans="1:16" ht="30" customHeight="1" x14ac:dyDescent="0.2">
      <c r="A2" s="49" t="s">
        <v>260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4" spans="1:16" ht="42" customHeight="1" x14ac:dyDescent="0.2">
      <c r="A4" s="8" t="s">
        <v>242</v>
      </c>
      <c r="B4" s="8" t="s">
        <v>261</v>
      </c>
      <c r="C4" s="8" t="s">
        <v>262</v>
      </c>
      <c r="D4" s="8" t="s">
        <v>263</v>
      </c>
      <c r="E4" s="8" t="s">
        <v>51</v>
      </c>
      <c r="F4" s="8" t="s">
        <v>56</v>
      </c>
      <c r="G4" s="8" t="s">
        <v>88</v>
      </c>
      <c r="H4" s="8" t="s">
        <v>264</v>
      </c>
      <c r="I4" s="8" t="s">
        <v>265</v>
      </c>
      <c r="J4" s="8" t="s">
        <v>266</v>
      </c>
      <c r="K4" s="8" t="s">
        <v>267</v>
      </c>
      <c r="L4" s="8" t="s">
        <v>252</v>
      </c>
      <c r="M4" s="8" t="s">
        <v>253</v>
      </c>
      <c r="N4" s="8" t="s">
        <v>254</v>
      </c>
      <c r="O4" s="8" t="s">
        <v>115</v>
      </c>
      <c r="P4" s="8" t="s">
        <v>255</v>
      </c>
    </row>
    <row r="5" spans="1:16" ht="15" customHeight="1" x14ac:dyDescent="0.2">
      <c r="A5" s="35">
        <v>1</v>
      </c>
      <c r="B5" s="35" t="s">
        <v>172</v>
      </c>
      <c r="C5" s="35" t="s">
        <v>171</v>
      </c>
      <c r="D5" s="34" t="s">
        <v>9</v>
      </c>
      <c r="E5" s="18" t="str">
        <f>IFERROR(INDEX(Reference!$E:$E,MATCH("Equity|"&amp;C5&amp;"|"&amp;B5,Reference!$A:$A,0)),"")</f>
        <v>Equity</v>
      </c>
      <c r="F5" s="18" t="str">
        <f>IFERROR(INDEX(Reference!$G:$G,MATCH("Equity|"&amp;C5&amp;"|"&amp;B5,Reference!$A:$A,0)),"")</f>
        <v>Thailand</v>
      </c>
      <c r="G5" s="18" t="str">
        <f>IFERROR(INDEX(Reference!$H:$H,MATCH("Equity|"&amp;C5&amp;"|"&amp;B5,Reference!$A:$A,0)),"")</f>
        <v>Thai Single Stock</v>
      </c>
      <c r="H5" s="40">
        <v>8000</v>
      </c>
      <c r="I5" s="40">
        <v>23.73981375</v>
      </c>
      <c r="J5" s="41">
        <f>IFERROR(INDEX(Prices!$E:$E,MATCH("Equity|"&amp;C5&amp;"|"&amp;B5,Prices!$A:$A,0)),0)</f>
        <v>5.7</v>
      </c>
      <c r="K5" s="39">
        <f t="shared" ref="K5:K51" si="0">IF(D5="THB",1,FXRate)</f>
        <v>1</v>
      </c>
      <c r="L5" s="12">
        <f t="shared" ref="L5:L51" si="1">IFERROR(H5*I5*K5,0)</f>
        <v>189918.51</v>
      </c>
      <c r="M5" s="12">
        <f t="shared" ref="M5:M51" si="2">IFERROR(H5*J5*K5,0)</f>
        <v>45600</v>
      </c>
      <c r="N5" s="12">
        <f t="shared" ref="N5:N51" si="3">M5-L5</f>
        <v>-144318.51</v>
      </c>
      <c r="O5" s="11">
        <f t="shared" ref="O5:O51" si="4">IFERROR(N5/L5,0)</f>
        <v>-0.75989702109604795</v>
      </c>
      <c r="P5" s="35"/>
    </row>
    <row r="6" spans="1:16" ht="15" customHeight="1" x14ac:dyDescent="0.2">
      <c r="A6" s="35">
        <v>2</v>
      </c>
      <c r="B6" s="35" t="s">
        <v>172</v>
      </c>
      <c r="C6" s="35" t="s">
        <v>173</v>
      </c>
      <c r="D6" s="34" t="s">
        <v>9</v>
      </c>
      <c r="E6" s="18" t="str">
        <f>IFERROR(INDEX(Reference!$E:$E,MATCH("Equity|"&amp;C6&amp;"|"&amp;B6,Reference!$A:$A,0)),"")</f>
        <v>Equity</v>
      </c>
      <c r="F6" s="18" t="str">
        <f>IFERROR(INDEX(Reference!$G:$G,MATCH("Equity|"&amp;C6&amp;"|"&amp;B6,Reference!$A:$A,0)),"")</f>
        <v>Thailand</v>
      </c>
      <c r="G6" s="18" t="str">
        <f>IFERROR(INDEX(Reference!$H:$H,MATCH("Equity|"&amp;C6&amp;"|"&amp;B6,Reference!$A:$A,0)),"")</f>
        <v>Thai Single Stock</v>
      </c>
      <c r="H6" s="40">
        <v>500</v>
      </c>
      <c r="I6" s="40">
        <v>222.37484000000001</v>
      </c>
      <c r="J6" s="41">
        <f>IFERROR(INDEX(Prices!$E:$E,MATCH("Equity|"&amp;C6&amp;"|"&amp;B6,Prices!$A:$A,0)),0)</f>
        <v>173</v>
      </c>
      <c r="K6" s="39">
        <f t="shared" si="0"/>
        <v>1</v>
      </c>
      <c r="L6" s="12">
        <f t="shared" si="1"/>
        <v>111187.42</v>
      </c>
      <c r="M6" s="12">
        <f t="shared" si="2"/>
        <v>86500</v>
      </c>
      <c r="N6" s="12">
        <f t="shared" si="3"/>
        <v>-24687.42</v>
      </c>
      <c r="O6" s="11">
        <f t="shared" si="4"/>
        <v>-0.22203429128942823</v>
      </c>
      <c r="P6" s="35"/>
    </row>
    <row r="7" spans="1:16" ht="15" customHeight="1" x14ac:dyDescent="0.2">
      <c r="A7" s="35">
        <v>3</v>
      </c>
      <c r="B7" s="35" t="s">
        <v>172</v>
      </c>
      <c r="C7" s="35" t="s">
        <v>174</v>
      </c>
      <c r="D7" s="34" t="s">
        <v>9</v>
      </c>
      <c r="E7" s="18" t="str">
        <f>IFERROR(INDEX(Reference!$E:$E,MATCH("Equity|"&amp;C7&amp;"|"&amp;B7,Reference!$A:$A,0)),"")</f>
        <v>Equity</v>
      </c>
      <c r="F7" s="18" t="str">
        <f>IFERROR(INDEX(Reference!$G:$G,MATCH("Equity|"&amp;C7&amp;"|"&amp;B7,Reference!$A:$A,0)),"")</f>
        <v>Thailand</v>
      </c>
      <c r="G7" s="18" t="str">
        <f>IFERROR(INDEX(Reference!$H:$H,MATCH("Equity|"&amp;C7&amp;"|"&amp;B7,Reference!$A:$A,0)),"")</f>
        <v>Thai Single Stock</v>
      </c>
      <c r="H7" s="40">
        <v>20000</v>
      </c>
      <c r="I7" s="40">
        <v>2.003377</v>
      </c>
      <c r="J7" s="41">
        <f>IFERROR(INDEX(Prices!$E:$E,MATCH("Equity|"&amp;C7&amp;"|"&amp;B7,Prices!$A:$A,0)),0)</f>
        <v>0.44</v>
      </c>
      <c r="K7" s="39">
        <f t="shared" si="0"/>
        <v>1</v>
      </c>
      <c r="L7" s="12">
        <f t="shared" si="1"/>
        <v>40067.54</v>
      </c>
      <c r="M7" s="12">
        <f t="shared" si="2"/>
        <v>8800</v>
      </c>
      <c r="N7" s="12">
        <f t="shared" si="3"/>
        <v>-31267.54</v>
      </c>
      <c r="O7" s="11">
        <f t="shared" si="4"/>
        <v>-0.78037084383019273</v>
      </c>
      <c r="P7" s="35"/>
    </row>
    <row r="8" spans="1:16" ht="15" customHeight="1" x14ac:dyDescent="0.2">
      <c r="A8" s="35">
        <v>4</v>
      </c>
      <c r="B8" s="35" t="s">
        <v>172</v>
      </c>
      <c r="C8" s="35" t="s">
        <v>175</v>
      </c>
      <c r="D8" s="34" t="s">
        <v>9</v>
      </c>
      <c r="E8" s="18" t="str">
        <f>IFERROR(INDEX(Reference!$E:$E,MATCH("Equity|"&amp;C8&amp;"|"&amp;B8,Reference!$A:$A,0)),"")</f>
        <v>Equity</v>
      </c>
      <c r="F8" s="18" t="str">
        <f>IFERROR(INDEX(Reference!$G:$G,MATCH("Equity|"&amp;C8&amp;"|"&amp;B8,Reference!$A:$A,0)),"")</f>
        <v>Thailand</v>
      </c>
      <c r="G8" s="18" t="str">
        <f>IFERROR(INDEX(Reference!$H:$H,MATCH("Equity|"&amp;C8&amp;"|"&amp;B8,Reference!$A:$A,0)),"")</f>
        <v>Thai Single Stock</v>
      </c>
      <c r="H8" s="40">
        <v>100000</v>
      </c>
      <c r="I8" s="40">
        <v>2.363985</v>
      </c>
      <c r="J8" s="41">
        <f>IFERROR(INDEX(Prices!$E:$E,MATCH("Equity|"&amp;C8&amp;"|"&amp;B8,Prices!$A:$A,0)),0)</f>
        <v>0.32</v>
      </c>
      <c r="K8" s="39">
        <f t="shared" si="0"/>
        <v>1</v>
      </c>
      <c r="L8" s="12">
        <f t="shared" si="1"/>
        <v>236398.5</v>
      </c>
      <c r="M8" s="12">
        <f t="shared" si="2"/>
        <v>32000</v>
      </c>
      <c r="N8" s="12">
        <f t="shared" si="3"/>
        <v>-204398.5</v>
      </c>
      <c r="O8" s="11">
        <f t="shared" si="4"/>
        <v>-0.86463535090112675</v>
      </c>
      <c r="P8" s="35"/>
    </row>
    <row r="9" spans="1:16" ht="15" customHeight="1" x14ac:dyDescent="0.2">
      <c r="A9" s="35">
        <v>5</v>
      </c>
      <c r="B9" s="35" t="s">
        <v>172</v>
      </c>
      <c r="C9" s="35" t="s">
        <v>176</v>
      </c>
      <c r="D9" s="34" t="s">
        <v>9</v>
      </c>
      <c r="E9" s="18" t="str">
        <f>IFERROR(INDEX(Reference!$E:$E,MATCH("Equity|"&amp;C9&amp;"|"&amp;B9,Reference!$A:$A,0)),"")</f>
        <v>Equity</v>
      </c>
      <c r="F9" s="18" t="str">
        <f>IFERROR(INDEX(Reference!$G:$G,MATCH("Equity|"&amp;C9&amp;"|"&amp;B9,Reference!$A:$A,0)),"")</f>
        <v>Thailand</v>
      </c>
      <c r="G9" s="18" t="str">
        <f>IFERROR(INDEX(Reference!$H:$H,MATCH("Equity|"&amp;C9&amp;"|"&amp;B9,Reference!$A:$A,0)),"")</f>
        <v>Thai Single Stock</v>
      </c>
      <c r="H9" s="40">
        <v>66</v>
      </c>
      <c r="I9" s="40">
        <v>0</v>
      </c>
      <c r="J9" s="41">
        <f>IFERROR(INDEX(Prices!$E:$E,MATCH("Equity|"&amp;C9&amp;"|"&amp;B9,Prices!$A:$A,0)),0)</f>
        <v>0.05</v>
      </c>
      <c r="K9" s="39">
        <f t="shared" si="0"/>
        <v>1</v>
      </c>
      <c r="L9" s="12">
        <f t="shared" si="1"/>
        <v>0</v>
      </c>
      <c r="M9" s="12">
        <f t="shared" si="2"/>
        <v>3.3000000000000003</v>
      </c>
      <c r="N9" s="12">
        <f t="shared" si="3"/>
        <v>3.3000000000000003</v>
      </c>
      <c r="O9" s="11">
        <f t="shared" si="4"/>
        <v>0</v>
      </c>
      <c r="P9" s="35"/>
    </row>
    <row r="10" spans="1:16" ht="15" customHeight="1" x14ac:dyDescent="0.2">
      <c r="A10" s="35">
        <v>6</v>
      </c>
      <c r="B10" s="35" t="s">
        <v>172</v>
      </c>
      <c r="C10" s="35" t="s">
        <v>178</v>
      </c>
      <c r="D10" s="34" t="s">
        <v>9</v>
      </c>
      <c r="E10" s="18" t="str">
        <f>IFERROR(INDEX(Reference!$E:$E,MATCH("Equity|"&amp;C10&amp;"|"&amp;B10,Reference!$A:$A,0)),"")</f>
        <v>Equity</v>
      </c>
      <c r="F10" s="18" t="str">
        <f>IFERROR(INDEX(Reference!$G:$G,MATCH("Equity|"&amp;C10&amp;"|"&amp;B10,Reference!$A:$A,0)),"")</f>
        <v>Thailand</v>
      </c>
      <c r="G10" s="18" t="str">
        <f>IFERROR(INDEX(Reference!$H:$H,MATCH("Equity|"&amp;C10&amp;"|"&amp;B10,Reference!$A:$A,0)),"")</f>
        <v>Thai Single Stock</v>
      </c>
      <c r="H10" s="40">
        <v>100000</v>
      </c>
      <c r="I10" s="40">
        <v>0.32053799999999999</v>
      </c>
      <c r="J10" s="41">
        <f>IFERROR(INDEX(Prices!$E:$E,MATCH("Equity|"&amp;C10&amp;"|"&amp;B10,Prices!$A:$A,0)),0)</f>
        <v>0.09</v>
      </c>
      <c r="K10" s="39">
        <f t="shared" si="0"/>
        <v>1</v>
      </c>
      <c r="L10" s="12">
        <f t="shared" si="1"/>
        <v>32053.8</v>
      </c>
      <c r="M10" s="12">
        <f t="shared" si="2"/>
        <v>9000</v>
      </c>
      <c r="N10" s="12">
        <f t="shared" si="3"/>
        <v>-23053.8</v>
      </c>
      <c r="O10" s="11">
        <f t="shared" si="4"/>
        <v>-0.71922205791513016</v>
      </c>
      <c r="P10" s="35"/>
    </row>
    <row r="11" spans="1:16" ht="15" customHeight="1" x14ac:dyDescent="0.2">
      <c r="A11" s="35">
        <v>7</v>
      </c>
      <c r="B11" s="35" t="s">
        <v>172</v>
      </c>
      <c r="C11" s="35" t="s">
        <v>179</v>
      </c>
      <c r="D11" s="34" t="s">
        <v>9</v>
      </c>
      <c r="E11" s="18" t="str">
        <f>IFERROR(INDEX(Reference!$E:$E,MATCH("Equity|"&amp;C11&amp;"|"&amp;B11,Reference!$A:$A,0)),"")</f>
        <v>Equity</v>
      </c>
      <c r="F11" s="18" t="str">
        <f>IFERROR(INDEX(Reference!$G:$G,MATCH("Equity|"&amp;C11&amp;"|"&amp;B11,Reference!$A:$A,0)),"")</f>
        <v>Thailand</v>
      </c>
      <c r="G11" s="18" t="str">
        <f>IFERROR(INDEX(Reference!$H:$H,MATCH("Equity|"&amp;C11&amp;"|"&amp;B11,Reference!$A:$A,0)),"")</f>
        <v>Thai Single Stock</v>
      </c>
      <c r="H11" s="40">
        <v>10297</v>
      </c>
      <c r="I11" s="40">
        <v>10.391376128969601</v>
      </c>
      <c r="J11" s="41">
        <f>IFERROR(INDEX(Prices!$E:$E,MATCH("Equity|"&amp;C11&amp;"|"&amp;B11,Prices!$A:$A,0)),0)</f>
        <v>62</v>
      </c>
      <c r="K11" s="39">
        <f t="shared" si="0"/>
        <v>1</v>
      </c>
      <c r="L11" s="12">
        <f t="shared" si="1"/>
        <v>106999.99999999997</v>
      </c>
      <c r="M11" s="12">
        <f t="shared" si="2"/>
        <v>638414</v>
      </c>
      <c r="N11" s="12">
        <f t="shared" si="3"/>
        <v>531414</v>
      </c>
      <c r="O11" s="11">
        <f t="shared" si="4"/>
        <v>4.9664859813084128</v>
      </c>
      <c r="P11" s="35"/>
    </row>
    <row r="12" spans="1:16" ht="15" customHeight="1" x14ac:dyDescent="0.2">
      <c r="A12" s="35">
        <v>8</v>
      </c>
      <c r="B12" s="35" t="s">
        <v>172</v>
      </c>
      <c r="C12" s="35" t="s">
        <v>180</v>
      </c>
      <c r="D12" s="34" t="s">
        <v>9</v>
      </c>
      <c r="E12" s="18" t="str">
        <f>IFERROR(INDEX(Reference!$E:$E,MATCH("Equity|"&amp;C12&amp;"|"&amp;B12,Reference!$A:$A,0)),"")</f>
        <v>Equity</v>
      </c>
      <c r="F12" s="18" t="str">
        <f>IFERROR(INDEX(Reference!$G:$G,MATCH("Equity|"&amp;C12&amp;"|"&amp;B12,Reference!$A:$A,0)),"")</f>
        <v>Thailand</v>
      </c>
      <c r="G12" s="18" t="str">
        <f>IFERROR(INDEX(Reference!$H:$H,MATCH("Equity|"&amp;C12&amp;"|"&amp;B12,Reference!$A:$A,0)),"")</f>
        <v>Thai Single Stock</v>
      </c>
      <c r="H12" s="40">
        <v>5000</v>
      </c>
      <c r="I12" s="40">
        <v>38.063836000000002</v>
      </c>
      <c r="J12" s="41">
        <f>IFERROR(INDEX(Prices!$E:$E,MATCH("Equity|"&amp;C12&amp;"|"&amp;B12,Prices!$A:$A,0)),0)</f>
        <v>9.5</v>
      </c>
      <c r="K12" s="39">
        <f t="shared" si="0"/>
        <v>1</v>
      </c>
      <c r="L12" s="12">
        <f t="shared" si="1"/>
        <v>190319.18000000002</v>
      </c>
      <c r="M12" s="12">
        <f t="shared" si="2"/>
        <v>47500</v>
      </c>
      <c r="N12" s="12">
        <f t="shared" si="3"/>
        <v>-142819.18000000002</v>
      </c>
      <c r="O12" s="11">
        <f t="shared" si="4"/>
        <v>-0.75041926935582637</v>
      </c>
      <c r="P12" s="35"/>
    </row>
    <row r="13" spans="1:16" ht="15" customHeight="1" x14ac:dyDescent="0.2">
      <c r="A13" s="35">
        <v>9</v>
      </c>
      <c r="B13" s="35" t="s">
        <v>172</v>
      </c>
      <c r="C13" s="35" t="s">
        <v>181</v>
      </c>
      <c r="D13" s="34" t="s">
        <v>9</v>
      </c>
      <c r="E13" s="18" t="str">
        <f>IFERROR(INDEX(Reference!$E:$E,MATCH("Equity|"&amp;C13&amp;"|"&amp;B13,Reference!$A:$A,0)),"")</f>
        <v>Equity</v>
      </c>
      <c r="F13" s="18" t="str">
        <f>IFERROR(INDEX(Reference!$G:$G,MATCH("Equity|"&amp;C13&amp;"|"&amp;B13,Reference!$A:$A,0)),"")</f>
        <v>Thailand</v>
      </c>
      <c r="G13" s="18" t="str">
        <f>IFERROR(INDEX(Reference!$H:$H,MATCH("Equity|"&amp;C13&amp;"|"&amp;B13,Reference!$A:$A,0)),"")</f>
        <v>Thai Single Stock</v>
      </c>
      <c r="H13" s="40">
        <v>5000</v>
      </c>
      <c r="I13" s="40">
        <v>28.297456</v>
      </c>
      <c r="J13" s="41">
        <f>IFERROR(INDEX(Prices!$E:$E,MATCH("Equity|"&amp;C13&amp;"|"&amp;B13,Prices!$A:$A,0)),0)</f>
        <v>15.3</v>
      </c>
      <c r="K13" s="39">
        <f t="shared" si="0"/>
        <v>1</v>
      </c>
      <c r="L13" s="12">
        <f t="shared" si="1"/>
        <v>141487.28</v>
      </c>
      <c r="M13" s="12">
        <f t="shared" si="2"/>
        <v>76500</v>
      </c>
      <c r="N13" s="12">
        <f t="shared" si="3"/>
        <v>-64987.28</v>
      </c>
      <c r="O13" s="11">
        <f t="shared" si="4"/>
        <v>-0.45931535329536338</v>
      </c>
      <c r="P13" s="35"/>
    </row>
    <row r="14" spans="1:16" ht="15" customHeight="1" x14ac:dyDescent="0.2">
      <c r="A14" s="35">
        <v>10</v>
      </c>
      <c r="B14" s="35" t="s">
        <v>172</v>
      </c>
      <c r="C14" s="35" t="s">
        <v>182</v>
      </c>
      <c r="D14" s="34" t="s">
        <v>9</v>
      </c>
      <c r="E14" s="18" t="str">
        <f>IFERROR(INDEX(Reference!$E:$E,MATCH("Equity|"&amp;C14&amp;"|"&amp;B14,Reference!$A:$A,0)),"")</f>
        <v>Equity</v>
      </c>
      <c r="F14" s="18" t="str">
        <f>IFERROR(INDEX(Reference!$G:$G,MATCH("Equity|"&amp;C14&amp;"|"&amp;B14,Reference!$A:$A,0)),"")</f>
        <v>Thailand</v>
      </c>
      <c r="G14" s="18" t="str">
        <f>IFERROR(INDEX(Reference!$H:$H,MATCH("Equity|"&amp;C14&amp;"|"&amp;B14,Reference!$A:$A,0)),"")</f>
        <v>Thai Single Stock</v>
      </c>
      <c r="H14" s="40">
        <v>5000</v>
      </c>
      <c r="I14" s="40">
        <v>28.047038000000001</v>
      </c>
      <c r="J14" s="41">
        <f>IFERROR(INDEX(Prices!$E:$E,MATCH("Equity|"&amp;C14&amp;"|"&amp;B14,Prices!$A:$A,0)),0)</f>
        <v>13</v>
      </c>
      <c r="K14" s="39">
        <f t="shared" si="0"/>
        <v>1</v>
      </c>
      <c r="L14" s="12">
        <f t="shared" si="1"/>
        <v>140235.19</v>
      </c>
      <c r="M14" s="12">
        <f t="shared" si="2"/>
        <v>65000</v>
      </c>
      <c r="N14" s="12">
        <f t="shared" si="3"/>
        <v>-75235.19</v>
      </c>
      <c r="O14" s="11">
        <f t="shared" si="4"/>
        <v>-0.53649294445994622</v>
      </c>
      <c r="P14" s="35"/>
    </row>
    <row r="15" spans="1:16" ht="15" customHeight="1" x14ac:dyDescent="0.2">
      <c r="A15" s="35">
        <v>11</v>
      </c>
      <c r="B15" s="35" t="s">
        <v>172</v>
      </c>
      <c r="C15" s="35" t="s">
        <v>183</v>
      </c>
      <c r="D15" s="34" t="s">
        <v>9</v>
      </c>
      <c r="E15" s="18" t="str">
        <f>IFERROR(INDEX(Reference!$E:$E,MATCH("Equity|"&amp;C15&amp;"|"&amp;B15,Reference!$A:$A,0)),"")</f>
        <v>Equity</v>
      </c>
      <c r="F15" s="18" t="str">
        <f>IFERROR(INDEX(Reference!$G:$G,MATCH("Equity|"&amp;C15&amp;"|"&amp;B15,Reference!$A:$A,0)),"")</f>
        <v>Thailand</v>
      </c>
      <c r="G15" s="18" t="str">
        <f>IFERROR(INDEX(Reference!$H:$H,MATCH("Equity|"&amp;C15&amp;"|"&amp;B15,Reference!$A:$A,0)),"")</f>
        <v>Thai Single Stock</v>
      </c>
      <c r="H15" s="40">
        <v>4000</v>
      </c>
      <c r="I15" s="40">
        <v>20.033770000000001</v>
      </c>
      <c r="J15" s="41">
        <f>IFERROR(INDEX(Prices!$E:$E,MATCH("Equity|"&amp;C15&amp;"|"&amp;B15,Prices!$A:$A,0)),0)</f>
        <v>5.5</v>
      </c>
      <c r="K15" s="39">
        <f t="shared" si="0"/>
        <v>1</v>
      </c>
      <c r="L15" s="12">
        <f t="shared" si="1"/>
        <v>80135.08</v>
      </c>
      <c r="M15" s="12">
        <f t="shared" si="2"/>
        <v>22000</v>
      </c>
      <c r="N15" s="12">
        <f t="shared" si="3"/>
        <v>-58135.08</v>
      </c>
      <c r="O15" s="11">
        <f t="shared" si="4"/>
        <v>-0.72546355478774094</v>
      </c>
      <c r="P15" s="35"/>
    </row>
    <row r="16" spans="1:16" ht="15" customHeight="1" x14ac:dyDescent="0.2">
      <c r="A16" s="35">
        <v>12</v>
      </c>
      <c r="B16" s="35" t="s">
        <v>172</v>
      </c>
      <c r="C16" s="35" t="s">
        <v>184</v>
      </c>
      <c r="D16" s="34" t="s">
        <v>9</v>
      </c>
      <c r="E16" s="18" t="str">
        <f>IFERROR(INDEX(Reference!$E:$E,MATCH("Equity|"&amp;C16&amp;"|"&amp;B16,Reference!$A:$A,0)),"")</f>
        <v>Equity</v>
      </c>
      <c r="F16" s="18" t="str">
        <f>IFERROR(INDEX(Reference!$G:$G,MATCH("Equity|"&amp;C16&amp;"|"&amp;B16,Reference!$A:$A,0)),"")</f>
        <v>Thailand</v>
      </c>
      <c r="G16" s="18" t="str">
        <f>IFERROR(INDEX(Reference!$H:$H,MATCH("Equity|"&amp;C16&amp;"|"&amp;B16,Reference!$A:$A,0)),"")</f>
        <v>Thai Single Stock</v>
      </c>
      <c r="H16" s="40">
        <v>3993</v>
      </c>
      <c r="I16" s="40">
        <v>28.4097796143251</v>
      </c>
      <c r="J16" s="41">
        <f>IFERROR(INDEX(Prices!$E:$E,MATCH("Equity|"&amp;C16&amp;"|"&amp;B16,Prices!$A:$A,0)),0)</f>
        <v>21.9</v>
      </c>
      <c r="K16" s="39">
        <f t="shared" si="0"/>
        <v>1</v>
      </c>
      <c r="L16" s="12">
        <f t="shared" si="1"/>
        <v>113440.25000000012</v>
      </c>
      <c r="M16" s="12">
        <f t="shared" si="2"/>
        <v>87446.7</v>
      </c>
      <c r="N16" s="12">
        <f t="shared" si="3"/>
        <v>-25993.550000000119</v>
      </c>
      <c r="O16" s="11">
        <f t="shared" si="4"/>
        <v>-0.22913868754696937</v>
      </c>
      <c r="P16" s="35"/>
    </row>
    <row r="17" spans="1:16" ht="15" customHeight="1" x14ac:dyDescent="0.2">
      <c r="A17" s="35">
        <v>13</v>
      </c>
      <c r="B17" s="35" t="s">
        <v>172</v>
      </c>
      <c r="C17" s="35" t="s">
        <v>185</v>
      </c>
      <c r="D17" s="34" t="s">
        <v>9</v>
      </c>
      <c r="E17" s="18" t="str">
        <f>IFERROR(INDEX(Reference!$E:$E,MATCH("Equity|"&amp;C17&amp;"|"&amp;B17,Reference!$A:$A,0)),"")</f>
        <v>Equity</v>
      </c>
      <c r="F17" s="18" t="str">
        <f>IFERROR(INDEX(Reference!$G:$G,MATCH("Equity|"&amp;C17&amp;"|"&amp;B17,Reference!$A:$A,0)),"")</f>
        <v>Thailand</v>
      </c>
      <c r="G17" s="18" t="str">
        <f>IFERROR(INDEX(Reference!$H:$H,MATCH("Equity|"&amp;C17&amp;"|"&amp;B17,Reference!$A:$A,0)),"")</f>
        <v>Thai Single Stock</v>
      </c>
      <c r="H17" s="40">
        <v>1000</v>
      </c>
      <c r="I17" s="40">
        <v>96.662120000000002</v>
      </c>
      <c r="J17" s="41">
        <f>IFERROR(INDEX(Prices!$E:$E,MATCH("Equity|"&amp;C17&amp;"|"&amp;B17,Prices!$A:$A,0)),0)</f>
        <v>3.54</v>
      </c>
      <c r="K17" s="39">
        <f t="shared" si="0"/>
        <v>1</v>
      </c>
      <c r="L17" s="12">
        <f t="shared" si="1"/>
        <v>96662.12</v>
      </c>
      <c r="M17" s="12">
        <f t="shared" si="2"/>
        <v>3540</v>
      </c>
      <c r="N17" s="12">
        <f t="shared" si="3"/>
        <v>-93122.12</v>
      </c>
      <c r="O17" s="11">
        <f t="shared" si="4"/>
        <v>-0.96337758782861371</v>
      </c>
      <c r="P17" s="35"/>
    </row>
    <row r="18" spans="1:16" ht="15" customHeight="1" x14ac:dyDescent="0.2">
      <c r="A18" s="35">
        <v>14</v>
      </c>
      <c r="B18" s="35" t="s">
        <v>172</v>
      </c>
      <c r="C18" s="35" t="s">
        <v>268</v>
      </c>
      <c r="D18" s="34" t="s">
        <v>9</v>
      </c>
      <c r="E18" s="18" t="str">
        <f>IFERROR(INDEX(Reference!$E:$E,MATCH("Equity|"&amp;C18&amp;"|"&amp;B18,Reference!$A:$A,0)),"")</f>
        <v>Cash &amp; Equivalents</v>
      </c>
      <c r="F18" s="18" t="str">
        <f>IFERROR(INDEX(Reference!$G:$G,MATCH("Equity|"&amp;C18&amp;"|"&amp;B18,Reference!$A:$A,0)),"")</f>
        <v>Thailand</v>
      </c>
      <c r="G18" s="18" t="str">
        <f>IFERROR(INDEX(Reference!$H:$H,MATCH("Equity|"&amp;C18&amp;"|"&amp;B18,Reference!$A:$A,0)),"")</f>
        <v>Brokerage Cash</v>
      </c>
      <c r="H18" s="40">
        <v>191585.49</v>
      </c>
      <c r="I18" s="40">
        <v>1</v>
      </c>
      <c r="J18" s="41">
        <v>1</v>
      </c>
      <c r="K18" s="39">
        <f t="shared" si="0"/>
        <v>1</v>
      </c>
      <c r="L18" s="12">
        <f t="shared" si="1"/>
        <v>191585.49</v>
      </c>
      <c r="M18" s="12">
        <f t="shared" si="2"/>
        <v>191585.49</v>
      </c>
      <c r="N18" s="12">
        <f t="shared" si="3"/>
        <v>0</v>
      </c>
      <c r="O18" s="11">
        <f t="shared" si="4"/>
        <v>0</v>
      </c>
      <c r="P18" s="35"/>
    </row>
    <row r="19" spans="1:16" ht="15" customHeight="1" x14ac:dyDescent="0.2">
      <c r="A19" s="35">
        <v>15</v>
      </c>
      <c r="B19" s="35" t="s">
        <v>187</v>
      </c>
      <c r="C19" s="35" t="s">
        <v>188</v>
      </c>
      <c r="D19" s="34" t="s">
        <v>9</v>
      </c>
      <c r="E19" s="18" t="str">
        <f>IFERROR(INDEX(Reference!$E:$E,MATCH("Equity|"&amp;C19&amp;"|"&amp;B19,Reference!$A:$A,0)),"")</f>
        <v>Equity</v>
      </c>
      <c r="F19" s="18" t="str">
        <f>IFERROR(INDEX(Reference!$G:$G,MATCH("Equity|"&amp;C19&amp;"|"&amp;B19,Reference!$A:$A,0)),"")</f>
        <v>Thailand</v>
      </c>
      <c r="G19" s="18" t="str">
        <f>IFERROR(INDEX(Reference!$H:$H,MATCH("Equity|"&amp;C19&amp;"|"&amp;B19,Reference!$A:$A,0)),"")</f>
        <v>Thai Single Stock</v>
      </c>
      <c r="H19" s="40">
        <v>20000</v>
      </c>
      <c r="I19" s="40">
        <v>7.2120955000000002</v>
      </c>
      <c r="J19" s="41">
        <f>IFERROR(INDEX(Prices!$E:$E,MATCH("Equity|"&amp;C19&amp;"|"&amp;B19,Prices!$A:$A,0)),0)</f>
        <v>2.76</v>
      </c>
      <c r="K19" s="39">
        <f t="shared" si="0"/>
        <v>1</v>
      </c>
      <c r="L19" s="12">
        <f t="shared" si="1"/>
        <v>144241.91</v>
      </c>
      <c r="M19" s="12">
        <f t="shared" si="2"/>
        <v>55199.999999999993</v>
      </c>
      <c r="N19" s="12">
        <f t="shared" si="3"/>
        <v>-89041.91</v>
      </c>
      <c r="O19" s="11">
        <f t="shared" si="4"/>
        <v>-0.61730956003009108</v>
      </c>
      <c r="P19" s="35"/>
    </row>
    <row r="20" spans="1:16" ht="15" customHeight="1" x14ac:dyDescent="0.2">
      <c r="A20" s="35">
        <v>16</v>
      </c>
      <c r="B20" s="35" t="s">
        <v>187</v>
      </c>
      <c r="C20" s="35" t="s">
        <v>189</v>
      </c>
      <c r="D20" s="34" t="s">
        <v>9</v>
      </c>
      <c r="E20" s="18" t="str">
        <f>IFERROR(INDEX(Reference!$E:$E,MATCH("Equity|"&amp;C20&amp;"|"&amp;B20,Reference!$A:$A,0)),"")</f>
        <v>Equity</v>
      </c>
      <c r="F20" s="18" t="str">
        <f>IFERROR(INDEX(Reference!$G:$G,MATCH("Equity|"&amp;C20&amp;"|"&amp;B20,Reference!$A:$A,0)),"")</f>
        <v>Thailand</v>
      </c>
      <c r="G20" s="18" t="str">
        <f>IFERROR(INDEX(Reference!$H:$H,MATCH("Equity|"&amp;C20&amp;"|"&amp;B20,Reference!$A:$A,0)),"")</f>
        <v>Thai Single Stock</v>
      </c>
      <c r="H20" s="40">
        <v>4400</v>
      </c>
      <c r="I20" s="40">
        <v>18</v>
      </c>
      <c r="J20" s="41">
        <f>IFERROR(INDEX(Prices!$E:$E,MATCH("Equity|"&amp;C20&amp;"|"&amp;B20,Prices!$A:$A,0)),0)</f>
        <v>12.4</v>
      </c>
      <c r="K20" s="39">
        <f t="shared" si="0"/>
        <v>1</v>
      </c>
      <c r="L20" s="12">
        <f t="shared" si="1"/>
        <v>79200</v>
      </c>
      <c r="M20" s="12">
        <f t="shared" si="2"/>
        <v>54560</v>
      </c>
      <c r="N20" s="12">
        <f t="shared" si="3"/>
        <v>-24640</v>
      </c>
      <c r="O20" s="11">
        <f t="shared" si="4"/>
        <v>-0.31111111111111112</v>
      </c>
      <c r="P20" s="35"/>
    </row>
    <row r="21" spans="1:16" ht="15" customHeight="1" x14ac:dyDescent="0.2">
      <c r="A21" s="35">
        <v>17</v>
      </c>
      <c r="B21" s="35" t="s">
        <v>187</v>
      </c>
      <c r="C21" s="35" t="s">
        <v>190</v>
      </c>
      <c r="D21" s="34" t="s">
        <v>9</v>
      </c>
      <c r="E21" s="18" t="str">
        <f>IFERROR(INDEX(Reference!$E:$E,MATCH("Equity|"&amp;C21&amp;"|"&amp;B21,Reference!$A:$A,0)),"")</f>
        <v>Equity</v>
      </c>
      <c r="F21" s="18" t="str">
        <f>IFERROR(INDEX(Reference!$G:$G,MATCH("Equity|"&amp;C21&amp;"|"&amp;B21,Reference!$A:$A,0)),"")</f>
        <v>Thailand</v>
      </c>
      <c r="G21" s="18" t="str">
        <f>IFERROR(INDEX(Reference!$H:$H,MATCH("Equity|"&amp;C21&amp;"|"&amp;B21,Reference!$A:$A,0)),"")</f>
        <v>Thai Single Stock</v>
      </c>
      <c r="H21" s="40">
        <v>1254</v>
      </c>
      <c r="I21" s="40">
        <v>29.856299840510399</v>
      </c>
      <c r="J21" s="41">
        <f>IFERROR(INDEX(Prices!$E:$E,MATCH("Equity|"&amp;C21&amp;"|"&amp;B21,Prices!$A:$A,0)),0)</f>
        <v>18.3</v>
      </c>
      <c r="K21" s="39">
        <f t="shared" si="0"/>
        <v>1</v>
      </c>
      <c r="L21" s="12">
        <f t="shared" si="1"/>
        <v>37439.800000000039</v>
      </c>
      <c r="M21" s="12">
        <f t="shared" si="2"/>
        <v>22948.2</v>
      </c>
      <c r="N21" s="12">
        <f t="shared" si="3"/>
        <v>-14491.600000000039</v>
      </c>
      <c r="O21" s="11">
        <f t="shared" si="4"/>
        <v>-0.38706403346171786</v>
      </c>
      <c r="P21" s="35"/>
    </row>
    <row r="22" spans="1:16" ht="15" customHeight="1" x14ac:dyDescent="0.2">
      <c r="A22" s="35">
        <v>18</v>
      </c>
      <c r="B22" s="35" t="s">
        <v>187</v>
      </c>
      <c r="C22" s="35" t="s">
        <v>186</v>
      </c>
      <c r="D22" s="34" t="s">
        <v>9</v>
      </c>
      <c r="E22" s="18" t="str">
        <f>IFERROR(INDEX(Reference!$E:$E,MATCH("Equity|"&amp;C22&amp;"|"&amp;B22,Reference!$A:$A,0)),"")</f>
        <v>Equity</v>
      </c>
      <c r="F22" s="18" t="str">
        <f>IFERROR(INDEX(Reference!$G:$G,MATCH("Equity|"&amp;C22&amp;"|"&amp;B22,Reference!$A:$A,0)),"")</f>
        <v>Thailand</v>
      </c>
      <c r="G22" s="18" t="str">
        <f>IFERROR(INDEX(Reference!$H:$H,MATCH("Equity|"&amp;C22&amp;"|"&amp;B22,Reference!$A:$A,0)),"")</f>
        <v>Thai Single Stock</v>
      </c>
      <c r="H22" s="40">
        <v>10000</v>
      </c>
      <c r="I22" s="40">
        <v>7.867388</v>
      </c>
      <c r="J22" s="41">
        <f>IFERROR(INDEX(Prices!$E:$E,MATCH("Equity|"&amp;C22&amp;"|"&amp;B22,Prices!$A:$A,0)),0)</f>
        <v>4.5999999999999996</v>
      </c>
      <c r="K22" s="39">
        <f t="shared" si="0"/>
        <v>1</v>
      </c>
      <c r="L22" s="12">
        <f t="shared" si="1"/>
        <v>78673.88</v>
      </c>
      <c r="M22" s="12">
        <f t="shared" si="2"/>
        <v>46000</v>
      </c>
      <c r="N22" s="12">
        <f t="shared" si="3"/>
        <v>-32673.880000000005</v>
      </c>
      <c r="O22" s="11">
        <f t="shared" si="4"/>
        <v>-0.41530785058522601</v>
      </c>
      <c r="P22" s="35"/>
    </row>
    <row r="23" spans="1:16" ht="15" customHeight="1" x14ac:dyDescent="0.2">
      <c r="A23" s="35">
        <v>19</v>
      </c>
      <c r="B23" s="35" t="s">
        <v>187</v>
      </c>
      <c r="C23" s="35" t="s">
        <v>268</v>
      </c>
      <c r="D23" s="34" t="s">
        <v>9</v>
      </c>
      <c r="E23" s="18" t="str">
        <f>IFERROR(INDEX(Reference!$E:$E,MATCH("Equity|"&amp;C23&amp;"|"&amp;B23,Reference!$A:$A,0)),"")</f>
        <v>Cash &amp; Equivalents</v>
      </c>
      <c r="F23" s="18" t="str">
        <f>IFERROR(INDEX(Reference!$G:$G,MATCH("Equity|"&amp;C23&amp;"|"&amp;B23,Reference!$A:$A,0)),"")</f>
        <v>Thailand</v>
      </c>
      <c r="G23" s="18" t="str">
        <f>IFERROR(INDEX(Reference!$H:$H,MATCH("Equity|"&amp;C23&amp;"|"&amp;B23,Reference!$A:$A,0)),"")</f>
        <v>Brokerage Cash</v>
      </c>
      <c r="H23" s="40">
        <v>22423.02</v>
      </c>
      <c r="I23" s="40">
        <v>1</v>
      </c>
      <c r="J23" s="41">
        <v>1</v>
      </c>
      <c r="K23" s="39">
        <f t="shared" si="0"/>
        <v>1</v>
      </c>
      <c r="L23" s="12">
        <f t="shared" si="1"/>
        <v>22423.02</v>
      </c>
      <c r="M23" s="12">
        <f t="shared" si="2"/>
        <v>22423.02</v>
      </c>
      <c r="N23" s="12">
        <f t="shared" si="3"/>
        <v>0</v>
      </c>
      <c r="O23" s="11">
        <f t="shared" si="4"/>
        <v>0</v>
      </c>
      <c r="P23" s="35"/>
    </row>
    <row r="24" spans="1:16" ht="15" customHeight="1" x14ac:dyDescent="0.2">
      <c r="A24" s="35">
        <v>20</v>
      </c>
      <c r="B24" s="35" t="s">
        <v>187</v>
      </c>
      <c r="C24" s="35" t="s">
        <v>268</v>
      </c>
      <c r="D24" s="34" t="s">
        <v>9</v>
      </c>
      <c r="E24" s="18" t="str">
        <f>IFERROR(INDEX(Reference!$E:$E,MATCH("Equity|"&amp;C24&amp;"|"&amp;B24,Reference!$A:$A,0)),"")</f>
        <v>Cash &amp; Equivalents</v>
      </c>
      <c r="F24" s="18" t="str">
        <f>IFERROR(INDEX(Reference!$G:$G,MATCH("Equity|"&amp;C24&amp;"|"&amp;B24,Reference!$A:$A,0)),"")</f>
        <v>Thailand</v>
      </c>
      <c r="G24" s="18" t="str">
        <f>IFERROR(INDEX(Reference!$H:$H,MATCH("Equity|"&amp;C24&amp;"|"&amp;B24,Reference!$A:$A,0)),"")</f>
        <v>Brokerage Cash</v>
      </c>
      <c r="H24" s="40">
        <v>93005.03</v>
      </c>
      <c r="I24" s="40">
        <v>1</v>
      </c>
      <c r="J24" s="41">
        <v>1</v>
      </c>
      <c r="K24" s="39">
        <f t="shared" si="0"/>
        <v>1</v>
      </c>
      <c r="L24" s="12">
        <f t="shared" si="1"/>
        <v>93005.03</v>
      </c>
      <c r="M24" s="12">
        <f t="shared" si="2"/>
        <v>93005.03</v>
      </c>
      <c r="N24" s="12">
        <f t="shared" si="3"/>
        <v>0</v>
      </c>
      <c r="O24" s="11">
        <f t="shared" si="4"/>
        <v>0</v>
      </c>
      <c r="P24" s="35"/>
    </row>
    <row r="25" spans="1:16" ht="15" customHeight="1" x14ac:dyDescent="0.2">
      <c r="A25" s="35">
        <v>21</v>
      </c>
      <c r="B25" s="35" t="s">
        <v>192</v>
      </c>
      <c r="C25" s="35" t="s">
        <v>191</v>
      </c>
      <c r="D25" s="34" t="s">
        <v>193</v>
      </c>
      <c r="E25" s="18" t="str">
        <f>IFERROR(INDEX(Reference!$E:$E,MATCH("Equity|"&amp;C25&amp;"|"&amp;B25,Reference!$A:$A,0)),"")</f>
        <v>Equity</v>
      </c>
      <c r="F25" s="18" t="str">
        <f>IFERROR(INDEX(Reference!$G:$G,MATCH("Equity|"&amp;C25&amp;"|"&amp;B25,Reference!$A:$A,0)),"")</f>
        <v>United States</v>
      </c>
      <c r="G25" s="18" t="str">
        <f>IFERROR(INDEX(Reference!$H:$H,MATCH("Equity|"&amp;C25&amp;"|"&amp;B25,Reference!$A:$A,0)),"")</f>
        <v>US Single Stock</v>
      </c>
      <c r="H25" s="40">
        <v>7.0598217999999999</v>
      </c>
      <c r="I25" s="40">
        <v>70.709999999999994</v>
      </c>
      <c r="J25" s="41">
        <f>IFERROR(INDEX(Prices!$E:$E,MATCH("Equity|"&amp;C25&amp;"|"&amp;B25,Prices!$A:$A,0)),0)</f>
        <v>150.41</v>
      </c>
      <c r="K25" s="39">
        <f t="shared" si="0"/>
        <v>32.43</v>
      </c>
      <c r="L25" s="12">
        <f t="shared" si="1"/>
        <v>16189.055983071537</v>
      </c>
      <c r="M25" s="12">
        <f t="shared" si="2"/>
        <v>34436.372654699335</v>
      </c>
      <c r="N25" s="12">
        <f t="shared" si="3"/>
        <v>18247.316671627799</v>
      </c>
      <c r="O25" s="11">
        <f t="shared" si="4"/>
        <v>1.1271390185263754</v>
      </c>
      <c r="P25" s="35"/>
    </row>
    <row r="26" spans="1:16" ht="15" customHeight="1" x14ac:dyDescent="0.2">
      <c r="A26" s="35">
        <v>22</v>
      </c>
      <c r="B26" s="35" t="s">
        <v>192</v>
      </c>
      <c r="C26" s="35" t="s">
        <v>194</v>
      </c>
      <c r="D26" s="34" t="s">
        <v>193</v>
      </c>
      <c r="E26" s="18" t="str">
        <f>IFERROR(INDEX(Reference!$E:$E,MATCH("Equity|"&amp;C26&amp;"|"&amp;B26,Reference!$A:$A,0)),"")</f>
        <v>Equity</v>
      </c>
      <c r="F26" s="18" t="str">
        <f>IFERROR(INDEX(Reference!$G:$G,MATCH("Equity|"&amp;C26&amp;"|"&amp;B26,Reference!$A:$A,0)),"")</f>
        <v>United States</v>
      </c>
      <c r="G26" s="18" t="str">
        <f>IFERROR(INDEX(Reference!$H:$H,MATCH("Equity|"&amp;C26&amp;"|"&amp;B26,Reference!$A:$A,0)),"")</f>
        <v>US Single Stock</v>
      </c>
      <c r="H26" s="40">
        <v>1.1623087999999999</v>
      </c>
      <c r="I26" s="40">
        <v>429.49</v>
      </c>
      <c r="J26" s="41">
        <f>IFERROR(INDEX(Prices!$E:$E,MATCH("Equity|"&amp;C26&amp;"|"&amp;B26,Prices!$A:$A,0)),0)</f>
        <v>259.20999999999998</v>
      </c>
      <c r="K26" s="39">
        <f t="shared" si="0"/>
        <v>32.43</v>
      </c>
      <c r="L26" s="12">
        <f t="shared" si="1"/>
        <v>16189.056211184159</v>
      </c>
      <c r="M26" s="12">
        <f t="shared" si="2"/>
        <v>9770.5773370766383</v>
      </c>
      <c r="N26" s="12">
        <f t="shared" si="3"/>
        <v>-6418.4788741075208</v>
      </c>
      <c r="O26" s="11">
        <f t="shared" si="4"/>
        <v>-0.39647023213578902</v>
      </c>
      <c r="P26" s="35"/>
    </row>
    <row r="27" spans="1:16" ht="15" customHeight="1" x14ac:dyDescent="0.2">
      <c r="A27" s="35">
        <v>23</v>
      </c>
      <c r="B27" s="35" t="s">
        <v>192</v>
      </c>
      <c r="C27" s="35" t="s">
        <v>195</v>
      </c>
      <c r="D27" s="34" t="s">
        <v>193</v>
      </c>
      <c r="E27" s="18" t="str">
        <f>IFERROR(INDEX(Reference!$E:$E,MATCH("Equity|"&amp;C27&amp;"|"&amp;B27,Reference!$A:$A,0)),"")</f>
        <v>Equity</v>
      </c>
      <c r="F27" s="18" t="str">
        <f>IFERROR(INDEX(Reference!$G:$G,MATCH("Equity|"&amp;C27&amp;"|"&amp;B27,Reference!$A:$A,0)),"")</f>
        <v>United States</v>
      </c>
      <c r="G27" s="18" t="str">
        <f>IFERROR(INDEX(Reference!$H:$H,MATCH("Equity|"&amp;C27&amp;"|"&amp;B27,Reference!$A:$A,0)),"")</f>
        <v>US Single Stock</v>
      </c>
      <c r="H27" s="40">
        <v>2.9416617999999999</v>
      </c>
      <c r="I27" s="40">
        <v>169.7</v>
      </c>
      <c r="J27" s="41">
        <f>IFERROR(INDEX(Prices!$E:$E,MATCH("Equity|"&amp;C27&amp;"|"&amp;B27,Prices!$A:$A,0)),0)</f>
        <v>450.06</v>
      </c>
      <c r="K27" s="39">
        <f t="shared" si="0"/>
        <v>32.43</v>
      </c>
      <c r="L27" s="12">
        <f t="shared" si="1"/>
        <v>16189.056241927798</v>
      </c>
      <c r="M27" s="12">
        <f t="shared" si="2"/>
        <v>42934.865363830439</v>
      </c>
      <c r="N27" s="12">
        <f t="shared" si="3"/>
        <v>26745.809121902639</v>
      </c>
      <c r="O27" s="11">
        <f t="shared" si="4"/>
        <v>1.6520919269298764</v>
      </c>
      <c r="P27" s="35"/>
    </row>
    <row r="28" spans="1:16" ht="15" customHeight="1" x14ac:dyDescent="0.2">
      <c r="A28" s="35">
        <v>24</v>
      </c>
      <c r="B28" s="35" t="s">
        <v>192</v>
      </c>
      <c r="C28" s="35" t="s">
        <v>196</v>
      </c>
      <c r="D28" s="34" t="s">
        <v>193</v>
      </c>
      <c r="E28" s="18" t="str">
        <f>IFERROR(INDEX(Reference!$E:$E,MATCH("Equity|"&amp;C28&amp;"|"&amp;B28,Reference!$A:$A,0)),"")</f>
        <v>Equity</v>
      </c>
      <c r="F28" s="18" t="str">
        <f>IFERROR(INDEX(Reference!$G:$G,MATCH("Equity|"&amp;C28&amp;"|"&amp;B28,Reference!$A:$A,0)),"")</f>
        <v>United States</v>
      </c>
      <c r="G28" s="18" t="str">
        <f>IFERROR(INDEX(Reference!$H:$H,MATCH("Equity|"&amp;C28&amp;"|"&amp;B28,Reference!$A:$A,0)),"")</f>
        <v>US Single Stock</v>
      </c>
      <c r="H28" s="40">
        <v>5.0536545999999998</v>
      </c>
      <c r="I28" s="40">
        <v>98.78</v>
      </c>
      <c r="J28" s="41">
        <f>IFERROR(INDEX(Prices!$E:$E,MATCH("Equity|"&amp;C28&amp;"|"&amp;B28,Prices!$A:$A,0)),0)</f>
        <v>169.95</v>
      </c>
      <c r="K28" s="39">
        <f t="shared" si="0"/>
        <v>32.43</v>
      </c>
      <c r="L28" s="12">
        <f t="shared" si="1"/>
        <v>16189.05604501284</v>
      </c>
      <c r="M28" s="12">
        <f t="shared" si="2"/>
        <v>27853.108674326097</v>
      </c>
      <c r="N28" s="12">
        <f t="shared" si="3"/>
        <v>11664.052629313257</v>
      </c>
      <c r="O28" s="11">
        <f t="shared" si="4"/>
        <v>0.72048997772828494</v>
      </c>
      <c r="P28" s="35"/>
    </row>
    <row r="29" spans="1:16" ht="15" customHeight="1" x14ac:dyDescent="0.2">
      <c r="A29" s="35">
        <v>25</v>
      </c>
      <c r="B29" s="35" t="s">
        <v>192</v>
      </c>
      <c r="C29" s="35" t="s">
        <v>197</v>
      </c>
      <c r="D29" s="34" t="s">
        <v>193</v>
      </c>
      <c r="E29" s="18" t="str">
        <f>IFERROR(INDEX(Reference!$E:$E,MATCH("Equity|"&amp;C29&amp;"|"&amp;B29,Reference!$A:$A,0)),"")</f>
        <v>Equity</v>
      </c>
      <c r="F29" s="18" t="str">
        <f>IFERROR(INDEX(Reference!$G:$G,MATCH("Equity|"&amp;C29&amp;"|"&amp;B29,Reference!$A:$A,0)),"")</f>
        <v>United States</v>
      </c>
      <c r="G29" s="18" t="str">
        <f>IFERROR(INDEX(Reference!$H:$H,MATCH("Equity|"&amp;C29&amp;"|"&amp;B29,Reference!$A:$A,0)),"")</f>
        <v>US Single Stock</v>
      </c>
      <c r="H29" s="40">
        <v>6.9953718</v>
      </c>
      <c r="I29" s="40">
        <v>71.48</v>
      </c>
      <c r="J29" s="41">
        <f>IFERROR(INDEX(Prices!$E:$E,MATCH("Equity|"&amp;C29&amp;"|"&amp;B29,Prices!$A:$A,0)),0)</f>
        <v>68.36</v>
      </c>
      <c r="K29" s="39">
        <f t="shared" si="0"/>
        <v>32.43</v>
      </c>
      <c r="L29" s="12">
        <f t="shared" si="1"/>
        <v>16215.946186241521</v>
      </c>
      <c r="M29" s="12">
        <f t="shared" si="2"/>
        <v>15508.143274922641</v>
      </c>
      <c r="N29" s="12">
        <f t="shared" si="3"/>
        <v>-707.80291131888043</v>
      </c>
      <c r="O29" s="11">
        <f t="shared" si="4"/>
        <v>-4.3648573027420284E-2</v>
      </c>
      <c r="P29" s="35"/>
    </row>
    <row r="30" spans="1:16" ht="15" customHeight="1" x14ac:dyDescent="0.2">
      <c r="A30" s="35">
        <v>26</v>
      </c>
      <c r="B30" s="35" t="s">
        <v>192</v>
      </c>
      <c r="C30" s="35" t="s">
        <v>199</v>
      </c>
      <c r="D30" s="34" t="s">
        <v>193</v>
      </c>
      <c r="E30" s="18" t="str">
        <f>IFERROR(INDEX(Reference!$E:$E,MATCH("Equity|"&amp;C30&amp;"|"&amp;B30,Reference!$A:$A,0)),"")</f>
        <v>Equity</v>
      </c>
      <c r="F30" s="18" t="str">
        <f>IFERROR(INDEX(Reference!$G:$G,MATCH("Equity|"&amp;C30&amp;"|"&amp;B30,Reference!$A:$A,0)),"")</f>
        <v>United States</v>
      </c>
      <c r="G30" s="18" t="str">
        <f>IFERROR(INDEX(Reference!$H:$H,MATCH("Equity|"&amp;C30&amp;"|"&amp;B30,Reference!$A:$A,0)),"")</f>
        <v>US Single Stock</v>
      </c>
      <c r="H30" s="40">
        <v>5.1650285</v>
      </c>
      <c r="I30" s="40">
        <v>96.65</v>
      </c>
      <c r="J30" s="41">
        <f>IFERROR(INDEX(Prices!$E:$E,MATCH("Equity|"&amp;C30&amp;"|"&amp;B30,Prices!$A:$A,0)),0)</f>
        <v>137.97</v>
      </c>
      <c r="K30" s="39">
        <f t="shared" si="0"/>
        <v>32.43</v>
      </c>
      <c r="L30" s="12">
        <f t="shared" si="1"/>
        <v>16189.056146745752</v>
      </c>
      <c r="M30" s="12">
        <f t="shared" si="2"/>
        <v>23110.233590962351</v>
      </c>
      <c r="N30" s="12">
        <f t="shared" si="3"/>
        <v>6921.1774442165988</v>
      </c>
      <c r="O30" s="11">
        <f t="shared" si="4"/>
        <v>0.42752198654940493</v>
      </c>
      <c r="P30" s="35"/>
    </row>
    <row r="31" spans="1:16" ht="15" customHeight="1" x14ac:dyDescent="0.2">
      <c r="A31" s="35">
        <v>27</v>
      </c>
      <c r="B31" s="35" t="s">
        <v>192</v>
      </c>
      <c r="C31" s="35" t="s">
        <v>200</v>
      </c>
      <c r="D31" s="34" t="s">
        <v>193</v>
      </c>
      <c r="E31" s="18" t="str">
        <f>IFERROR(INDEX(Reference!$E:$E,MATCH("Equity|"&amp;C31&amp;"|"&amp;B31,Reference!$A:$A,0)),"")</f>
        <v>Equity</v>
      </c>
      <c r="F31" s="18" t="str">
        <f>IFERROR(INDEX(Reference!$G:$G,MATCH("Equity|"&amp;C31&amp;"|"&amp;B31,Reference!$A:$A,0)),"")</f>
        <v>United States</v>
      </c>
      <c r="G31" s="18" t="str">
        <f>IFERROR(INDEX(Reference!$H:$H,MATCH("Equity|"&amp;C31&amp;"|"&amp;B31,Reference!$A:$A,0)),"")</f>
        <v>US Single Stock</v>
      </c>
      <c r="H31" s="40">
        <v>0.96131259999999996</v>
      </c>
      <c r="I31" s="40">
        <v>519.29</v>
      </c>
      <c r="J31" s="41">
        <f>IFERROR(INDEX(Prices!$E:$E,MATCH("Equity|"&amp;C31&amp;"|"&amp;B31,Prices!$A:$A,0)),0)</f>
        <v>162.19999999999999</v>
      </c>
      <c r="K31" s="39">
        <f t="shared" si="0"/>
        <v>32.43</v>
      </c>
      <c r="L31" s="12">
        <f t="shared" si="1"/>
        <v>16189.056650351218</v>
      </c>
      <c r="M31" s="12">
        <f t="shared" si="2"/>
        <v>5056.6446276395991</v>
      </c>
      <c r="N31" s="12">
        <f t="shared" si="3"/>
        <v>-11132.412022711618</v>
      </c>
      <c r="O31" s="11">
        <f t="shared" si="4"/>
        <v>-0.68765044580099743</v>
      </c>
      <c r="P31" s="35"/>
    </row>
    <row r="32" spans="1:16" ht="15" customHeight="1" x14ac:dyDescent="0.2">
      <c r="A32" s="35">
        <v>28</v>
      </c>
      <c r="B32" s="35" t="s">
        <v>192</v>
      </c>
      <c r="C32" s="35" t="s">
        <v>201</v>
      </c>
      <c r="D32" s="34" t="s">
        <v>193</v>
      </c>
      <c r="E32" s="18" t="str">
        <f>IFERROR(INDEX(Reference!$E:$E,MATCH("Equity|"&amp;C32&amp;"|"&amp;B32,Reference!$A:$A,0)),"")</f>
        <v>Equity</v>
      </c>
      <c r="F32" s="18" t="str">
        <f>IFERROR(INDEX(Reference!$G:$G,MATCH("Equity|"&amp;C32&amp;"|"&amp;B32,Reference!$A:$A,0)),"")</f>
        <v>United States</v>
      </c>
      <c r="G32" s="18" t="str">
        <f>IFERROR(INDEX(Reference!$H:$H,MATCH("Equity|"&amp;C32&amp;"|"&amp;B32,Reference!$A:$A,0)),"")</f>
        <v>US Single Stock</v>
      </c>
      <c r="H32" s="40">
        <v>0.77171610000000002</v>
      </c>
      <c r="I32" s="40">
        <v>646.87</v>
      </c>
      <c r="J32" s="41">
        <f>IFERROR(INDEX(Prices!$E:$E,MATCH("Equity|"&amp;C32&amp;"|"&amp;B32,Prices!$A:$A,0)),0)</f>
        <v>1921.71</v>
      </c>
      <c r="K32" s="39">
        <f t="shared" si="0"/>
        <v>32.43</v>
      </c>
      <c r="L32" s="12">
        <f t="shared" si="1"/>
        <v>16189.05579267501</v>
      </c>
      <c r="M32" s="12">
        <f t="shared" si="2"/>
        <v>48094.161744000325</v>
      </c>
      <c r="N32" s="12">
        <f t="shared" si="3"/>
        <v>31905.105951325313</v>
      </c>
      <c r="O32" s="11">
        <f t="shared" si="4"/>
        <v>1.9707823828589977</v>
      </c>
      <c r="P32" s="35"/>
    </row>
    <row r="33" spans="1:16" ht="15" customHeight="1" x14ac:dyDescent="0.2">
      <c r="A33" s="35">
        <v>29</v>
      </c>
      <c r="B33" s="35" t="s">
        <v>192</v>
      </c>
      <c r="C33" s="35" t="s">
        <v>202</v>
      </c>
      <c r="D33" s="34" t="s">
        <v>193</v>
      </c>
      <c r="E33" s="18" t="str">
        <f>IFERROR(INDEX(Reference!$E:$E,MATCH("Equity|"&amp;C33&amp;"|"&amp;B33,Reference!$A:$A,0)),"")</f>
        <v>Equity</v>
      </c>
      <c r="F33" s="18" t="str">
        <f>IFERROR(INDEX(Reference!$G:$G,MATCH("Equity|"&amp;C33&amp;"|"&amp;B33,Reference!$A:$A,0)),"")</f>
        <v>United States</v>
      </c>
      <c r="G33" s="18" t="str">
        <f>IFERROR(INDEX(Reference!$H:$H,MATCH("Equity|"&amp;C33&amp;"|"&amp;B33,Reference!$A:$A,0)),"")</f>
        <v>US Single Stock</v>
      </c>
      <c r="H33" s="40">
        <v>2</v>
      </c>
      <c r="I33" s="40">
        <v>910.64</v>
      </c>
      <c r="J33" s="41">
        <f>IFERROR(INDEX(Prices!$E:$E,MATCH("Equity|"&amp;C33&amp;"|"&amp;B33,Prices!$A:$A,0)),0)</f>
        <v>1105</v>
      </c>
      <c r="K33" s="39">
        <f t="shared" si="0"/>
        <v>32.43</v>
      </c>
      <c r="L33" s="12">
        <f t="shared" si="1"/>
        <v>59064.110399999998</v>
      </c>
      <c r="M33" s="12">
        <f t="shared" si="2"/>
        <v>71670.3</v>
      </c>
      <c r="N33" s="12">
        <f t="shared" si="3"/>
        <v>12606.189600000005</v>
      </c>
      <c r="O33" s="11">
        <f t="shared" si="4"/>
        <v>0.21343231134147422</v>
      </c>
      <c r="P33" s="35"/>
    </row>
    <row r="34" spans="1:16" ht="15" customHeight="1" x14ac:dyDescent="0.2">
      <c r="A34" s="35">
        <v>30</v>
      </c>
      <c r="B34" s="35" t="s">
        <v>192</v>
      </c>
      <c r="C34" s="35" t="s">
        <v>203</v>
      </c>
      <c r="D34" s="34" t="s">
        <v>193</v>
      </c>
      <c r="E34" s="18" t="str">
        <f>IFERROR(INDEX(Reference!$E:$E,MATCH("Equity|"&amp;C34&amp;"|"&amp;B34,Reference!$A:$A,0)),"")</f>
        <v>Equity</v>
      </c>
      <c r="F34" s="18" t="str">
        <f>IFERROR(INDEX(Reference!$G:$G,MATCH("Equity|"&amp;C34&amp;"|"&amp;B34,Reference!$A:$A,0)),"")</f>
        <v>United States</v>
      </c>
      <c r="G34" s="18" t="str">
        <f>IFERROR(INDEX(Reference!$H:$H,MATCH("Equity|"&amp;C34&amp;"|"&amp;B34,Reference!$A:$A,0)),"")</f>
        <v>US Single Stock</v>
      </c>
      <c r="H34" s="40">
        <v>8.7794582999999999</v>
      </c>
      <c r="I34" s="40">
        <v>56.86</v>
      </c>
      <c r="J34" s="41">
        <f>IFERROR(INDEX(Prices!$E:$E,MATCH("Equity|"&amp;C34&amp;"|"&amp;B34,Prices!$A:$A,0)),0)</f>
        <v>94.65</v>
      </c>
      <c r="K34" s="39">
        <f t="shared" si="0"/>
        <v>32.43</v>
      </c>
      <c r="L34" s="12">
        <f t="shared" si="1"/>
        <v>16189.055965559339</v>
      </c>
      <c r="M34" s="12">
        <f t="shared" si="2"/>
        <v>26948.542862120852</v>
      </c>
      <c r="N34" s="12">
        <f t="shared" si="3"/>
        <v>10759.486896561513</v>
      </c>
      <c r="O34" s="11">
        <f t="shared" si="4"/>
        <v>0.6646148434752025</v>
      </c>
      <c r="P34" s="35"/>
    </row>
    <row r="35" spans="1:16" ht="15" customHeight="1" x14ac:dyDescent="0.2">
      <c r="A35" s="35">
        <v>31</v>
      </c>
      <c r="B35" s="35" t="s">
        <v>192</v>
      </c>
      <c r="C35" s="35" t="s">
        <v>204</v>
      </c>
      <c r="D35" s="34" t="s">
        <v>193</v>
      </c>
      <c r="E35" s="18" t="str">
        <f>IFERROR(INDEX(Reference!$E:$E,MATCH("Equity|"&amp;C35&amp;"|"&amp;B35,Reference!$A:$A,0)),"")</f>
        <v>Equity</v>
      </c>
      <c r="F35" s="18" t="str">
        <f>IFERROR(INDEX(Reference!$G:$G,MATCH("Equity|"&amp;C35&amp;"|"&amp;B35,Reference!$A:$A,0)),"")</f>
        <v>United States</v>
      </c>
      <c r="G35" s="18" t="str">
        <f>IFERROR(INDEX(Reference!$H:$H,MATCH("Equity|"&amp;C35&amp;"|"&amp;B35,Reference!$A:$A,0)),"")</f>
        <v>US Single Stock</v>
      </c>
      <c r="H35" s="40">
        <v>0.82248390000000005</v>
      </c>
      <c r="I35" s="40">
        <v>606.94000000000005</v>
      </c>
      <c r="J35" s="41">
        <f>IFERROR(INDEX(Prices!$E:$E,MATCH("Equity|"&amp;C35&amp;"|"&amp;B35,Prices!$A:$A,0)),0)</f>
        <v>1566.21</v>
      </c>
      <c r="K35" s="39">
        <f t="shared" si="0"/>
        <v>32.43</v>
      </c>
      <c r="L35" s="12">
        <f t="shared" si="1"/>
        <v>16189.003407166383</v>
      </c>
      <c r="M35" s="12">
        <f t="shared" si="2"/>
        <v>41775.758767486172</v>
      </c>
      <c r="N35" s="12">
        <f t="shared" si="3"/>
        <v>25586.755360319788</v>
      </c>
      <c r="O35" s="11">
        <f t="shared" si="4"/>
        <v>1.5805021913203936</v>
      </c>
      <c r="P35" s="35"/>
    </row>
    <row r="36" spans="1:16" ht="15" customHeight="1" x14ac:dyDescent="0.2">
      <c r="A36" s="35">
        <v>32</v>
      </c>
      <c r="B36" s="35" t="s">
        <v>192</v>
      </c>
      <c r="C36" s="35" t="s">
        <v>205</v>
      </c>
      <c r="D36" s="34" t="s">
        <v>193</v>
      </c>
      <c r="E36" s="18" t="str">
        <f>IFERROR(INDEX(Reference!$E:$E,MATCH("Equity|"&amp;C36&amp;"|"&amp;B36,Reference!$A:$A,0)),"")</f>
        <v>Equity</v>
      </c>
      <c r="F36" s="18" t="str">
        <f>IFERROR(INDEX(Reference!$G:$G,MATCH("Equity|"&amp;C36&amp;"|"&amp;B36,Reference!$A:$A,0)),"")</f>
        <v>United States</v>
      </c>
      <c r="G36" s="18" t="str">
        <f>IFERROR(INDEX(Reference!$H:$H,MATCH("Equity|"&amp;C36&amp;"|"&amp;B36,Reference!$A:$A,0)),"")</f>
        <v>US Single Stock</v>
      </c>
      <c r="H36" s="40">
        <v>3.3079318999999998</v>
      </c>
      <c r="I36" s="40">
        <v>150.91</v>
      </c>
      <c r="J36" s="41">
        <f>IFERROR(INDEX(Prices!$E:$E,MATCH("Equity|"&amp;C36&amp;"|"&amp;B36,Prices!$A:$A,0)),0)</f>
        <v>106.38</v>
      </c>
      <c r="K36" s="39">
        <f t="shared" si="0"/>
        <v>32.43</v>
      </c>
      <c r="L36" s="12">
        <f t="shared" si="1"/>
        <v>16189.056098230469</v>
      </c>
      <c r="M36" s="12">
        <f t="shared" si="2"/>
        <v>11412.045508778459</v>
      </c>
      <c r="N36" s="12">
        <f t="shared" si="3"/>
        <v>-4777.0105894520093</v>
      </c>
      <c r="O36" s="11">
        <f t="shared" si="4"/>
        <v>-0.29507653568351994</v>
      </c>
      <c r="P36" s="35"/>
    </row>
    <row r="37" spans="1:16" ht="15" customHeight="1" x14ac:dyDescent="0.2">
      <c r="A37" s="35">
        <v>33</v>
      </c>
      <c r="B37" s="35" t="s">
        <v>192</v>
      </c>
      <c r="C37" s="35" t="s">
        <v>206</v>
      </c>
      <c r="D37" s="34" t="s">
        <v>193</v>
      </c>
      <c r="E37" s="18" t="str">
        <f>IFERROR(INDEX(Reference!$E:$E,MATCH("Equity|"&amp;C37&amp;"|"&amp;B37,Reference!$A:$A,0)),"")</f>
        <v>Equity</v>
      </c>
      <c r="F37" s="18" t="str">
        <f>IFERROR(INDEX(Reference!$G:$G,MATCH("Equity|"&amp;C37&amp;"|"&amp;B37,Reference!$A:$A,0)),"")</f>
        <v>United States</v>
      </c>
      <c r="G37" s="18" t="str">
        <f>IFERROR(INDEX(Reference!$H:$H,MATCH("Equity|"&amp;C37&amp;"|"&amp;B37,Reference!$A:$A,0)),"")</f>
        <v>US Single Stock</v>
      </c>
      <c r="H37" s="40">
        <v>8.7798044999999991</v>
      </c>
      <c r="I37" s="40">
        <v>137.06</v>
      </c>
      <c r="J37" s="41">
        <f>IFERROR(INDEX(Prices!$E:$E,MATCH("Equity|"&amp;C37&amp;"|"&amp;B37,Prices!$A:$A,0)),0)</f>
        <v>211.14</v>
      </c>
      <c r="K37" s="39">
        <f t="shared" si="0"/>
        <v>32.43</v>
      </c>
      <c r="L37" s="12">
        <f t="shared" si="1"/>
        <v>39024.964954691095</v>
      </c>
      <c r="M37" s="12">
        <f t="shared" si="2"/>
        <v>60117.693714675894</v>
      </c>
      <c r="N37" s="12">
        <f t="shared" si="3"/>
        <v>21092.728759984799</v>
      </c>
      <c r="O37" s="11">
        <f t="shared" si="4"/>
        <v>0.54049321465051803</v>
      </c>
      <c r="P37" s="35"/>
    </row>
    <row r="38" spans="1:16" ht="15" customHeight="1" x14ac:dyDescent="0.2">
      <c r="A38" s="35">
        <v>34</v>
      </c>
      <c r="B38" s="35" t="s">
        <v>192</v>
      </c>
      <c r="C38" s="35" t="s">
        <v>207</v>
      </c>
      <c r="D38" s="34" t="s">
        <v>193</v>
      </c>
      <c r="E38" s="18" t="str">
        <f>IFERROR(INDEX(Reference!$E:$E,MATCH("Equity|"&amp;C38&amp;"|"&amp;B38,Reference!$A:$A,0)),"")</f>
        <v>Equity</v>
      </c>
      <c r="F38" s="18" t="str">
        <f>IFERROR(INDEX(Reference!$G:$G,MATCH("Equity|"&amp;C38&amp;"|"&amp;B38,Reference!$A:$A,0)),"")</f>
        <v>United States</v>
      </c>
      <c r="G38" s="18" t="str">
        <f>IFERROR(INDEX(Reference!$H:$H,MATCH("Equity|"&amp;C38&amp;"|"&amp;B38,Reference!$A:$A,0)),"")</f>
        <v>US Single Stock</v>
      </c>
      <c r="H38" s="40">
        <v>3.3590863</v>
      </c>
      <c r="I38" s="40">
        <v>148.85</v>
      </c>
      <c r="J38" s="41">
        <f>IFERROR(INDEX(Prices!$E:$E,MATCH("Equity|"&amp;C38&amp;"|"&amp;B38,Prices!$A:$A,0)),0)</f>
        <v>92.12</v>
      </c>
      <c r="K38" s="39">
        <f t="shared" si="0"/>
        <v>32.43</v>
      </c>
      <c r="L38" s="12">
        <f t="shared" si="1"/>
        <v>16214.999862334649</v>
      </c>
      <c r="M38" s="12">
        <f t="shared" si="2"/>
        <v>10035.107741473081</v>
      </c>
      <c r="N38" s="12">
        <f t="shared" si="3"/>
        <v>-6179.8921208615684</v>
      </c>
      <c r="O38" s="11">
        <f t="shared" si="4"/>
        <v>-0.38112193483372514</v>
      </c>
      <c r="P38" s="35"/>
    </row>
    <row r="39" spans="1:16" ht="15" customHeight="1" x14ac:dyDescent="0.2">
      <c r="A39" s="35">
        <v>35</v>
      </c>
      <c r="B39" s="35" t="s">
        <v>192</v>
      </c>
      <c r="C39" s="35" t="s">
        <v>208</v>
      </c>
      <c r="D39" s="34" t="s">
        <v>193</v>
      </c>
      <c r="E39" s="18" t="str">
        <f>IFERROR(INDEX(Reference!$E:$E,MATCH("Equity|"&amp;C39&amp;"|"&amp;B39,Reference!$A:$A,0)),"")</f>
        <v>Equity</v>
      </c>
      <c r="F39" s="18" t="str">
        <f>IFERROR(INDEX(Reference!$G:$G,MATCH("Equity|"&amp;C39&amp;"|"&amp;B39,Reference!$A:$A,0)),"")</f>
        <v>United States</v>
      </c>
      <c r="G39" s="18" t="str">
        <f>IFERROR(INDEX(Reference!$H:$H,MATCH("Equity|"&amp;C39&amp;"|"&amp;B39,Reference!$A:$A,0)),"")</f>
        <v>US Single Stock</v>
      </c>
      <c r="H39" s="40">
        <v>7.3067916000000004</v>
      </c>
      <c r="I39" s="40">
        <v>68.319999999999993</v>
      </c>
      <c r="J39" s="41">
        <f>IFERROR(INDEX(Prices!$E:$E,MATCH("Equity|"&amp;C39&amp;"|"&amp;B39,Prices!$A:$A,0)),0)</f>
        <v>103.56</v>
      </c>
      <c r="K39" s="39">
        <f t="shared" si="0"/>
        <v>32.43</v>
      </c>
      <c r="L39" s="12">
        <f t="shared" si="1"/>
        <v>16189.05606849216</v>
      </c>
      <c r="M39" s="12">
        <f t="shared" si="2"/>
        <v>24539.500094453284</v>
      </c>
      <c r="N39" s="12">
        <f t="shared" si="3"/>
        <v>8350.4440259611238</v>
      </c>
      <c r="O39" s="11">
        <f t="shared" si="4"/>
        <v>0.51580796252927419</v>
      </c>
      <c r="P39" s="35"/>
    </row>
    <row r="40" spans="1:16" ht="15" customHeight="1" x14ac:dyDescent="0.2">
      <c r="A40" s="35">
        <v>36</v>
      </c>
      <c r="B40" s="35" t="s">
        <v>192</v>
      </c>
      <c r="C40" s="35" t="s">
        <v>209</v>
      </c>
      <c r="D40" s="34" t="s">
        <v>193</v>
      </c>
      <c r="E40" s="18" t="str">
        <f>IFERROR(INDEX(Reference!$E:$E,MATCH("Equity|"&amp;C40&amp;"|"&amp;B40,Reference!$A:$A,0)),"")</f>
        <v>Equity</v>
      </c>
      <c r="F40" s="18" t="str">
        <f>IFERROR(INDEX(Reference!$G:$G,MATCH("Equity|"&amp;C40&amp;"|"&amp;B40,Reference!$A:$A,0)),"")</f>
        <v>United States</v>
      </c>
      <c r="G40" s="18" t="str">
        <f>IFERROR(INDEX(Reference!$H:$H,MATCH("Equity|"&amp;C40&amp;"|"&amp;B40,Reference!$A:$A,0)),"")</f>
        <v>US Single Stock</v>
      </c>
      <c r="H40" s="40">
        <v>4.1893589999999996</v>
      </c>
      <c r="I40" s="40">
        <v>119.35</v>
      </c>
      <c r="J40" s="41">
        <f>IFERROR(INDEX(Prices!$E:$E,MATCH("Equity|"&amp;C40&amp;"|"&amp;B40,Prices!$A:$A,0)),0)</f>
        <v>374.31</v>
      </c>
      <c r="K40" s="39">
        <f t="shared" si="0"/>
        <v>32.43</v>
      </c>
      <c r="L40" s="12">
        <f t="shared" si="1"/>
        <v>16214.999891359499</v>
      </c>
      <c r="M40" s="12">
        <f t="shared" si="2"/>
        <v>50854.09810921469</v>
      </c>
      <c r="N40" s="12">
        <f t="shared" si="3"/>
        <v>34639.098217855193</v>
      </c>
      <c r="O40" s="11">
        <f t="shared" si="4"/>
        <v>2.1362379555927942</v>
      </c>
      <c r="P40" s="35"/>
    </row>
    <row r="41" spans="1:16" ht="15" customHeight="1" x14ac:dyDescent="0.2">
      <c r="A41" s="35">
        <v>37</v>
      </c>
      <c r="B41" s="35" t="s">
        <v>192</v>
      </c>
      <c r="C41" s="35" t="s">
        <v>210</v>
      </c>
      <c r="D41" s="34" t="s">
        <v>193</v>
      </c>
      <c r="E41" s="18" t="str">
        <f>IFERROR(INDEX(Reference!$E:$E,MATCH("Equity|"&amp;C41&amp;"|"&amp;B41,Reference!$A:$A,0)),"")</f>
        <v>Equity</v>
      </c>
      <c r="F41" s="18" t="str">
        <f>IFERROR(INDEX(Reference!$G:$G,MATCH("Equity|"&amp;C41&amp;"|"&amp;B41,Reference!$A:$A,0)),"")</f>
        <v>United States</v>
      </c>
      <c r="G41" s="18" t="str">
        <f>IFERROR(INDEX(Reference!$H:$H,MATCH("Equity|"&amp;C41&amp;"|"&amp;B41,Reference!$A:$A,0)),"")</f>
        <v>US Single Stock</v>
      </c>
      <c r="H41" s="40">
        <v>23.5371652</v>
      </c>
      <c r="I41" s="40">
        <v>424.86</v>
      </c>
      <c r="J41" s="41">
        <f>IFERROR(INDEX(Prices!$E:$E,MATCH("Equity|"&amp;C41&amp;"|"&amp;B41,Prices!$A:$A,0)),0)</f>
        <v>435.79</v>
      </c>
      <c r="K41" s="39">
        <f t="shared" si="0"/>
        <v>32.43</v>
      </c>
      <c r="L41" s="12">
        <f t="shared" si="1"/>
        <v>324300.00022285897</v>
      </c>
      <c r="M41" s="12">
        <f t="shared" si="2"/>
        <v>332642.98144593445</v>
      </c>
      <c r="N41" s="12">
        <f t="shared" si="3"/>
        <v>8342.981223075476</v>
      </c>
      <c r="O41" s="11">
        <f t="shared" si="4"/>
        <v>2.5726121545920997E-2</v>
      </c>
      <c r="P41" s="35"/>
    </row>
    <row r="42" spans="1:16" ht="15" customHeight="1" x14ac:dyDescent="0.2">
      <c r="A42" s="35">
        <v>38</v>
      </c>
      <c r="B42" s="35" t="s">
        <v>192</v>
      </c>
      <c r="C42" s="35" t="s">
        <v>211</v>
      </c>
      <c r="D42" s="34" t="s">
        <v>193</v>
      </c>
      <c r="E42" s="18" t="str">
        <f>IFERROR(INDEX(Reference!$E:$E,MATCH("Equity|"&amp;C42&amp;"|"&amp;B42,Reference!$A:$A,0)),"")</f>
        <v>Equity</v>
      </c>
      <c r="F42" s="18" t="str">
        <f>IFERROR(INDEX(Reference!$G:$G,MATCH("Equity|"&amp;C42&amp;"|"&amp;B42,Reference!$A:$A,0)),"")</f>
        <v>United States</v>
      </c>
      <c r="G42" s="18" t="str">
        <f>IFERROR(INDEX(Reference!$H:$H,MATCH("Equity|"&amp;C42&amp;"|"&amp;B42,Reference!$A:$A,0)),"")</f>
        <v>US Single Stock</v>
      </c>
      <c r="H42" s="40">
        <v>18.420664200000001</v>
      </c>
      <c r="I42" s="40">
        <v>27.1</v>
      </c>
      <c r="J42" s="41">
        <f>IFERROR(INDEX(Prices!$E:$E,MATCH("Equity|"&amp;C42&amp;"|"&amp;B42,Prices!$A:$A,0)),0)</f>
        <v>55.45</v>
      </c>
      <c r="K42" s="39">
        <f t="shared" si="0"/>
        <v>32.43</v>
      </c>
      <c r="L42" s="12">
        <f t="shared" si="1"/>
        <v>16189.055994162602</v>
      </c>
      <c r="M42" s="12">
        <f t="shared" si="2"/>
        <v>33124.839663332707</v>
      </c>
      <c r="N42" s="12">
        <f t="shared" si="3"/>
        <v>16935.783669170105</v>
      </c>
      <c r="O42" s="11">
        <f t="shared" si="4"/>
        <v>1.0461254612546127</v>
      </c>
      <c r="P42" s="35"/>
    </row>
    <row r="43" spans="1:16" ht="15" customHeight="1" x14ac:dyDescent="0.2">
      <c r="A43" s="35">
        <v>39</v>
      </c>
      <c r="B43" s="35" t="s">
        <v>192</v>
      </c>
      <c r="C43" s="35" t="s">
        <v>198</v>
      </c>
      <c r="D43" s="34" t="s">
        <v>193</v>
      </c>
      <c r="E43" s="18" t="str">
        <f>IFERROR(INDEX(Reference!$E:$E,MATCH("Equity|"&amp;C43&amp;"|"&amp;B43,Reference!$A:$A,0)),"")</f>
        <v>Equity</v>
      </c>
      <c r="F43" s="18" t="str">
        <f>IFERROR(INDEX(Reference!$G:$G,MATCH("Equity|"&amp;C43&amp;"|"&amp;B43,Reference!$A:$A,0)),"")</f>
        <v>South Korea</v>
      </c>
      <c r="G43" s="18" t="str">
        <f>IFERROR(INDEX(Reference!$H:$H,MATCH("Equity|"&amp;C43&amp;"|"&amp;B43,Reference!$A:$A,0)),"")</f>
        <v>Korea</v>
      </c>
      <c r="H43" s="40">
        <v>103.15111</v>
      </c>
      <c r="I43" s="40">
        <v>96.95</v>
      </c>
      <c r="J43" s="41">
        <f>IFERROR(INDEX(Prices!$E:$E,MATCH("Equity|"&amp;C43&amp;"|"&amp;B43,Prices!$A:$A,0)),0)</f>
        <v>205.83</v>
      </c>
      <c r="K43" s="39">
        <f t="shared" si="0"/>
        <v>32.43</v>
      </c>
      <c r="L43" s="12">
        <f t="shared" si="1"/>
        <v>324316.21871323499</v>
      </c>
      <c r="M43" s="12">
        <f t="shared" si="2"/>
        <v>688540.56005925906</v>
      </c>
      <c r="N43" s="12">
        <f t="shared" si="3"/>
        <v>364224.34134602407</v>
      </c>
      <c r="O43" s="11">
        <f t="shared" si="4"/>
        <v>1.1230531201650338</v>
      </c>
      <c r="P43" s="35"/>
    </row>
    <row r="44" spans="1:16" ht="15" customHeight="1" x14ac:dyDescent="0.2">
      <c r="A44" s="35">
        <v>40</v>
      </c>
      <c r="B44" s="35" t="s">
        <v>192</v>
      </c>
      <c r="C44" s="35" t="s">
        <v>268</v>
      </c>
      <c r="D44" s="34" t="s">
        <v>9</v>
      </c>
      <c r="E44" s="18" t="str">
        <f>IFERROR(INDEX(Reference!$E:$E,MATCH("Equity|"&amp;C44&amp;"|"&amp;B44,Reference!$A:$A,0)),"")</f>
        <v>Cash &amp; Equivalents</v>
      </c>
      <c r="F44" s="18" t="str">
        <f>IFERROR(INDEX(Reference!$G:$G,MATCH("Equity|"&amp;C44&amp;"|"&amp;B44,Reference!$A:$A,0)),"")</f>
        <v>United States</v>
      </c>
      <c r="G44" s="18" t="str">
        <f>IFERROR(INDEX(Reference!$H:$H,MATCH("Equity|"&amp;C44&amp;"|"&amp;B44,Reference!$A:$A,0)),"")</f>
        <v>Brokerage Cash</v>
      </c>
      <c r="H44" s="40">
        <v>435.47</v>
      </c>
      <c r="I44" s="40">
        <v>1</v>
      </c>
      <c r="J44" s="41">
        <v>1</v>
      </c>
      <c r="K44" s="39">
        <f t="shared" si="0"/>
        <v>1</v>
      </c>
      <c r="L44" s="12">
        <f t="shared" si="1"/>
        <v>435.47</v>
      </c>
      <c r="M44" s="12">
        <f t="shared" si="2"/>
        <v>435.47</v>
      </c>
      <c r="N44" s="12">
        <f t="shared" si="3"/>
        <v>0</v>
      </c>
      <c r="O44" s="11">
        <f t="shared" si="4"/>
        <v>0</v>
      </c>
      <c r="P44" s="35"/>
    </row>
    <row r="45" spans="1:16" ht="15" customHeight="1" x14ac:dyDescent="0.2">
      <c r="A45" s="35">
        <v>41</v>
      </c>
      <c r="B45" s="35" t="s">
        <v>192</v>
      </c>
      <c r="C45" s="35" t="s">
        <v>268</v>
      </c>
      <c r="D45" s="34" t="s">
        <v>193</v>
      </c>
      <c r="E45" s="18" t="str">
        <f>IFERROR(INDEX(Reference!$E:$E,MATCH("Equity|"&amp;C45&amp;"|"&amp;B45,Reference!$A:$A,0)),"")</f>
        <v>Cash &amp; Equivalents</v>
      </c>
      <c r="F45" s="18" t="str">
        <f>IFERROR(INDEX(Reference!$G:$G,MATCH("Equity|"&amp;C45&amp;"|"&amp;B45,Reference!$A:$A,0)),"")</f>
        <v>United States</v>
      </c>
      <c r="G45" s="18" t="str">
        <f>IFERROR(INDEX(Reference!$H:$H,MATCH("Equity|"&amp;C45&amp;"|"&amp;B45,Reference!$A:$A,0)),"")</f>
        <v>Brokerage Cash</v>
      </c>
      <c r="H45" s="40">
        <f>254.87+2584.77</f>
        <v>2839.64</v>
      </c>
      <c r="I45" s="40">
        <v>1</v>
      </c>
      <c r="J45" s="41">
        <v>1</v>
      </c>
      <c r="K45" s="39">
        <f t="shared" si="0"/>
        <v>32.43</v>
      </c>
      <c r="L45" s="12">
        <f t="shared" si="1"/>
        <v>92089.525199999989</v>
      </c>
      <c r="M45" s="12">
        <f t="shared" si="2"/>
        <v>92089.525199999989</v>
      </c>
      <c r="N45" s="12">
        <f t="shared" si="3"/>
        <v>0</v>
      </c>
      <c r="O45" s="11">
        <f t="shared" si="4"/>
        <v>0</v>
      </c>
      <c r="P45" s="35"/>
    </row>
    <row r="46" spans="1:16" ht="15" customHeight="1" x14ac:dyDescent="0.2">
      <c r="A46" s="35">
        <v>42</v>
      </c>
      <c r="B46" s="35" t="s">
        <v>213</v>
      </c>
      <c r="C46" s="35" t="s">
        <v>212</v>
      </c>
      <c r="D46" s="34" t="s">
        <v>193</v>
      </c>
      <c r="E46" s="18" t="str">
        <f>IFERROR(INDEX(Reference!$E:$E,MATCH("Equity|"&amp;C46&amp;"|"&amp;B46,Reference!$A:$A,0)),"")</f>
        <v>Equity</v>
      </c>
      <c r="F46" s="18" t="str">
        <f>IFERROR(INDEX(Reference!$G:$G,MATCH("Equity|"&amp;C46&amp;"|"&amp;B46,Reference!$A:$A,0)),"")</f>
        <v>United States</v>
      </c>
      <c r="G46" s="18" t="str">
        <f>IFERROR(INDEX(Reference!$H:$H,MATCH("Equity|"&amp;C46&amp;"|"&amp;B46,Reference!$A:$A,0)),"")</f>
        <v>Rare Earth</v>
      </c>
      <c r="H46" s="40">
        <v>100</v>
      </c>
      <c r="I46" s="40">
        <v>85.445800000000006</v>
      </c>
      <c r="J46" s="41">
        <f>IFERROR(INDEX(Prices!$E:$E,MATCH("Equity|"&amp;C46&amp;"|"&amp;B46,Prices!$A:$A,0)),0)</f>
        <v>99.63</v>
      </c>
      <c r="K46" s="39">
        <f t="shared" si="0"/>
        <v>32.43</v>
      </c>
      <c r="L46" s="12">
        <f t="shared" si="1"/>
        <v>277100.72940000001</v>
      </c>
      <c r="M46" s="12">
        <f t="shared" si="2"/>
        <v>323100.09000000003</v>
      </c>
      <c r="N46" s="12">
        <f t="shared" si="3"/>
        <v>45999.360600000015</v>
      </c>
      <c r="O46" s="11">
        <f t="shared" si="4"/>
        <v>0.16600230789576556</v>
      </c>
      <c r="P46" s="35"/>
    </row>
    <row r="47" spans="1:16" ht="15" customHeight="1" x14ac:dyDescent="0.2">
      <c r="A47" s="35">
        <v>43</v>
      </c>
      <c r="B47" s="35" t="s">
        <v>213</v>
      </c>
      <c r="C47" s="35" t="s">
        <v>214</v>
      </c>
      <c r="D47" s="34" t="s">
        <v>193</v>
      </c>
      <c r="E47" s="18" t="str">
        <f>IFERROR(INDEX(Reference!$E:$E,MATCH("Equity|"&amp;C47&amp;"|"&amp;B47,Reference!$A:$A,0)),"")</f>
        <v>Equity</v>
      </c>
      <c r="F47" s="18" t="str">
        <f>IFERROR(INDEX(Reference!$G:$G,MATCH("Equity|"&amp;C47&amp;"|"&amp;B47,Reference!$A:$A,0)),"")</f>
        <v>United States</v>
      </c>
      <c r="G47" s="18" t="str">
        <f>IFERROR(INDEX(Reference!$H:$H,MATCH("Equity|"&amp;C47&amp;"|"&amp;B47,Reference!$A:$A,0)),"")</f>
        <v>US Single Stock</v>
      </c>
      <c r="H47" s="40">
        <v>80</v>
      </c>
      <c r="I47" s="40">
        <v>167.3194</v>
      </c>
      <c r="J47" s="41">
        <f>IFERROR(INDEX(Prices!$E:$E,MATCH("Equity|"&amp;C47&amp;"|"&amp;B47,Prices!$A:$A,0)),0)</f>
        <v>312.06</v>
      </c>
      <c r="K47" s="39">
        <f t="shared" si="0"/>
        <v>32.43</v>
      </c>
      <c r="L47" s="12">
        <f t="shared" si="1"/>
        <v>434093.45136000001</v>
      </c>
      <c r="M47" s="12">
        <f t="shared" si="2"/>
        <v>809608.46399999992</v>
      </c>
      <c r="N47" s="12">
        <f t="shared" si="3"/>
        <v>375515.01263999991</v>
      </c>
      <c r="O47" s="11">
        <f t="shared" si="4"/>
        <v>0.86505569587268405</v>
      </c>
      <c r="P47" s="35"/>
    </row>
    <row r="48" spans="1:16" ht="15" customHeight="1" x14ac:dyDescent="0.2">
      <c r="A48" s="35">
        <v>44</v>
      </c>
      <c r="B48" s="35" t="s">
        <v>213</v>
      </c>
      <c r="C48" s="35" t="s">
        <v>215</v>
      </c>
      <c r="D48" s="34" t="s">
        <v>193</v>
      </c>
      <c r="E48" s="18" t="str">
        <f>IFERROR(INDEX(Reference!$E:$E,MATCH("Equity|"&amp;C48&amp;"|"&amp;B48,Reference!$A:$A,0)),"")</f>
        <v>Equity</v>
      </c>
      <c r="F48" s="18" t="str">
        <f>IFERROR(INDEX(Reference!$G:$G,MATCH("Equity|"&amp;C48&amp;"|"&amp;B48,Reference!$A:$A,0)),"")</f>
        <v>United States</v>
      </c>
      <c r="G48" s="18" t="str">
        <f>IFERROR(INDEX(Reference!$H:$H,MATCH("Equity|"&amp;C48&amp;"|"&amp;B48,Reference!$A:$A,0)),"")</f>
        <v>US Single Stock</v>
      </c>
      <c r="H48" s="40">
        <v>25</v>
      </c>
      <c r="I48" s="40">
        <v>371.97</v>
      </c>
      <c r="J48" s="41">
        <f>IFERROR(INDEX(Prices!$E:$E,MATCH("Equity|"&amp;C48&amp;"|"&amp;B48,Prices!$A:$A,0)),0)</f>
        <v>189.03</v>
      </c>
      <c r="K48" s="39">
        <f t="shared" si="0"/>
        <v>32.43</v>
      </c>
      <c r="L48" s="12">
        <f t="shared" si="1"/>
        <v>301574.67749999999</v>
      </c>
      <c r="M48" s="12">
        <f t="shared" si="2"/>
        <v>153256.07250000001</v>
      </c>
      <c r="N48" s="12">
        <f t="shared" si="3"/>
        <v>-148318.60499999998</v>
      </c>
      <c r="O48" s="11">
        <f t="shared" si="4"/>
        <v>-0.49181385595612542</v>
      </c>
      <c r="P48" s="35"/>
    </row>
    <row r="49" spans="1:16" ht="15" customHeight="1" x14ac:dyDescent="0.2">
      <c r="A49" s="35">
        <v>45</v>
      </c>
      <c r="B49" s="35" t="s">
        <v>213</v>
      </c>
      <c r="C49" s="35" t="s">
        <v>216</v>
      </c>
      <c r="D49" s="34" t="s">
        <v>193</v>
      </c>
      <c r="E49" s="18" t="str">
        <f>IFERROR(INDEX(Reference!$E:$E,MATCH("Equity|"&amp;C49&amp;"|"&amp;B49,Reference!$A:$A,0)),"")</f>
        <v>Equity</v>
      </c>
      <c r="F49" s="18" t="str">
        <f>IFERROR(INDEX(Reference!$G:$G,MATCH("Equity|"&amp;C49&amp;"|"&amp;B49,Reference!$A:$A,0)),"")</f>
        <v>United States</v>
      </c>
      <c r="G49" s="18" t="str">
        <f>IFERROR(INDEX(Reference!$H:$H,MATCH("Equity|"&amp;C49&amp;"|"&amp;B49,Reference!$A:$A,0)),"")</f>
        <v>US Single Stock</v>
      </c>
      <c r="H49" s="40">
        <v>15</v>
      </c>
      <c r="I49" s="40">
        <v>184</v>
      </c>
      <c r="J49" s="41">
        <f>IFERROR(INDEX(Prices!$E:$E,MATCH("Equity|"&amp;C49&amp;"|"&amp;B49,Prices!$A:$A,0)),0)</f>
        <v>632.51</v>
      </c>
      <c r="K49" s="39">
        <f t="shared" si="0"/>
        <v>32.43</v>
      </c>
      <c r="L49" s="12">
        <f t="shared" si="1"/>
        <v>89506.8</v>
      </c>
      <c r="M49" s="12">
        <f t="shared" si="2"/>
        <v>307684.48949999997</v>
      </c>
      <c r="N49" s="12">
        <f t="shared" si="3"/>
        <v>218177.68949999998</v>
      </c>
      <c r="O49" s="11">
        <f t="shared" si="4"/>
        <v>2.4375543478260866</v>
      </c>
      <c r="P49" s="35"/>
    </row>
    <row r="50" spans="1:16" ht="15" customHeight="1" x14ac:dyDescent="0.2">
      <c r="A50" s="35">
        <v>46</v>
      </c>
      <c r="B50" s="35" t="s">
        <v>213</v>
      </c>
      <c r="C50" s="35" t="s">
        <v>217</v>
      </c>
      <c r="D50" s="34" t="s">
        <v>193</v>
      </c>
      <c r="E50" s="18" t="str">
        <f>IFERROR(INDEX(Reference!$E:$E,MATCH("Equity|"&amp;C50&amp;"|"&amp;B50,Reference!$A:$A,0)),"")</f>
        <v>Equity</v>
      </c>
      <c r="F50" s="18" t="str">
        <f>IFERROR(INDEX(Reference!$G:$G,MATCH("Equity|"&amp;C50&amp;"|"&amp;B50,Reference!$A:$A,0)),"")</f>
        <v>United States</v>
      </c>
      <c r="G50" s="18" t="str">
        <f>IFERROR(INDEX(Reference!$H:$H,MATCH("Equity|"&amp;C50&amp;"|"&amp;B50,Reference!$A:$A,0)),"")</f>
        <v>US Single Stock</v>
      </c>
      <c r="H50" s="40">
        <v>50</v>
      </c>
      <c r="I50" s="40">
        <v>390.85019999999997</v>
      </c>
      <c r="J50" s="41">
        <f>IFERROR(INDEX(Prices!$E:$E,MATCH("Equity|"&amp;C50&amp;"|"&amp;B50,Prices!$A:$A,0)),0)</f>
        <v>211</v>
      </c>
      <c r="K50" s="39">
        <f t="shared" si="0"/>
        <v>32.43</v>
      </c>
      <c r="L50" s="12">
        <f t="shared" si="1"/>
        <v>633763.59929999989</v>
      </c>
      <c r="M50" s="12">
        <f t="shared" si="2"/>
        <v>342136.5</v>
      </c>
      <c r="N50" s="12">
        <f t="shared" si="3"/>
        <v>-291627.09929999989</v>
      </c>
      <c r="O50" s="11">
        <f t="shared" si="4"/>
        <v>-0.46015122929449687</v>
      </c>
      <c r="P50" s="35"/>
    </row>
    <row r="51" spans="1:16" ht="15" customHeight="1" x14ac:dyDescent="0.2">
      <c r="A51" s="35">
        <v>47</v>
      </c>
      <c r="B51" s="35" t="s">
        <v>213</v>
      </c>
      <c r="C51" s="35" t="s">
        <v>268</v>
      </c>
      <c r="D51" s="34" t="s">
        <v>193</v>
      </c>
      <c r="E51" s="18" t="str">
        <f>IFERROR(INDEX(Reference!$E:$E,MATCH("Equity|"&amp;C51&amp;"|"&amp;B51,Reference!$A:$A,0)),"")</f>
        <v>Cash &amp; Equivalents</v>
      </c>
      <c r="F51" s="18" t="str">
        <f>IFERROR(INDEX(Reference!$G:$G,MATCH("Equity|"&amp;C51&amp;"|"&amp;B51,Reference!$A:$A,0)),"")</f>
        <v>United States</v>
      </c>
      <c r="G51" s="18" t="str">
        <f>IFERROR(INDEX(Reference!$H:$H,MATCH("Equity|"&amp;C51&amp;"|"&amp;B51,Reference!$A:$A,0)),"")</f>
        <v>Brokerage Cash</v>
      </c>
      <c r="H51" s="40">
        <v>1765.8</v>
      </c>
      <c r="I51" s="40">
        <v>1</v>
      </c>
      <c r="J51" s="41">
        <v>1</v>
      </c>
      <c r="K51" s="39">
        <f t="shared" si="0"/>
        <v>32.43</v>
      </c>
      <c r="L51" s="12">
        <f t="shared" si="1"/>
        <v>57264.894</v>
      </c>
      <c r="M51" s="12">
        <f t="shared" si="2"/>
        <v>57264.894</v>
      </c>
      <c r="N51" s="12">
        <f t="shared" si="3"/>
        <v>0</v>
      </c>
      <c r="O51" s="11">
        <f t="shared" si="4"/>
        <v>0</v>
      </c>
      <c r="P51" s="35"/>
    </row>
    <row r="52" spans="1:16" ht="15" customHeight="1" x14ac:dyDescent="0.2"/>
    <row r="53" spans="1:16" x14ac:dyDescent="0.2">
      <c r="A53" s="13" t="s">
        <v>69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14">
        <f>SUM(L5:L52)</f>
        <v>5000923.0075953016</v>
      </c>
      <c r="M53" s="14">
        <f>SUM(M5:M52)</f>
        <v>5252026.7804341866</v>
      </c>
      <c r="N53" s="14">
        <f>SUM(N5:N52)</f>
        <v>251103.7728388859</v>
      </c>
      <c r="O53" s="15">
        <f>IFERROR(N53/L53,0)</f>
        <v>5.0211485451288597E-2</v>
      </c>
      <c r="P53" s="43"/>
    </row>
  </sheetData>
  <autoFilter ref="A4:P45" xr:uid="{00000000-0009-0000-0000-000007000000}"/>
  <mergeCells count="1">
    <mergeCell ref="A2:P2"/>
  </mergeCells>
  <conditionalFormatting sqref="N5:O51">
    <cfRule type="cellIs" dxfId="3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 x14ac:dyDescent="0.2"/>
  <cols>
    <col min="1" max="1" width="5" customWidth="1"/>
    <col min="2" max="2" width="14" customWidth="1"/>
    <col min="3" max="3" width="22" customWidth="1"/>
    <col min="4" max="4" width="10" customWidth="1"/>
    <col min="5" max="5" width="20" customWidth="1"/>
    <col min="6" max="6" width="18" customWidth="1"/>
    <col min="7" max="7" width="22" customWidth="1"/>
    <col min="8" max="8" width="10" customWidth="1"/>
    <col min="9" max="9" width="14" customWidth="1"/>
    <col min="10" max="12" width="16" customWidth="1"/>
    <col min="13" max="13" width="10" customWidth="1"/>
  </cols>
  <sheetData>
    <row r="2" spans="1:13" ht="30" customHeight="1" x14ac:dyDescent="0.2">
      <c r="A2" s="49" t="s">
        <v>269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</row>
    <row r="4" spans="1:13" ht="36" customHeight="1" x14ac:dyDescent="0.2">
      <c r="A4" s="8" t="s">
        <v>242</v>
      </c>
      <c r="B4" s="8" t="s">
        <v>261</v>
      </c>
      <c r="C4" s="8" t="s">
        <v>262</v>
      </c>
      <c r="D4" s="8" t="s">
        <v>263</v>
      </c>
      <c r="E4" s="8" t="s">
        <v>51</v>
      </c>
      <c r="F4" s="8" t="s">
        <v>56</v>
      </c>
      <c r="G4" s="8" t="s">
        <v>88</v>
      </c>
      <c r="H4" s="8" t="s">
        <v>259</v>
      </c>
      <c r="I4" s="8" t="s">
        <v>264</v>
      </c>
      <c r="J4" s="8" t="s">
        <v>252</v>
      </c>
      <c r="K4" s="8" t="s">
        <v>253</v>
      </c>
      <c r="L4" s="8" t="s">
        <v>254</v>
      </c>
      <c r="M4" s="8" t="s">
        <v>115</v>
      </c>
    </row>
    <row r="5" spans="1:13" ht="15" customHeight="1" x14ac:dyDescent="0.2">
      <c r="A5" s="35">
        <v>1</v>
      </c>
      <c r="B5" s="35" t="s">
        <v>172</v>
      </c>
      <c r="C5" s="35" t="s">
        <v>171</v>
      </c>
      <c r="D5" s="34" t="s">
        <v>9</v>
      </c>
      <c r="E5" s="18" t="str">
        <f>IFERROR(INDEX(Reference!$E:$E,MATCH("Equity|"&amp;C5&amp;"|"&amp;B5,Reference!$A:$A,0)),"")</f>
        <v>Equity</v>
      </c>
      <c r="F5" s="18" t="str">
        <f>IFERROR(INDEX(Reference!$G:$G,MATCH("Equity|"&amp;C5&amp;"|"&amp;B5,Reference!$A:$A,0)),"")</f>
        <v>Thailand</v>
      </c>
      <c r="G5" s="18" t="str">
        <f>IFERROR(INDEX(Reference!$H:$H,MATCH("Equity|"&amp;C5&amp;"|"&amp;B5,Reference!$A:$A,0)),"")</f>
        <v>Thai Single Stock</v>
      </c>
      <c r="H5" s="44">
        <f>COUNTIFS('Equities - Lots'!$B:$B,B5,'Equities - Lots'!$C:$C,C5)</f>
        <v>1</v>
      </c>
      <c r="I5" s="41">
        <f>SUMIFS('Equities - Lots'!$H:$H,'Equities - Lots'!$B:$B,B5,'Equities - Lots'!$C:$C,C5)</f>
        <v>8000</v>
      </c>
      <c r="J5" s="10">
        <f>SUMIFS('Equities - Lots'!$L:$L,'Equities - Lots'!$B:$B,B5,'Equities - Lots'!$C:$C,C5)</f>
        <v>189918.51</v>
      </c>
      <c r="K5" s="10">
        <f>SUMIFS('Equities - Lots'!$M:$M,'Equities - Lots'!$B:$B,B5,'Equities - Lots'!$C:$C,C5)</f>
        <v>45600</v>
      </c>
      <c r="L5" s="12">
        <f t="shared" ref="L5:L49" si="0">K5-J5</f>
        <v>-144318.51</v>
      </c>
      <c r="M5" s="11">
        <f t="shared" ref="M5:M49" si="1">IFERROR(L5/J5,0)</f>
        <v>-0.75989702109604795</v>
      </c>
    </row>
    <row r="6" spans="1:13" ht="15" customHeight="1" x14ac:dyDescent="0.2">
      <c r="A6" s="35">
        <v>2</v>
      </c>
      <c r="B6" s="35" t="s">
        <v>172</v>
      </c>
      <c r="C6" s="35" t="s">
        <v>173</v>
      </c>
      <c r="D6" s="34" t="s">
        <v>9</v>
      </c>
      <c r="E6" s="18" t="str">
        <f>IFERROR(INDEX(Reference!$E:$E,MATCH("Equity|"&amp;C6&amp;"|"&amp;B6,Reference!$A:$A,0)),"")</f>
        <v>Equity</v>
      </c>
      <c r="F6" s="18" t="str">
        <f>IFERROR(INDEX(Reference!$G:$G,MATCH("Equity|"&amp;C6&amp;"|"&amp;B6,Reference!$A:$A,0)),"")</f>
        <v>Thailand</v>
      </c>
      <c r="G6" s="18" t="str">
        <f>IFERROR(INDEX(Reference!$H:$H,MATCH("Equity|"&amp;C6&amp;"|"&amp;B6,Reference!$A:$A,0)),"")</f>
        <v>Thai Single Stock</v>
      </c>
      <c r="H6" s="44">
        <f>COUNTIFS('Equities - Lots'!$B:$B,B6,'Equities - Lots'!$C:$C,C6)</f>
        <v>1</v>
      </c>
      <c r="I6" s="41">
        <f>SUMIFS('Equities - Lots'!$H:$H,'Equities - Lots'!$B:$B,B6,'Equities - Lots'!$C:$C,C6)</f>
        <v>500</v>
      </c>
      <c r="J6" s="10">
        <f>SUMIFS('Equities - Lots'!$L:$L,'Equities - Lots'!$B:$B,B6,'Equities - Lots'!$C:$C,C6)</f>
        <v>111187.42</v>
      </c>
      <c r="K6" s="10">
        <f>SUMIFS('Equities - Lots'!$M:$M,'Equities - Lots'!$B:$B,B6,'Equities - Lots'!$C:$C,C6)</f>
        <v>86500</v>
      </c>
      <c r="L6" s="12">
        <f t="shared" si="0"/>
        <v>-24687.42</v>
      </c>
      <c r="M6" s="11">
        <f t="shared" si="1"/>
        <v>-0.22203429128942823</v>
      </c>
    </row>
    <row r="7" spans="1:13" ht="15" customHeight="1" x14ac:dyDescent="0.2">
      <c r="A7" s="35">
        <v>3</v>
      </c>
      <c r="B7" s="35" t="s">
        <v>172</v>
      </c>
      <c r="C7" s="35" t="s">
        <v>174</v>
      </c>
      <c r="D7" s="34" t="s">
        <v>9</v>
      </c>
      <c r="E7" s="18" t="str">
        <f>IFERROR(INDEX(Reference!$E:$E,MATCH("Equity|"&amp;C7&amp;"|"&amp;B7,Reference!$A:$A,0)),"")</f>
        <v>Equity</v>
      </c>
      <c r="F7" s="18" t="str">
        <f>IFERROR(INDEX(Reference!$G:$G,MATCH("Equity|"&amp;C7&amp;"|"&amp;B7,Reference!$A:$A,0)),"")</f>
        <v>Thailand</v>
      </c>
      <c r="G7" s="18" t="str">
        <f>IFERROR(INDEX(Reference!$H:$H,MATCH("Equity|"&amp;C7&amp;"|"&amp;B7,Reference!$A:$A,0)),"")</f>
        <v>Thai Single Stock</v>
      </c>
      <c r="H7" s="44">
        <f>COUNTIFS('Equities - Lots'!$B:$B,B7,'Equities - Lots'!$C:$C,C7)</f>
        <v>1</v>
      </c>
      <c r="I7" s="41">
        <f>SUMIFS('Equities - Lots'!$H:$H,'Equities - Lots'!$B:$B,B7,'Equities - Lots'!$C:$C,C7)</f>
        <v>20000</v>
      </c>
      <c r="J7" s="10">
        <f>SUMIFS('Equities - Lots'!$L:$L,'Equities - Lots'!$B:$B,B7,'Equities - Lots'!$C:$C,C7)</f>
        <v>40067.54</v>
      </c>
      <c r="K7" s="10">
        <f>SUMIFS('Equities - Lots'!$M:$M,'Equities - Lots'!$B:$B,B7,'Equities - Lots'!$C:$C,C7)</f>
        <v>8800</v>
      </c>
      <c r="L7" s="12">
        <f t="shared" si="0"/>
        <v>-31267.54</v>
      </c>
      <c r="M7" s="11">
        <f t="shared" si="1"/>
        <v>-0.78037084383019273</v>
      </c>
    </row>
    <row r="8" spans="1:13" ht="15" customHeight="1" x14ac:dyDescent="0.2">
      <c r="A8" s="35">
        <v>4</v>
      </c>
      <c r="B8" s="35" t="s">
        <v>172</v>
      </c>
      <c r="C8" s="35" t="s">
        <v>175</v>
      </c>
      <c r="D8" s="34" t="s">
        <v>9</v>
      </c>
      <c r="E8" s="18" t="str">
        <f>IFERROR(INDEX(Reference!$E:$E,MATCH("Equity|"&amp;C8&amp;"|"&amp;B8,Reference!$A:$A,0)),"")</f>
        <v>Equity</v>
      </c>
      <c r="F8" s="18" t="str">
        <f>IFERROR(INDEX(Reference!$G:$G,MATCH("Equity|"&amp;C8&amp;"|"&amp;B8,Reference!$A:$A,0)),"")</f>
        <v>Thailand</v>
      </c>
      <c r="G8" s="18" t="str">
        <f>IFERROR(INDEX(Reference!$H:$H,MATCH("Equity|"&amp;C8&amp;"|"&amp;B8,Reference!$A:$A,0)),"")</f>
        <v>Thai Single Stock</v>
      </c>
      <c r="H8" s="44">
        <f>COUNTIFS('Equities - Lots'!$B:$B,B8,'Equities - Lots'!$C:$C,C8)</f>
        <v>1</v>
      </c>
      <c r="I8" s="41">
        <f>SUMIFS('Equities - Lots'!$H:$H,'Equities - Lots'!$B:$B,B8,'Equities - Lots'!$C:$C,C8)</f>
        <v>100000</v>
      </c>
      <c r="J8" s="10">
        <f>SUMIFS('Equities - Lots'!$L:$L,'Equities - Lots'!$B:$B,B8,'Equities - Lots'!$C:$C,C8)</f>
        <v>236398.5</v>
      </c>
      <c r="K8" s="10">
        <f>SUMIFS('Equities - Lots'!$M:$M,'Equities - Lots'!$B:$B,B8,'Equities - Lots'!$C:$C,C8)</f>
        <v>32000</v>
      </c>
      <c r="L8" s="12">
        <f t="shared" si="0"/>
        <v>-204398.5</v>
      </c>
      <c r="M8" s="11">
        <f t="shared" si="1"/>
        <v>-0.86463535090112675</v>
      </c>
    </row>
    <row r="9" spans="1:13" ht="15" customHeight="1" x14ac:dyDescent="0.2">
      <c r="A9" s="35">
        <v>5</v>
      </c>
      <c r="B9" s="35" t="s">
        <v>172</v>
      </c>
      <c r="C9" s="35" t="s">
        <v>176</v>
      </c>
      <c r="D9" s="34" t="s">
        <v>9</v>
      </c>
      <c r="E9" s="18" t="str">
        <f>IFERROR(INDEX(Reference!$E:$E,MATCH("Equity|"&amp;C9&amp;"|"&amp;B9,Reference!$A:$A,0)),"")</f>
        <v>Equity</v>
      </c>
      <c r="F9" s="18" t="str">
        <f>IFERROR(INDEX(Reference!$G:$G,MATCH("Equity|"&amp;C9&amp;"|"&amp;B9,Reference!$A:$A,0)),"")</f>
        <v>Thailand</v>
      </c>
      <c r="G9" s="18" t="str">
        <f>IFERROR(INDEX(Reference!$H:$H,MATCH("Equity|"&amp;C9&amp;"|"&amp;B9,Reference!$A:$A,0)),"")</f>
        <v>Thai Single Stock</v>
      </c>
      <c r="H9" s="44">
        <f>COUNTIFS('Equities - Lots'!$B:$B,B9,'Equities - Lots'!$C:$C,C9)</f>
        <v>1</v>
      </c>
      <c r="I9" s="41">
        <f>SUMIFS('Equities - Lots'!$H:$H,'Equities - Lots'!$B:$B,B9,'Equities - Lots'!$C:$C,C9)</f>
        <v>66</v>
      </c>
      <c r="J9" s="10">
        <f>SUMIFS('Equities - Lots'!$L:$L,'Equities - Lots'!$B:$B,B9,'Equities - Lots'!$C:$C,C9)</f>
        <v>0</v>
      </c>
      <c r="K9" s="10">
        <f>SUMIFS('Equities - Lots'!$M:$M,'Equities - Lots'!$B:$B,B9,'Equities - Lots'!$C:$C,C9)</f>
        <v>3.3000000000000003</v>
      </c>
      <c r="L9" s="12">
        <f t="shared" si="0"/>
        <v>3.3000000000000003</v>
      </c>
      <c r="M9" s="11">
        <f t="shared" si="1"/>
        <v>0</v>
      </c>
    </row>
    <row r="10" spans="1:13" ht="15" customHeight="1" x14ac:dyDescent="0.2">
      <c r="A10" s="35">
        <v>6</v>
      </c>
      <c r="B10" s="35" t="s">
        <v>172</v>
      </c>
      <c r="C10" s="35" t="s">
        <v>178</v>
      </c>
      <c r="D10" s="34" t="s">
        <v>9</v>
      </c>
      <c r="E10" s="18" t="str">
        <f>IFERROR(INDEX(Reference!$E:$E,MATCH("Equity|"&amp;C10&amp;"|"&amp;B10,Reference!$A:$A,0)),"")</f>
        <v>Equity</v>
      </c>
      <c r="F10" s="18" t="str">
        <f>IFERROR(INDEX(Reference!$G:$G,MATCH("Equity|"&amp;C10&amp;"|"&amp;B10,Reference!$A:$A,0)),"")</f>
        <v>Thailand</v>
      </c>
      <c r="G10" s="18" t="str">
        <f>IFERROR(INDEX(Reference!$H:$H,MATCH("Equity|"&amp;C10&amp;"|"&amp;B10,Reference!$A:$A,0)),"")</f>
        <v>Thai Single Stock</v>
      </c>
      <c r="H10" s="44">
        <f>COUNTIFS('Equities - Lots'!$B:$B,B10,'Equities - Lots'!$C:$C,C10)</f>
        <v>1</v>
      </c>
      <c r="I10" s="41">
        <f>SUMIFS('Equities - Lots'!$H:$H,'Equities - Lots'!$B:$B,B10,'Equities - Lots'!$C:$C,C10)</f>
        <v>100000</v>
      </c>
      <c r="J10" s="10">
        <f>SUMIFS('Equities - Lots'!$L:$L,'Equities - Lots'!$B:$B,B10,'Equities - Lots'!$C:$C,C10)</f>
        <v>32053.8</v>
      </c>
      <c r="K10" s="10">
        <f>SUMIFS('Equities - Lots'!$M:$M,'Equities - Lots'!$B:$B,B10,'Equities - Lots'!$C:$C,C10)</f>
        <v>9000</v>
      </c>
      <c r="L10" s="12">
        <f t="shared" si="0"/>
        <v>-23053.8</v>
      </c>
      <c r="M10" s="11">
        <f t="shared" si="1"/>
        <v>-0.71922205791513016</v>
      </c>
    </row>
    <row r="11" spans="1:13" ht="15" customHeight="1" x14ac:dyDescent="0.2">
      <c r="A11" s="35">
        <v>7</v>
      </c>
      <c r="B11" s="35" t="s">
        <v>172</v>
      </c>
      <c r="C11" s="35" t="s">
        <v>179</v>
      </c>
      <c r="D11" s="34" t="s">
        <v>9</v>
      </c>
      <c r="E11" s="18" t="str">
        <f>IFERROR(INDEX(Reference!$E:$E,MATCH("Equity|"&amp;C11&amp;"|"&amp;B11,Reference!$A:$A,0)),"")</f>
        <v>Equity</v>
      </c>
      <c r="F11" s="18" t="str">
        <f>IFERROR(INDEX(Reference!$G:$G,MATCH("Equity|"&amp;C11&amp;"|"&amp;B11,Reference!$A:$A,0)),"")</f>
        <v>Thailand</v>
      </c>
      <c r="G11" s="18" t="str">
        <f>IFERROR(INDEX(Reference!$H:$H,MATCH("Equity|"&amp;C11&amp;"|"&amp;B11,Reference!$A:$A,0)),"")</f>
        <v>Thai Single Stock</v>
      </c>
      <c r="H11" s="44">
        <f>COUNTIFS('Equities - Lots'!$B:$B,B11,'Equities - Lots'!$C:$C,C11)</f>
        <v>1</v>
      </c>
      <c r="I11" s="41">
        <f>SUMIFS('Equities - Lots'!$H:$H,'Equities - Lots'!$B:$B,B11,'Equities - Lots'!$C:$C,C11)</f>
        <v>10297</v>
      </c>
      <c r="J11" s="10">
        <f>SUMIFS('Equities - Lots'!$L:$L,'Equities - Lots'!$B:$B,B11,'Equities - Lots'!$C:$C,C11)</f>
        <v>106999.99999999997</v>
      </c>
      <c r="K11" s="10">
        <f>SUMIFS('Equities - Lots'!$M:$M,'Equities - Lots'!$B:$B,B11,'Equities - Lots'!$C:$C,C11)</f>
        <v>638414</v>
      </c>
      <c r="L11" s="12">
        <f t="shared" si="0"/>
        <v>531414</v>
      </c>
      <c r="M11" s="11">
        <f t="shared" si="1"/>
        <v>4.9664859813084128</v>
      </c>
    </row>
    <row r="12" spans="1:13" ht="15" customHeight="1" x14ac:dyDescent="0.2">
      <c r="A12" s="35">
        <v>8</v>
      </c>
      <c r="B12" s="35" t="s">
        <v>172</v>
      </c>
      <c r="C12" s="35" t="s">
        <v>180</v>
      </c>
      <c r="D12" s="34" t="s">
        <v>9</v>
      </c>
      <c r="E12" s="18" t="str">
        <f>IFERROR(INDEX(Reference!$E:$E,MATCH("Equity|"&amp;C12&amp;"|"&amp;B12,Reference!$A:$A,0)),"")</f>
        <v>Equity</v>
      </c>
      <c r="F12" s="18" t="str">
        <f>IFERROR(INDEX(Reference!$G:$G,MATCH("Equity|"&amp;C12&amp;"|"&amp;B12,Reference!$A:$A,0)),"")</f>
        <v>Thailand</v>
      </c>
      <c r="G12" s="18" t="str">
        <f>IFERROR(INDEX(Reference!$H:$H,MATCH("Equity|"&amp;C12&amp;"|"&amp;B12,Reference!$A:$A,0)),"")</f>
        <v>Thai Single Stock</v>
      </c>
      <c r="H12" s="44">
        <f>COUNTIFS('Equities - Lots'!$B:$B,B12,'Equities - Lots'!$C:$C,C12)</f>
        <v>1</v>
      </c>
      <c r="I12" s="41">
        <f>SUMIFS('Equities - Lots'!$H:$H,'Equities - Lots'!$B:$B,B12,'Equities - Lots'!$C:$C,C12)</f>
        <v>5000</v>
      </c>
      <c r="J12" s="10">
        <f>SUMIFS('Equities - Lots'!$L:$L,'Equities - Lots'!$B:$B,B12,'Equities - Lots'!$C:$C,C12)</f>
        <v>190319.18000000002</v>
      </c>
      <c r="K12" s="10">
        <f>SUMIFS('Equities - Lots'!$M:$M,'Equities - Lots'!$B:$B,B12,'Equities - Lots'!$C:$C,C12)</f>
        <v>47500</v>
      </c>
      <c r="L12" s="12">
        <f t="shared" si="0"/>
        <v>-142819.18000000002</v>
      </c>
      <c r="M12" s="11">
        <f t="shared" si="1"/>
        <v>-0.75041926935582637</v>
      </c>
    </row>
    <row r="13" spans="1:13" ht="15" customHeight="1" x14ac:dyDescent="0.2">
      <c r="A13" s="35">
        <v>9</v>
      </c>
      <c r="B13" s="35" t="s">
        <v>172</v>
      </c>
      <c r="C13" s="35" t="s">
        <v>181</v>
      </c>
      <c r="D13" s="34" t="s">
        <v>9</v>
      </c>
      <c r="E13" s="18" t="str">
        <f>IFERROR(INDEX(Reference!$E:$E,MATCH("Equity|"&amp;C13&amp;"|"&amp;B13,Reference!$A:$A,0)),"")</f>
        <v>Equity</v>
      </c>
      <c r="F13" s="18" t="str">
        <f>IFERROR(INDEX(Reference!$G:$G,MATCH("Equity|"&amp;C13&amp;"|"&amp;B13,Reference!$A:$A,0)),"")</f>
        <v>Thailand</v>
      </c>
      <c r="G13" s="18" t="str">
        <f>IFERROR(INDEX(Reference!$H:$H,MATCH("Equity|"&amp;C13&amp;"|"&amp;B13,Reference!$A:$A,0)),"")</f>
        <v>Thai Single Stock</v>
      </c>
      <c r="H13" s="44">
        <f>COUNTIFS('Equities - Lots'!$B:$B,B13,'Equities - Lots'!$C:$C,C13)</f>
        <v>1</v>
      </c>
      <c r="I13" s="41">
        <f>SUMIFS('Equities - Lots'!$H:$H,'Equities - Lots'!$B:$B,B13,'Equities - Lots'!$C:$C,C13)</f>
        <v>5000</v>
      </c>
      <c r="J13" s="10">
        <f>SUMIFS('Equities - Lots'!$L:$L,'Equities - Lots'!$B:$B,B13,'Equities - Lots'!$C:$C,C13)</f>
        <v>141487.28</v>
      </c>
      <c r="K13" s="10">
        <f>SUMIFS('Equities - Lots'!$M:$M,'Equities - Lots'!$B:$B,B13,'Equities - Lots'!$C:$C,C13)</f>
        <v>76500</v>
      </c>
      <c r="L13" s="12">
        <f t="shared" si="0"/>
        <v>-64987.28</v>
      </c>
      <c r="M13" s="11">
        <f t="shared" si="1"/>
        <v>-0.45931535329536338</v>
      </c>
    </row>
    <row r="14" spans="1:13" ht="15" customHeight="1" x14ac:dyDescent="0.2">
      <c r="A14" s="35">
        <v>10</v>
      </c>
      <c r="B14" s="35" t="s">
        <v>172</v>
      </c>
      <c r="C14" s="35" t="s">
        <v>182</v>
      </c>
      <c r="D14" s="34" t="s">
        <v>9</v>
      </c>
      <c r="E14" s="18" t="str">
        <f>IFERROR(INDEX(Reference!$E:$E,MATCH("Equity|"&amp;C14&amp;"|"&amp;B14,Reference!$A:$A,0)),"")</f>
        <v>Equity</v>
      </c>
      <c r="F14" s="18" t="str">
        <f>IFERROR(INDEX(Reference!$G:$G,MATCH("Equity|"&amp;C14&amp;"|"&amp;B14,Reference!$A:$A,0)),"")</f>
        <v>Thailand</v>
      </c>
      <c r="G14" s="18" t="str">
        <f>IFERROR(INDEX(Reference!$H:$H,MATCH("Equity|"&amp;C14&amp;"|"&amp;B14,Reference!$A:$A,0)),"")</f>
        <v>Thai Single Stock</v>
      </c>
      <c r="H14" s="44">
        <f>COUNTIFS('Equities - Lots'!$B:$B,B14,'Equities - Lots'!$C:$C,C14)</f>
        <v>1</v>
      </c>
      <c r="I14" s="41">
        <f>SUMIFS('Equities - Lots'!$H:$H,'Equities - Lots'!$B:$B,B14,'Equities - Lots'!$C:$C,C14)</f>
        <v>5000</v>
      </c>
      <c r="J14" s="10">
        <f>SUMIFS('Equities - Lots'!$L:$L,'Equities - Lots'!$B:$B,B14,'Equities - Lots'!$C:$C,C14)</f>
        <v>140235.19</v>
      </c>
      <c r="K14" s="10">
        <f>SUMIFS('Equities - Lots'!$M:$M,'Equities - Lots'!$B:$B,B14,'Equities - Lots'!$C:$C,C14)</f>
        <v>65000</v>
      </c>
      <c r="L14" s="12">
        <f t="shared" si="0"/>
        <v>-75235.19</v>
      </c>
      <c r="M14" s="11">
        <f t="shared" si="1"/>
        <v>-0.53649294445994622</v>
      </c>
    </row>
    <row r="15" spans="1:13" ht="15" customHeight="1" x14ac:dyDescent="0.2">
      <c r="A15" s="35">
        <v>11</v>
      </c>
      <c r="B15" s="35" t="s">
        <v>172</v>
      </c>
      <c r="C15" s="35" t="s">
        <v>183</v>
      </c>
      <c r="D15" s="34" t="s">
        <v>9</v>
      </c>
      <c r="E15" s="18" t="str">
        <f>IFERROR(INDEX(Reference!$E:$E,MATCH("Equity|"&amp;C15&amp;"|"&amp;B15,Reference!$A:$A,0)),"")</f>
        <v>Equity</v>
      </c>
      <c r="F15" s="18" t="str">
        <f>IFERROR(INDEX(Reference!$G:$G,MATCH("Equity|"&amp;C15&amp;"|"&amp;B15,Reference!$A:$A,0)),"")</f>
        <v>Thailand</v>
      </c>
      <c r="G15" s="18" t="str">
        <f>IFERROR(INDEX(Reference!$H:$H,MATCH("Equity|"&amp;C15&amp;"|"&amp;B15,Reference!$A:$A,0)),"")</f>
        <v>Thai Single Stock</v>
      </c>
      <c r="H15" s="44">
        <f>COUNTIFS('Equities - Lots'!$B:$B,B15,'Equities - Lots'!$C:$C,C15)</f>
        <v>1</v>
      </c>
      <c r="I15" s="41">
        <f>SUMIFS('Equities - Lots'!$H:$H,'Equities - Lots'!$B:$B,B15,'Equities - Lots'!$C:$C,C15)</f>
        <v>4000</v>
      </c>
      <c r="J15" s="10">
        <f>SUMIFS('Equities - Lots'!$L:$L,'Equities - Lots'!$B:$B,B15,'Equities - Lots'!$C:$C,C15)</f>
        <v>80135.08</v>
      </c>
      <c r="K15" s="10">
        <f>SUMIFS('Equities - Lots'!$M:$M,'Equities - Lots'!$B:$B,B15,'Equities - Lots'!$C:$C,C15)</f>
        <v>22000</v>
      </c>
      <c r="L15" s="12">
        <f t="shared" si="0"/>
        <v>-58135.08</v>
      </c>
      <c r="M15" s="11">
        <f t="shared" si="1"/>
        <v>-0.72546355478774094</v>
      </c>
    </row>
    <row r="16" spans="1:13" ht="15" customHeight="1" x14ac:dyDescent="0.2">
      <c r="A16" s="35">
        <v>12</v>
      </c>
      <c r="B16" s="35" t="s">
        <v>172</v>
      </c>
      <c r="C16" s="35" t="s">
        <v>184</v>
      </c>
      <c r="D16" s="34" t="s">
        <v>9</v>
      </c>
      <c r="E16" s="18" t="str">
        <f>IFERROR(INDEX(Reference!$E:$E,MATCH("Equity|"&amp;C16&amp;"|"&amp;B16,Reference!$A:$A,0)),"")</f>
        <v>Equity</v>
      </c>
      <c r="F16" s="18" t="str">
        <f>IFERROR(INDEX(Reference!$G:$G,MATCH("Equity|"&amp;C16&amp;"|"&amp;B16,Reference!$A:$A,0)),"")</f>
        <v>Thailand</v>
      </c>
      <c r="G16" s="18" t="str">
        <f>IFERROR(INDEX(Reference!$H:$H,MATCH("Equity|"&amp;C16&amp;"|"&amp;B16,Reference!$A:$A,0)),"")</f>
        <v>Thai Single Stock</v>
      </c>
      <c r="H16" s="44">
        <f>COUNTIFS('Equities - Lots'!$B:$B,B16,'Equities - Lots'!$C:$C,C16)</f>
        <v>1</v>
      </c>
      <c r="I16" s="41">
        <f>SUMIFS('Equities - Lots'!$H:$H,'Equities - Lots'!$B:$B,B16,'Equities - Lots'!$C:$C,C16)</f>
        <v>3993</v>
      </c>
      <c r="J16" s="10">
        <f>SUMIFS('Equities - Lots'!$L:$L,'Equities - Lots'!$B:$B,B16,'Equities - Lots'!$C:$C,C16)</f>
        <v>113440.25000000012</v>
      </c>
      <c r="K16" s="10">
        <f>SUMIFS('Equities - Lots'!$M:$M,'Equities - Lots'!$B:$B,B16,'Equities - Lots'!$C:$C,C16)</f>
        <v>87446.7</v>
      </c>
      <c r="L16" s="12">
        <f t="shared" si="0"/>
        <v>-25993.550000000119</v>
      </c>
      <c r="M16" s="11">
        <f t="shared" si="1"/>
        <v>-0.22913868754696937</v>
      </c>
    </row>
    <row r="17" spans="1:13" ht="15" customHeight="1" x14ac:dyDescent="0.2">
      <c r="A17" s="35">
        <v>13</v>
      </c>
      <c r="B17" s="35" t="s">
        <v>172</v>
      </c>
      <c r="C17" s="35" t="s">
        <v>185</v>
      </c>
      <c r="D17" s="34" t="s">
        <v>9</v>
      </c>
      <c r="E17" s="18" t="str">
        <f>IFERROR(INDEX(Reference!$E:$E,MATCH("Equity|"&amp;C17&amp;"|"&amp;B17,Reference!$A:$A,0)),"")</f>
        <v>Equity</v>
      </c>
      <c r="F17" s="18" t="str">
        <f>IFERROR(INDEX(Reference!$G:$G,MATCH("Equity|"&amp;C17&amp;"|"&amp;B17,Reference!$A:$A,0)),"")</f>
        <v>Thailand</v>
      </c>
      <c r="G17" s="18" t="str">
        <f>IFERROR(INDEX(Reference!$H:$H,MATCH("Equity|"&amp;C17&amp;"|"&amp;B17,Reference!$A:$A,0)),"")</f>
        <v>Thai Single Stock</v>
      </c>
      <c r="H17" s="44">
        <f>COUNTIFS('Equities - Lots'!$B:$B,B17,'Equities - Lots'!$C:$C,C17)</f>
        <v>1</v>
      </c>
      <c r="I17" s="41">
        <f>SUMIFS('Equities - Lots'!$H:$H,'Equities - Lots'!$B:$B,B17,'Equities - Lots'!$C:$C,C17)</f>
        <v>1000</v>
      </c>
      <c r="J17" s="10">
        <f>SUMIFS('Equities - Lots'!$L:$L,'Equities - Lots'!$B:$B,B17,'Equities - Lots'!$C:$C,C17)</f>
        <v>96662.12</v>
      </c>
      <c r="K17" s="10">
        <f>SUMIFS('Equities - Lots'!$M:$M,'Equities - Lots'!$B:$B,B17,'Equities - Lots'!$C:$C,C17)</f>
        <v>3540</v>
      </c>
      <c r="L17" s="12">
        <f t="shared" si="0"/>
        <v>-93122.12</v>
      </c>
      <c r="M17" s="11">
        <f t="shared" si="1"/>
        <v>-0.96337758782861371</v>
      </c>
    </row>
    <row r="18" spans="1:13" ht="15" customHeight="1" x14ac:dyDescent="0.2">
      <c r="A18" s="35">
        <v>14</v>
      </c>
      <c r="B18" s="35" t="s">
        <v>172</v>
      </c>
      <c r="C18" s="35" t="s">
        <v>268</v>
      </c>
      <c r="D18" s="34" t="s">
        <v>9</v>
      </c>
      <c r="E18" s="18" t="str">
        <f>IFERROR(INDEX(Reference!$E:$E,MATCH("Equity|"&amp;C18&amp;"|"&amp;B18,Reference!$A:$A,0)),"")</f>
        <v>Cash &amp; Equivalents</v>
      </c>
      <c r="F18" s="18" t="str">
        <f>IFERROR(INDEX(Reference!$G:$G,MATCH("Equity|"&amp;C18&amp;"|"&amp;B18,Reference!$A:$A,0)),"")</f>
        <v>Thailand</v>
      </c>
      <c r="G18" s="18" t="str">
        <f>IFERROR(INDEX(Reference!$H:$H,MATCH("Equity|"&amp;C18&amp;"|"&amp;B18,Reference!$A:$A,0)),"")</f>
        <v>Brokerage Cash</v>
      </c>
      <c r="H18" s="44">
        <f>COUNTIFS('Equities - Lots'!$B:$B,B18,'Equities - Lots'!$C:$C,C18)</f>
        <v>1</v>
      </c>
      <c r="I18" s="41">
        <f>SUMIFS('Equities - Lots'!$H:$H,'Equities - Lots'!$B:$B,B18,'Equities - Lots'!$C:$C,C18)</f>
        <v>191585.49</v>
      </c>
      <c r="J18" s="10">
        <f>SUMIFS('Equities - Lots'!$L:$L,'Equities - Lots'!$B:$B,B18,'Equities - Lots'!$C:$C,C18)</f>
        <v>191585.49</v>
      </c>
      <c r="K18" s="10">
        <f>SUMIFS('Equities - Lots'!$M:$M,'Equities - Lots'!$B:$B,B18,'Equities - Lots'!$C:$C,C18)</f>
        <v>191585.49</v>
      </c>
      <c r="L18" s="12">
        <f t="shared" si="0"/>
        <v>0</v>
      </c>
      <c r="M18" s="11">
        <f t="shared" si="1"/>
        <v>0</v>
      </c>
    </row>
    <row r="19" spans="1:13" ht="15" customHeight="1" x14ac:dyDescent="0.2">
      <c r="A19" s="35">
        <v>15</v>
      </c>
      <c r="B19" s="35" t="s">
        <v>187</v>
      </c>
      <c r="C19" s="35" t="s">
        <v>188</v>
      </c>
      <c r="D19" s="34" t="s">
        <v>9</v>
      </c>
      <c r="E19" s="18" t="str">
        <f>IFERROR(INDEX(Reference!$E:$E,MATCH("Equity|"&amp;C19&amp;"|"&amp;B19,Reference!$A:$A,0)),"")</f>
        <v>Equity</v>
      </c>
      <c r="F19" s="18" t="str">
        <f>IFERROR(INDEX(Reference!$G:$G,MATCH("Equity|"&amp;C19&amp;"|"&amp;B19,Reference!$A:$A,0)),"")</f>
        <v>Thailand</v>
      </c>
      <c r="G19" s="18" t="str">
        <f>IFERROR(INDEX(Reference!$H:$H,MATCH("Equity|"&amp;C19&amp;"|"&amp;B19,Reference!$A:$A,0)),"")</f>
        <v>Thai Single Stock</v>
      </c>
      <c r="H19" s="44">
        <f>COUNTIFS('Equities - Lots'!$B:$B,B19,'Equities - Lots'!$C:$C,C19)</f>
        <v>1</v>
      </c>
      <c r="I19" s="41">
        <f>SUMIFS('Equities - Lots'!$H:$H,'Equities - Lots'!$B:$B,B19,'Equities - Lots'!$C:$C,C19)</f>
        <v>20000</v>
      </c>
      <c r="J19" s="10">
        <f>SUMIFS('Equities - Lots'!$L:$L,'Equities - Lots'!$B:$B,B19,'Equities - Lots'!$C:$C,C19)</f>
        <v>144241.91</v>
      </c>
      <c r="K19" s="10">
        <f>SUMIFS('Equities - Lots'!$M:$M,'Equities - Lots'!$B:$B,B19,'Equities - Lots'!$C:$C,C19)</f>
        <v>55199.999999999993</v>
      </c>
      <c r="L19" s="12">
        <f t="shared" si="0"/>
        <v>-89041.91</v>
      </c>
      <c r="M19" s="11">
        <f t="shared" si="1"/>
        <v>-0.61730956003009108</v>
      </c>
    </row>
    <row r="20" spans="1:13" ht="15" customHeight="1" x14ac:dyDescent="0.2">
      <c r="A20" s="35">
        <v>16</v>
      </c>
      <c r="B20" s="35" t="s">
        <v>187</v>
      </c>
      <c r="C20" s="35" t="s">
        <v>189</v>
      </c>
      <c r="D20" s="34" t="s">
        <v>9</v>
      </c>
      <c r="E20" s="18" t="str">
        <f>IFERROR(INDEX(Reference!$E:$E,MATCH("Equity|"&amp;C20&amp;"|"&amp;B20,Reference!$A:$A,0)),"")</f>
        <v>Equity</v>
      </c>
      <c r="F20" s="18" t="str">
        <f>IFERROR(INDEX(Reference!$G:$G,MATCH("Equity|"&amp;C20&amp;"|"&amp;B20,Reference!$A:$A,0)),"")</f>
        <v>Thailand</v>
      </c>
      <c r="G20" s="18" t="str">
        <f>IFERROR(INDEX(Reference!$H:$H,MATCH("Equity|"&amp;C20&amp;"|"&amp;B20,Reference!$A:$A,0)),"")</f>
        <v>Thai Single Stock</v>
      </c>
      <c r="H20" s="44">
        <f>COUNTIFS('Equities - Lots'!$B:$B,B20,'Equities - Lots'!$C:$C,C20)</f>
        <v>1</v>
      </c>
      <c r="I20" s="41">
        <f>SUMIFS('Equities - Lots'!$H:$H,'Equities - Lots'!$B:$B,B20,'Equities - Lots'!$C:$C,C20)</f>
        <v>4400</v>
      </c>
      <c r="J20" s="10">
        <f>SUMIFS('Equities - Lots'!$L:$L,'Equities - Lots'!$B:$B,B20,'Equities - Lots'!$C:$C,C20)</f>
        <v>79200</v>
      </c>
      <c r="K20" s="10">
        <f>SUMIFS('Equities - Lots'!$M:$M,'Equities - Lots'!$B:$B,B20,'Equities - Lots'!$C:$C,C20)</f>
        <v>54560</v>
      </c>
      <c r="L20" s="12">
        <f t="shared" si="0"/>
        <v>-24640</v>
      </c>
      <c r="M20" s="11">
        <f t="shared" si="1"/>
        <v>-0.31111111111111112</v>
      </c>
    </row>
    <row r="21" spans="1:13" ht="15" customHeight="1" x14ac:dyDescent="0.2">
      <c r="A21" s="35">
        <v>17</v>
      </c>
      <c r="B21" s="35" t="s">
        <v>187</v>
      </c>
      <c r="C21" s="35" t="s">
        <v>190</v>
      </c>
      <c r="D21" s="34" t="s">
        <v>9</v>
      </c>
      <c r="E21" s="18" t="str">
        <f>IFERROR(INDEX(Reference!$E:$E,MATCH("Equity|"&amp;C21&amp;"|"&amp;B21,Reference!$A:$A,0)),"")</f>
        <v>Equity</v>
      </c>
      <c r="F21" s="18" t="str">
        <f>IFERROR(INDEX(Reference!$G:$G,MATCH("Equity|"&amp;C21&amp;"|"&amp;B21,Reference!$A:$A,0)),"")</f>
        <v>Thailand</v>
      </c>
      <c r="G21" s="18" t="str">
        <f>IFERROR(INDEX(Reference!$H:$H,MATCH("Equity|"&amp;C21&amp;"|"&amp;B21,Reference!$A:$A,0)),"")</f>
        <v>Thai Single Stock</v>
      </c>
      <c r="H21" s="44">
        <f>COUNTIFS('Equities - Lots'!$B:$B,B21,'Equities - Lots'!$C:$C,C21)</f>
        <v>1</v>
      </c>
      <c r="I21" s="41">
        <f>SUMIFS('Equities - Lots'!$H:$H,'Equities - Lots'!$B:$B,B21,'Equities - Lots'!$C:$C,C21)</f>
        <v>1254</v>
      </c>
      <c r="J21" s="10">
        <f>SUMIFS('Equities - Lots'!$L:$L,'Equities - Lots'!$B:$B,B21,'Equities - Lots'!$C:$C,C21)</f>
        <v>37439.800000000039</v>
      </c>
      <c r="K21" s="10">
        <f>SUMIFS('Equities - Lots'!$M:$M,'Equities - Lots'!$B:$B,B21,'Equities - Lots'!$C:$C,C21)</f>
        <v>22948.2</v>
      </c>
      <c r="L21" s="12">
        <f t="shared" si="0"/>
        <v>-14491.600000000039</v>
      </c>
      <c r="M21" s="11">
        <f t="shared" si="1"/>
        <v>-0.38706403346171786</v>
      </c>
    </row>
    <row r="22" spans="1:13" ht="15" customHeight="1" x14ac:dyDescent="0.2">
      <c r="A22" s="35">
        <v>18</v>
      </c>
      <c r="B22" s="35" t="s">
        <v>187</v>
      </c>
      <c r="C22" s="35" t="s">
        <v>186</v>
      </c>
      <c r="D22" s="34" t="s">
        <v>9</v>
      </c>
      <c r="E22" s="18" t="str">
        <f>IFERROR(INDEX(Reference!$E:$E,MATCH("Equity|"&amp;C22&amp;"|"&amp;B22,Reference!$A:$A,0)),"")</f>
        <v>Equity</v>
      </c>
      <c r="F22" s="18" t="str">
        <f>IFERROR(INDEX(Reference!$G:$G,MATCH("Equity|"&amp;C22&amp;"|"&amp;B22,Reference!$A:$A,0)),"")</f>
        <v>Thailand</v>
      </c>
      <c r="G22" s="18" t="str">
        <f>IFERROR(INDEX(Reference!$H:$H,MATCH("Equity|"&amp;C22&amp;"|"&amp;B22,Reference!$A:$A,0)),"")</f>
        <v>Thai Single Stock</v>
      </c>
      <c r="H22" s="44">
        <f>COUNTIFS('Equities - Lots'!$B:$B,B22,'Equities - Lots'!$C:$C,C22)</f>
        <v>1</v>
      </c>
      <c r="I22" s="41">
        <f>SUMIFS('Equities - Lots'!$H:$H,'Equities - Lots'!$B:$B,B22,'Equities - Lots'!$C:$C,C22)</f>
        <v>10000</v>
      </c>
      <c r="J22" s="10">
        <f>SUMIFS('Equities - Lots'!$L:$L,'Equities - Lots'!$B:$B,B22,'Equities - Lots'!$C:$C,C22)</f>
        <v>78673.88</v>
      </c>
      <c r="K22" s="10">
        <f>SUMIFS('Equities - Lots'!$M:$M,'Equities - Lots'!$B:$B,B22,'Equities - Lots'!$C:$C,C22)</f>
        <v>46000</v>
      </c>
      <c r="L22" s="12">
        <f t="shared" si="0"/>
        <v>-32673.880000000005</v>
      </c>
      <c r="M22" s="11">
        <f t="shared" si="1"/>
        <v>-0.41530785058522601</v>
      </c>
    </row>
    <row r="23" spans="1:13" ht="15" customHeight="1" x14ac:dyDescent="0.2">
      <c r="A23" s="35">
        <v>19</v>
      </c>
      <c r="B23" s="35" t="s">
        <v>187</v>
      </c>
      <c r="C23" s="35" t="s">
        <v>268</v>
      </c>
      <c r="D23" s="34" t="s">
        <v>9</v>
      </c>
      <c r="E23" s="18" t="str">
        <f>IFERROR(INDEX(Reference!$E:$E,MATCH("Equity|"&amp;C23&amp;"|"&amp;B23,Reference!$A:$A,0)),"")</f>
        <v>Cash &amp; Equivalents</v>
      </c>
      <c r="F23" s="18" t="str">
        <f>IFERROR(INDEX(Reference!$G:$G,MATCH("Equity|"&amp;C23&amp;"|"&amp;B23,Reference!$A:$A,0)),"")</f>
        <v>Thailand</v>
      </c>
      <c r="G23" s="18" t="str">
        <f>IFERROR(INDEX(Reference!$H:$H,MATCH("Equity|"&amp;C23&amp;"|"&amp;B23,Reference!$A:$A,0)),"")</f>
        <v>Brokerage Cash</v>
      </c>
      <c r="H23" s="44">
        <f>COUNTIFS('Equities - Lots'!$B:$B,B23,'Equities - Lots'!$C:$C,C23)</f>
        <v>2</v>
      </c>
      <c r="I23" s="41">
        <f>SUMIFS('Equities - Lots'!$H:$H,'Equities - Lots'!$B:$B,B23,'Equities - Lots'!$C:$C,C23)</f>
        <v>115428.05</v>
      </c>
      <c r="J23" s="10">
        <f>SUMIFS('Equities - Lots'!$L:$L,'Equities - Lots'!$B:$B,B23,'Equities - Lots'!$C:$C,C23)</f>
        <v>115428.05</v>
      </c>
      <c r="K23" s="10">
        <f>SUMIFS('Equities - Lots'!$M:$M,'Equities - Lots'!$B:$B,B23,'Equities - Lots'!$C:$C,C23)</f>
        <v>115428.05</v>
      </c>
      <c r="L23" s="12">
        <f t="shared" si="0"/>
        <v>0</v>
      </c>
      <c r="M23" s="11">
        <f t="shared" si="1"/>
        <v>0</v>
      </c>
    </row>
    <row r="24" spans="1:13" ht="15" customHeight="1" x14ac:dyDescent="0.2">
      <c r="A24" s="35">
        <v>20</v>
      </c>
      <c r="B24" s="35" t="s">
        <v>192</v>
      </c>
      <c r="C24" s="35" t="s">
        <v>191</v>
      </c>
      <c r="D24" s="34" t="s">
        <v>193</v>
      </c>
      <c r="E24" s="18" t="str">
        <f>IFERROR(INDEX(Reference!$E:$E,MATCH("Equity|"&amp;C24&amp;"|"&amp;B24,Reference!$A:$A,0)),"")</f>
        <v>Equity</v>
      </c>
      <c r="F24" s="18" t="str">
        <f>IFERROR(INDEX(Reference!$G:$G,MATCH("Equity|"&amp;C24&amp;"|"&amp;B24,Reference!$A:$A,0)),"")</f>
        <v>United States</v>
      </c>
      <c r="G24" s="18" t="str">
        <f>IFERROR(INDEX(Reference!$H:$H,MATCH("Equity|"&amp;C24&amp;"|"&amp;B24,Reference!$A:$A,0)),"")</f>
        <v>US Single Stock</v>
      </c>
      <c r="H24" s="44">
        <f>COUNTIFS('Equities - Lots'!$B:$B,B24,'Equities - Lots'!$C:$C,C24)</f>
        <v>1</v>
      </c>
      <c r="I24" s="41">
        <f>SUMIFS('Equities - Lots'!$H:$H,'Equities - Lots'!$B:$B,B24,'Equities - Lots'!$C:$C,C24)</f>
        <v>7.0598217999999999</v>
      </c>
      <c r="J24" s="10">
        <f>SUMIFS('Equities - Lots'!$L:$L,'Equities - Lots'!$B:$B,B24,'Equities - Lots'!$C:$C,C24)</f>
        <v>16189.055983071537</v>
      </c>
      <c r="K24" s="10">
        <f>SUMIFS('Equities - Lots'!$M:$M,'Equities - Lots'!$B:$B,B24,'Equities - Lots'!$C:$C,C24)</f>
        <v>34436.372654699335</v>
      </c>
      <c r="L24" s="12">
        <f t="shared" si="0"/>
        <v>18247.316671627799</v>
      </c>
      <c r="M24" s="11">
        <f t="shared" si="1"/>
        <v>1.1271390185263754</v>
      </c>
    </row>
    <row r="25" spans="1:13" ht="15" customHeight="1" x14ac:dyDescent="0.2">
      <c r="A25" s="35">
        <v>21</v>
      </c>
      <c r="B25" s="35" t="s">
        <v>192</v>
      </c>
      <c r="C25" s="35" t="s">
        <v>194</v>
      </c>
      <c r="D25" s="34" t="s">
        <v>193</v>
      </c>
      <c r="E25" s="18" t="str">
        <f>IFERROR(INDEX(Reference!$E:$E,MATCH("Equity|"&amp;C25&amp;"|"&amp;B25,Reference!$A:$A,0)),"")</f>
        <v>Equity</v>
      </c>
      <c r="F25" s="18" t="str">
        <f>IFERROR(INDEX(Reference!$G:$G,MATCH("Equity|"&amp;C25&amp;"|"&amp;B25,Reference!$A:$A,0)),"")</f>
        <v>United States</v>
      </c>
      <c r="G25" s="18" t="str">
        <f>IFERROR(INDEX(Reference!$H:$H,MATCH("Equity|"&amp;C25&amp;"|"&amp;B25,Reference!$A:$A,0)),"")</f>
        <v>US Single Stock</v>
      </c>
      <c r="H25" s="44">
        <f>COUNTIFS('Equities - Lots'!$B:$B,B25,'Equities - Lots'!$C:$C,C25)</f>
        <v>1</v>
      </c>
      <c r="I25" s="41">
        <f>SUMIFS('Equities - Lots'!$H:$H,'Equities - Lots'!$B:$B,B25,'Equities - Lots'!$C:$C,C25)</f>
        <v>1.1623087999999999</v>
      </c>
      <c r="J25" s="10">
        <f>SUMIFS('Equities - Lots'!$L:$L,'Equities - Lots'!$B:$B,B25,'Equities - Lots'!$C:$C,C25)</f>
        <v>16189.056211184159</v>
      </c>
      <c r="K25" s="10">
        <f>SUMIFS('Equities - Lots'!$M:$M,'Equities - Lots'!$B:$B,B25,'Equities - Lots'!$C:$C,C25)</f>
        <v>9770.5773370766383</v>
      </c>
      <c r="L25" s="12">
        <f t="shared" si="0"/>
        <v>-6418.4788741075208</v>
      </c>
      <c r="M25" s="11">
        <f t="shared" si="1"/>
        <v>-0.39647023213578902</v>
      </c>
    </row>
    <row r="26" spans="1:13" ht="15" customHeight="1" x14ac:dyDescent="0.2">
      <c r="A26" s="35">
        <v>22</v>
      </c>
      <c r="B26" s="35" t="s">
        <v>192</v>
      </c>
      <c r="C26" s="35" t="s">
        <v>195</v>
      </c>
      <c r="D26" s="34" t="s">
        <v>193</v>
      </c>
      <c r="E26" s="18" t="str">
        <f>IFERROR(INDEX(Reference!$E:$E,MATCH("Equity|"&amp;C26&amp;"|"&amp;B26,Reference!$A:$A,0)),"")</f>
        <v>Equity</v>
      </c>
      <c r="F26" s="18" t="str">
        <f>IFERROR(INDEX(Reference!$G:$G,MATCH("Equity|"&amp;C26&amp;"|"&amp;B26,Reference!$A:$A,0)),"")</f>
        <v>United States</v>
      </c>
      <c r="G26" s="18" t="str">
        <f>IFERROR(INDEX(Reference!$H:$H,MATCH("Equity|"&amp;C26&amp;"|"&amp;B26,Reference!$A:$A,0)),"")</f>
        <v>US Single Stock</v>
      </c>
      <c r="H26" s="44">
        <f>COUNTIFS('Equities - Lots'!$B:$B,B26,'Equities - Lots'!$C:$C,C26)</f>
        <v>1</v>
      </c>
      <c r="I26" s="41">
        <f>SUMIFS('Equities - Lots'!$H:$H,'Equities - Lots'!$B:$B,B26,'Equities - Lots'!$C:$C,C26)</f>
        <v>2.9416617999999999</v>
      </c>
      <c r="J26" s="10">
        <f>SUMIFS('Equities - Lots'!$L:$L,'Equities - Lots'!$B:$B,B26,'Equities - Lots'!$C:$C,C26)</f>
        <v>16189.056241927798</v>
      </c>
      <c r="K26" s="10">
        <f>SUMIFS('Equities - Lots'!$M:$M,'Equities - Lots'!$B:$B,B26,'Equities - Lots'!$C:$C,C26)</f>
        <v>42934.865363830439</v>
      </c>
      <c r="L26" s="12">
        <f t="shared" si="0"/>
        <v>26745.809121902639</v>
      </c>
      <c r="M26" s="11">
        <f t="shared" si="1"/>
        <v>1.6520919269298764</v>
      </c>
    </row>
    <row r="27" spans="1:13" ht="15" customHeight="1" x14ac:dyDescent="0.2">
      <c r="A27" s="35">
        <v>23</v>
      </c>
      <c r="B27" s="35" t="s">
        <v>192</v>
      </c>
      <c r="C27" s="35" t="s">
        <v>196</v>
      </c>
      <c r="D27" s="34" t="s">
        <v>193</v>
      </c>
      <c r="E27" s="18" t="str">
        <f>IFERROR(INDEX(Reference!$E:$E,MATCH("Equity|"&amp;C27&amp;"|"&amp;B27,Reference!$A:$A,0)),"")</f>
        <v>Equity</v>
      </c>
      <c r="F27" s="18" t="str">
        <f>IFERROR(INDEX(Reference!$G:$G,MATCH("Equity|"&amp;C27&amp;"|"&amp;B27,Reference!$A:$A,0)),"")</f>
        <v>United States</v>
      </c>
      <c r="G27" s="18" t="str">
        <f>IFERROR(INDEX(Reference!$H:$H,MATCH("Equity|"&amp;C27&amp;"|"&amp;B27,Reference!$A:$A,0)),"")</f>
        <v>US Single Stock</v>
      </c>
      <c r="H27" s="44">
        <f>COUNTIFS('Equities - Lots'!$B:$B,B27,'Equities - Lots'!$C:$C,C27)</f>
        <v>1</v>
      </c>
      <c r="I27" s="41">
        <f>SUMIFS('Equities - Lots'!$H:$H,'Equities - Lots'!$B:$B,B27,'Equities - Lots'!$C:$C,C27)</f>
        <v>5.0536545999999998</v>
      </c>
      <c r="J27" s="10">
        <f>SUMIFS('Equities - Lots'!$L:$L,'Equities - Lots'!$B:$B,B27,'Equities - Lots'!$C:$C,C27)</f>
        <v>16189.05604501284</v>
      </c>
      <c r="K27" s="10">
        <f>SUMIFS('Equities - Lots'!$M:$M,'Equities - Lots'!$B:$B,B27,'Equities - Lots'!$C:$C,C27)</f>
        <v>27853.108674326097</v>
      </c>
      <c r="L27" s="12">
        <f t="shared" si="0"/>
        <v>11664.052629313257</v>
      </c>
      <c r="M27" s="11">
        <f t="shared" si="1"/>
        <v>0.72048997772828494</v>
      </c>
    </row>
    <row r="28" spans="1:13" ht="15" customHeight="1" x14ac:dyDescent="0.2">
      <c r="A28" s="35">
        <v>24</v>
      </c>
      <c r="B28" s="35" t="s">
        <v>192</v>
      </c>
      <c r="C28" s="35" t="s">
        <v>197</v>
      </c>
      <c r="D28" s="34" t="s">
        <v>193</v>
      </c>
      <c r="E28" s="18" t="str">
        <f>IFERROR(INDEX(Reference!$E:$E,MATCH("Equity|"&amp;C28&amp;"|"&amp;B28,Reference!$A:$A,0)),"")</f>
        <v>Equity</v>
      </c>
      <c r="F28" s="18" t="str">
        <f>IFERROR(INDEX(Reference!$G:$G,MATCH("Equity|"&amp;C28&amp;"|"&amp;B28,Reference!$A:$A,0)),"")</f>
        <v>United States</v>
      </c>
      <c r="G28" s="18" t="str">
        <f>IFERROR(INDEX(Reference!$H:$H,MATCH("Equity|"&amp;C28&amp;"|"&amp;B28,Reference!$A:$A,0)),"")</f>
        <v>US Single Stock</v>
      </c>
      <c r="H28" s="44">
        <f>COUNTIFS('Equities - Lots'!$B:$B,B28,'Equities - Lots'!$C:$C,C28)</f>
        <v>1</v>
      </c>
      <c r="I28" s="41">
        <f>SUMIFS('Equities - Lots'!$H:$H,'Equities - Lots'!$B:$B,B28,'Equities - Lots'!$C:$C,C28)</f>
        <v>6.9953718</v>
      </c>
      <c r="J28" s="10">
        <f>SUMIFS('Equities - Lots'!$L:$L,'Equities - Lots'!$B:$B,B28,'Equities - Lots'!$C:$C,C28)</f>
        <v>16215.946186241521</v>
      </c>
      <c r="K28" s="10">
        <f>SUMIFS('Equities - Lots'!$M:$M,'Equities - Lots'!$B:$B,B28,'Equities - Lots'!$C:$C,C28)</f>
        <v>15508.143274922641</v>
      </c>
      <c r="L28" s="12">
        <f t="shared" si="0"/>
        <v>-707.80291131888043</v>
      </c>
      <c r="M28" s="11">
        <f t="shared" si="1"/>
        <v>-4.3648573027420284E-2</v>
      </c>
    </row>
    <row r="29" spans="1:13" ht="15" customHeight="1" x14ac:dyDescent="0.2">
      <c r="A29" s="35">
        <v>25</v>
      </c>
      <c r="B29" s="35" t="s">
        <v>192</v>
      </c>
      <c r="C29" s="35" t="s">
        <v>199</v>
      </c>
      <c r="D29" s="34" t="s">
        <v>193</v>
      </c>
      <c r="E29" s="18" t="str">
        <f>IFERROR(INDEX(Reference!$E:$E,MATCH("Equity|"&amp;C29&amp;"|"&amp;B29,Reference!$A:$A,0)),"")</f>
        <v>Equity</v>
      </c>
      <c r="F29" s="18" t="str">
        <f>IFERROR(INDEX(Reference!$G:$G,MATCH("Equity|"&amp;C29&amp;"|"&amp;B29,Reference!$A:$A,0)),"")</f>
        <v>United States</v>
      </c>
      <c r="G29" s="18" t="str">
        <f>IFERROR(INDEX(Reference!$H:$H,MATCH("Equity|"&amp;C29&amp;"|"&amp;B29,Reference!$A:$A,0)),"")</f>
        <v>US Single Stock</v>
      </c>
      <c r="H29" s="44">
        <f>COUNTIFS('Equities - Lots'!$B:$B,B29,'Equities - Lots'!$C:$C,C29)</f>
        <v>1</v>
      </c>
      <c r="I29" s="41">
        <f>SUMIFS('Equities - Lots'!$H:$H,'Equities - Lots'!$B:$B,B29,'Equities - Lots'!$C:$C,C29)</f>
        <v>5.1650285</v>
      </c>
      <c r="J29" s="10">
        <f>SUMIFS('Equities - Lots'!$L:$L,'Equities - Lots'!$B:$B,B29,'Equities - Lots'!$C:$C,C29)</f>
        <v>16189.056146745752</v>
      </c>
      <c r="K29" s="10">
        <f>SUMIFS('Equities - Lots'!$M:$M,'Equities - Lots'!$B:$B,B29,'Equities - Lots'!$C:$C,C29)</f>
        <v>23110.233590962351</v>
      </c>
      <c r="L29" s="12">
        <f t="shared" si="0"/>
        <v>6921.1774442165988</v>
      </c>
      <c r="M29" s="11">
        <f t="shared" si="1"/>
        <v>0.42752198654940493</v>
      </c>
    </row>
    <row r="30" spans="1:13" ht="15" customHeight="1" x14ac:dyDescent="0.2">
      <c r="A30" s="35">
        <v>26</v>
      </c>
      <c r="B30" s="35" t="s">
        <v>192</v>
      </c>
      <c r="C30" s="35" t="s">
        <v>200</v>
      </c>
      <c r="D30" s="34" t="s">
        <v>193</v>
      </c>
      <c r="E30" s="18" t="str">
        <f>IFERROR(INDEX(Reference!$E:$E,MATCH("Equity|"&amp;C30&amp;"|"&amp;B30,Reference!$A:$A,0)),"")</f>
        <v>Equity</v>
      </c>
      <c r="F30" s="18" t="str">
        <f>IFERROR(INDEX(Reference!$G:$G,MATCH("Equity|"&amp;C30&amp;"|"&amp;B30,Reference!$A:$A,0)),"")</f>
        <v>United States</v>
      </c>
      <c r="G30" s="18" t="str">
        <f>IFERROR(INDEX(Reference!$H:$H,MATCH("Equity|"&amp;C30&amp;"|"&amp;B30,Reference!$A:$A,0)),"")</f>
        <v>US Single Stock</v>
      </c>
      <c r="H30" s="44">
        <f>COUNTIFS('Equities - Lots'!$B:$B,B30,'Equities - Lots'!$C:$C,C30)</f>
        <v>1</v>
      </c>
      <c r="I30" s="41">
        <f>SUMIFS('Equities - Lots'!$H:$H,'Equities - Lots'!$B:$B,B30,'Equities - Lots'!$C:$C,C30)</f>
        <v>0.96131259999999996</v>
      </c>
      <c r="J30" s="10">
        <f>SUMIFS('Equities - Lots'!$L:$L,'Equities - Lots'!$B:$B,B30,'Equities - Lots'!$C:$C,C30)</f>
        <v>16189.056650351218</v>
      </c>
      <c r="K30" s="10">
        <f>SUMIFS('Equities - Lots'!$M:$M,'Equities - Lots'!$B:$B,B30,'Equities - Lots'!$C:$C,C30)</f>
        <v>5056.6446276395991</v>
      </c>
      <c r="L30" s="12">
        <f t="shared" si="0"/>
        <v>-11132.412022711618</v>
      </c>
      <c r="M30" s="11">
        <f t="shared" si="1"/>
        <v>-0.68765044580099743</v>
      </c>
    </row>
    <row r="31" spans="1:13" ht="15" customHeight="1" x14ac:dyDescent="0.2">
      <c r="A31" s="35">
        <v>27</v>
      </c>
      <c r="B31" s="35" t="s">
        <v>192</v>
      </c>
      <c r="C31" s="35" t="s">
        <v>201</v>
      </c>
      <c r="D31" s="34" t="s">
        <v>193</v>
      </c>
      <c r="E31" s="18" t="str">
        <f>IFERROR(INDEX(Reference!$E:$E,MATCH("Equity|"&amp;C31&amp;"|"&amp;B31,Reference!$A:$A,0)),"")</f>
        <v>Equity</v>
      </c>
      <c r="F31" s="18" t="str">
        <f>IFERROR(INDEX(Reference!$G:$G,MATCH("Equity|"&amp;C31&amp;"|"&amp;B31,Reference!$A:$A,0)),"")</f>
        <v>United States</v>
      </c>
      <c r="G31" s="18" t="str">
        <f>IFERROR(INDEX(Reference!$H:$H,MATCH("Equity|"&amp;C31&amp;"|"&amp;B31,Reference!$A:$A,0)),"")</f>
        <v>US Single Stock</v>
      </c>
      <c r="H31" s="44">
        <f>COUNTIFS('Equities - Lots'!$B:$B,B31,'Equities - Lots'!$C:$C,C31)</f>
        <v>1</v>
      </c>
      <c r="I31" s="41">
        <f>SUMIFS('Equities - Lots'!$H:$H,'Equities - Lots'!$B:$B,B31,'Equities - Lots'!$C:$C,C31)</f>
        <v>0.77171610000000002</v>
      </c>
      <c r="J31" s="10">
        <f>SUMIFS('Equities - Lots'!$L:$L,'Equities - Lots'!$B:$B,B31,'Equities - Lots'!$C:$C,C31)</f>
        <v>16189.05579267501</v>
      </c>
      <c r="K31" s="10">
        <f>SUMIFS('Equities - Lots'!$M:$M,'Equities - Lots'!$B:$B,B31,'Equities - Lots'!$C:$C,C31)</f>
        <v>48094.161744000325</v>
      </c>
      <c r="L31" s="12">
        <f t="shared" si="0"/>
        <v>31905.105951325313</v>
      </c>
      <c r="M31" s="11">
        <f t="shared" si="1"/>
        <v>1.9707823828589977</v>
      </c>
    </row>
    <row r="32" spans="1:13" ht="15" customHeight="1" x14ac:dyDescent="0.2">
      <c r="A32" s="35">
        <v>28</v>
      </c>
      <c r="B32" s="35" t="s">
        <v>192</v>
      </c>
      <c r="C32" s="35" t="s">
        <v>202</v>
      </c>
      <c r="D32" s="34" t="s">
        <v>193</v>
      </c>
      <c r="E32" s="18" t="str">
        <f>IFERROR(INDEX(Reference!$E:$E,MATCH("Equity|"&amp;C32&amp;"|"&amp;B32,Reference!$A:$A,0)),"")</f>
        <v>Equity</v>
      </c>
      <c r="F32" s="18" t="str">
        <f>IFERROR(INDEX(Reference!$G:$G,MATCH("Equity|"&amp;C32&amp;"|"&amp;B32,Reference!$A:$A,0)),"")</f>
        <v>United States</v>
      </c>
      <c r="G32" s="18" t="str">
        <f>IFERROR(INDEX(Reference!$H:$H,MATCH("Equity|"&amp;C32&amp;"|"&amp;B32,Reference!$A:$A,0)),"")</f>
        <v>US Single Stock</v>
      </c>
      <c r="H32" s="44">
        <f>COUNTIFS('Equities - Lots'!$B:$B,B32,'Equities - Lots'!$C:$C,C32)</f>
        <v>1</v>
      </c>
      <c r="I32" s="41">
        <f>SUMIFS('Equities - Lots'!$H:$H,'Equities - Lots'!$B:$B,B32,'Equities - Lots'!$C:$C,C32)</f>
        <v>2</v>
      </c>
      <c r="J32" s="10">
        <f>SUMIFS('Equities - Lots'!$L:$L,'Equities - Lots'!$B:$B,B32,'Equities - Lots'!$C:$C,C32)</f>
        <v>59064.110399999998</v>
      </c>
      <c r="K32" s="10">
        <f>SUMIFS('Equities - Lots'!$M:$M,'Equities - Lots'!$B:$B,B32,'Equities - Lots'!$C:$C,C32)</f>
        <v>71670.3</v>
      </c>
      <c r="L32" s="12">
        <f t="shared" si="0"/>
        <v>12606.189600000005</v>
      </c>
      <c r="M32" s="11">
        <f t="shared" si="1"/>
        <v>0.21343231134147422</v>
      </c>
    </row>
    <row r="33" spans="1:13" ht="15" customHeight="1" x14ac:dyDescent="0.2">
      <c r="A33" s="35">
        <v>29</v>
      </c>
      <c r="B33" s="35" t="s">
        <v>192</v>
      </c>
      <c r="C33" s="35" t="s">
        <v>203</v>
      </c>
      <c r="D33" s="34" t="s">
        <v>193</v>
      </c>
      <c r="E33" s="18" t="str">
        <f>IFERROR(INDEX(Reference!$E:$E,MATCH("Equity|"&amp;C33&amp;"|"&amp;B33,Reference!$A:$A,0)),"")</f>
        <v>Equity</v>
      </c>
      <c r="F33" s="18" t="str">
        <f>IFERROR(INDEX(Reference!$G:$G,MATCH("Equity|"&amp;C33&amp;"|"&amp;B33,Reference!$A:$A,0)),"")</f>
        <v>United States</v>
      </c>
      <c r="G33" s="18" t="str">
        <f>IFERROR(INDEX(Reference!$H:$H,MATCH("Equity|"&amp;C33&amp;"|"&amp;B33,Reference!$A:$A,0)),"")</f>
        <v>US Single Stock</v>
      </c>
      <c r="H33" s="44">
        <f>COUNTIFS('Equities - Lots'!$B:$B,B33,'Equities - Lots'!$C:$C,C33)</f>
        <v>1</v>
      </c>
      <c r="I33" s="41">
        <f>SUMIFS('Equities - Lots'!$H:$H,'Equities - Lots'!$B:$B,B33,'Equities - Lots'!$C:$C,C33)</f>
        <v>8.7794582999999999</v>
      </c>
      <c r="J33" s="10">
        <f>SUMIFS('Equities - Lots'!$L:$L,'Equities - Lots'!$B:$B,B33,'Equities - Lots'!$C:$C,C33)</f>
        <v>16189.055965559339</v>
      </c>
      <c r="K33" s="10">
        <f>SUMIFS('Equities - Lots'!$M:$M,'Equities - Lots'!$B:$B,B33,'Equities - Lots'!$C:$C,C33)</f>
        <v>26948.542862120852</v>
      </c>
      <c r="L33" s="12">
        <f t="shared" si="0"/>
        <v>10759.486896561513</v>
      </c>
      <c r="M33" s="11">
        <f t="shared" si="1"/>
        <v>0.6646148434752025</v>
      </c>
    </row>
    <row r="34" spans="1:13" ht="15" customHeight="1" x14ac:dyDescent="0.2">
      <c r="A34" s="35">
        <v>30</v>
      </c>
      <c r="B34" s="35" t="s">
        <v>192</v>
      </c>
      <c r="C34" s="35" t="s">
        <v>204</v>
      </c>
      <c r="D34" s="34" t="s">
        <v>193</v>
      </c>
      <c r="E34" s="18" t="str">
        <f>IFERROR(INDEX(Reference!$E:$E,MATCH("Equity|"&amp;C34&amp;"|"&amp;B34,Reference!$A:$A,0)),"")</f>
        <v>Equity</v>
      </c>
      <c r="F34" s="18" t="str">
        <f>IFERROR(INDEX(Reference!$G:$G,MATCH("Equity|"&amp;C34&amp;"|"&amp;B34,Reference!$A:$A,0)),"")</f>
        <v>United States</v>
      </c>
      <c r="G34" s="18" t="str">
        <f>IFERROR(INDEX(Reference!$H:$H,MATCH("Equity|"&amp;C34&amp;"|"&amp;B34,Reference!$A:$A,0)),"")</f>
        <v>US Single Stock</v>
      </c>
      <c r="H34" s="44">
        <f>COUNTIFS('Equities - Lots'!$B:$B,B34,'Equities - Lots'!$C:$C,C34)</f>
        <v>1</v>
      </c>
      <c r="I34" s="41">
        <f>SUMIFS('Equities - Lots'!$H:$H,'Equities - Lots'!$B:$B,B34,'Equities - Lots'!$C:$C,C34)</f>
        <v>0.82248390000000005</v>
      </c>
      <c r="J34" s="10">
        <f>SUMIFS('Equities - Lots'!$L:$L,'Equities - Lots'!$B:$B,B34,'Equities - Lots'!$C:$C,C34)</f>
        <v>16189.003407166383</v>
      </c>
      <c r="K34" s="10">
        <f>SUMIFS('Equities - Lots'!$M:$M,'Equities - Lots'!$B:$B,B34,'Equities - Lots'!$C:$C,C34)</f>
        <v>41775.758767486172</v>
      </c>
      <c r="L34" s="12">
        <f t="shared" si="0"/>
        <v>25586.755360319788</v>
      </c>
      <c r="M34" s="11">
        <f t="shared" si="1"/>
        <v>1.5805021913203936</v>
      </c>
    </row>
    <row r="35" spans="1:13" ht="15" customHeight="1" x14ac:dyDescent="0.2">
      <c r="A35" s="35">
        <v>31</v>
      </c>
      <c r="B35" s="35" t="s">
        <v>192</v>
      </c>
      <c r="C35" s="35" t="s">
        <v>205</v>
      </c>
      <c r="D35" s="34" t="s">
        <v>193</v>
      </c>
      <c r="E35" s="18" t="str">
        <f>IFERROR(INDEX(Reference!$E:$E,MATCH("Equity|"&amp;C35&amp;"|"&amp;B35,Reference!$A:$A,0)),"")</f>
        <v>Equity</v>
      </c>
      <c r="F35" s="18" t="str">
        <f>IFERROR(INDEX(Reference!$G:$G,MATCH("Equity|"&amp;C35&amp;"|"&amp;B35,Reference!$A:$A,0)),"")</f>
        <v>United States</v>
      </c>
      <c r="G35" s="18" t="str">
        <f>IFERROR(INDEX(Reference!$H:$H,MATCH("Equity|"&amp;C35&amp;"|"&amp;B35,Reference!$A:$A,0)),"")</f>
        <v>US Single Stock</v>
      </c>
      <c r="H35" s="44">
        <f>COUNTIFS('Equities - Lots'!$B:$B,B35,'Equities - Lots'!$C:$C,C35)</f>
        <v>1</v>
      </c>
      <c r="I35" s="41">
        <f>SUMIFS('Equities - Lots'!$H:$H,'Equities - Lots'!$B:$B,B35,'Equities - Lots'!$C:$C,C35)</f>
        <v>3.3079318999999998</v>
      </c>
      <c r="J35" s="10">
        <f>SUMIFS('Equities - Lots'!$L:$L,'Equities - Lots'!$B:$B,B35,'Equities - Lots'!$C:$C,C35)</f>
        <v>16189.056098230469</v>
      </c>
      <c r="K35" s="10">
        <f>SUMIFS('Equities - Lots'!$M:$M,'Equities - Lots'!$B:$B,B35,'Equities - Lots'!$C:$C,C35)</f>
        <v>11412.045508778459</v>
      </c>
      <c r="L35" s="12">
        <f t="shared" si="0"/>
        <v>-4777.0105894520093</v>
      </c>
      <c r="M35" s="11">
        <f t="shared" si="1"/>
        <v>-0.29507653568351994</v>
      </c>
    </row>
    <row r="36" spans="1:13" ht="15" customHeight="1" x14ac:dyDescent="0.2">
      <c r="A36" s="35">
        <v>32</v>
      </c>
      <c r="B36" s="35" t="s">
        <v>192</v>
      </c>
      <c r="C36" s="35" t="s">
        <v>206</v>
      </c>
      <c r="D36" s="34" t="s">
        <v>193</v>
      </c>
      <c r="E36" s="18" t="str">
        <f>IFERROR(INDEX(Reference!$E:$E,MATCH("Equity|"&amp;C36&amp;"|"&amp;B36,Reference!$A:$A,0)),"")</f>
        <v>Equity</v>
      </c>
      <c r="F36" s="18" t="str">
        <f>IFERROR(INDEX(Reference!$G:$G,MATCH("Equity|"&amp;C36&amp;"|"&amp;B36,Reference!$A:$A,0)),"")</f>
        <v>United States</v>
      </c>
      <c r="G36" s="18" t="str">
        <f>IFERROR(INDEX(Reference!$H:$H,MATCH("Equity|"&amp;C36&amp;"|"&amp;B36,Reference!$A:$A,0)),"")</f>
        <v>US Single Stock</v>
      </c>
      <c r="H36" s="44">
        <f>COUNTIFS('Equities - Lots'!$B:$B,B36,'Equities - Lots'!$C:$C,C36)</f>
        <v>1</v>
      </c>
      <c r="I36" s="41">
        <f>SUMIFS('Equities - Lots'!$H:$H,'Equities - Lots'!$B:$B,B36,'Equities - Lots'!$C:$C,C36)</f>
        <v>8.7798044999999991</v>
      </c>
      <c r="J36" s="10">
        <f>SUMIFS('Equities - Lots'!$L:$L,'Equities - Lots'!$B:$B,B36,'Equities - Lots'!$C:$C,C36)</f>
        <v>39024.964954691095</v>
      </c>
      <c r="K36" s="10">
        <f>SUMIFS('Equities - Lots'!$M:$M,'Equities - Lots'!$B:$B,B36,'Equities - Lots'!$C:$C,C36)</f>
        <v>60117.693714675894</v>
      </c>
      <c r="L36" s="12">
        <f t="shared" si="0"/>
        <v>21092.728759984799</v>
      </c>
      <c r="M36" s="11">
        <f t="shared" si="1"/>
        <v>0.54049321465051803</v>
      </c>
    </row>
    <row r="37" spans="1:13" ht="15" customHeight="1" x14ac:dyDescent="0.2">
      <c r="A37" s="35">
        <v>33</v>
      </c>
      <c r="B37" s="35" t="s">
        <v>192</v>
      </c>
      <c r="C37" s="35" t="s">
        <v>207</v>
      </c>
      <c r="D37" s="34" t="s">
        <v>193</v>
      </c>
      <c r="E37" s="18" t="str">
        <f>IFERROR(INDEX(Reference!$E:$E,MATCH("Equity|"&amp;C37&amp;"|"&amp;B37,Reference!$A:$A,0)),"")</f>
        <v>Equity</v>
      </c>
      <c r="F37" s="18" t="str">
        <f>IFERROR(INDEX(Reference!$G:$G,MATCH("Equity|"&amp;C37&amp;"|"&amp;B37,Reference!$A:$A,0)),"")</f>
        <v>United States</v>
      </c>
      <c r="G37" s="18" t="str">
        <f>IFERROR(INDEX(Reference!$H:$H,MATCH("Equity|"&amp;C37&amp;"|"&amp;B37,Reference!$A:$A,0)),"")</f>
        <v>US Single Stock</v>
      </c>
      <c r="H37" s="44">
        <f>COUNTIFS('Equities - Lots'!$B:$B,B37,'Equities - Lots'!$C:$C,C37)</f>
        <v>1</v>
      </c>
      <c r="I37" s="41">
        <f>SUMIFS('Equities - Lots'!$H:$H,'Equities - Lots'!$B:$B,B37,'Equities - Lots'!$C:$C,C37)</f>
        <v>3.3590863</v>
      </c>
      <c r="J37" s="10">
        <f>SUMIFS('Equities - Lots'!$L:$L,'Equities - Lots'!$B:$B,B37,'Equities - Lots'!$C:$C,C37)</f>
        <v>16214.999862334649</v>
      </c>
      <c r="K37" s="10">
        <f>SUMIFS('Equities - Lots'!$M:$M,'Equities - Lots'!$B:$B,B37,'Equities - Lots'!$C:$C,C37)</f>
        <v>10035.107741473081</v>
      </c>
      <c r="L37" s="12">
        <f t="shared" si="0"/>
        <v>-6179.8921208615684</v>
      </c>
      <c r="M37" s="11">
        <f t="shared" si="1"/>
        <v>-0.38112193483372514</v>
      </c>
    </row>
    <row r="38" spans="1:13" ht="15" customHeight="1" x14ac:dyDescent="0.2">
      <c r="A38" s="35">
        <v>34</v>
      </c>
      <c r="B38" s="35" t="s">
        <v>192</v>
      </c>
      <c r="C38" s="35" t="s">
        <v>208</v>
      </c>
      <c r="D38" s="34" t="s">
        <v>193</v>
      </c>
      <c r="E38" s="18" t="str">
        <f>IFERROR(INDEX(Reference!$E:$E,MATCH("Equity|"&amp;C38&amp;"|"&amp;B38,Reference!$A:$A,0)),"")</f>
        <v>Equity</v>
      </c>
      <c r="F38" s="18" t="str">
        <f>IFERROR(INDEX(Reference!$G:$G,MATCH("Equity|"&amp;C38&amp;"|"&amp;B38,Reference!$A:$A,0)),"")</f>
        <v>United States</v>
      </c>
      <c r="G38" s="18" t="str">
        <f>IFERROR(INDEX(Reference!$H:$H,MATCH("Equity|"&amp;C38&amp;"|"&amp;B38,Reference!$A:$A,0)),"")</f>
        <v>US Single Stock</v>
      </c>
      <c r="H38" s="44">
        <f>COUNTIFS('Equities - Lots'!$B:$B,B38,'Equities - Lots'!$C:$C,C38)</f>
        <v>1</v>
      </c>
      <c r="I38" s="41">
        <f>SUMIFS('Equities - Lots'!$H:$H,'Equities - Lots'!$B:$B,B38,'Equities - Lots'!$C:$C,C38)</f>
        <v>7.3067916000000004</v>
      </c>
      <c r="J38" s="10">
        <f>SUMIFS('Equities - Lots'!$L:$L,'Equities - Lots'!$B:$B,B38,'Equities - Lots'!$C:$C,C38)</f>
        <v>16189.05606849216</v>
      </c>
      <c r="K38" s="10">
        <f>SUMIFS('Equities - Lots'!$M:$M,'Equities - Lots'!$B:$B,B38,'Equities - Lots'!$C:$C,C38)</f>
        <v>24539.500094453284</v>
      </c>
      <c r="L38" s="12">
        <f t="shared" si="0"/>
        <v>8350.4440259611238</v>
      </c>
      <c r="M38" s="11">
        <f t="shared" si="1"/>
        <v>0.51580796252927419</v>
      </c>
    </row>
    <row r="39" spans="1:13" ht="15" customHeight="1" x14ac:dyDescent="0.2">
      <c r="A39" s="35">
        <v>35</v>
      </c>
      <c r="B39" s="35" t="s">
        <v>192</v>
      </c>
      <c r="C39" s="35" t="s">
        <v>209</v>
      </c>
      <c r="D39" s="34" t="s">
        <v>193</v>
      </c>
      <c r="E39" s="18" t="str">
        <f>IFERROR(INDEX(Reference!$E:$E,MATCH("Equity|"&amp;C39&amp;"|"&amp;B39,Reference!$A:$A,0)),"")</f>
        <v>Equity</v>
      </c>
      <c r="F39" s="18" t="str">
        <f>IFERROR(INDEX(Reference!$G:$G,MATCH("Equity|"&amp;C39&amp;"|"&amp;B39,Reference!$A:$A,0)),"")</f>
        <v>United States</v>
      </c>
      <c r="G39" s="18" t="str">
        <f>IFERROR(INDEX(Reference!$H:$H,MATCH("Equity|"&amp;C39&amp;"|"&amp;B39,Reference!$A:$A,0)),"")</f>
        <v>US Single Stock</v>
      </c>
      <c r="H39" s="44">
        <f>COUNTIFS('Equities - Lots'!$B:$B,B39,'Equities - Lots'!$C:$C,C39)</f>
        <v>1</v>
      </c>
      <c r="I39" s="41">
        <f>SUMIFS('Equities - Lots'!$H:$H,'Equities - Lots'!$B:$B,B39,'Equities - Lots'!$C:$C,C39)</f>
        <v>4.1893589999999996</v>
      </c>
      <c r="J39" s="10">
        <f>SUMIFS('Equities - Lots'!$L:$L,'Equities - Lots'!$B:$B,B39,'Equities - Lots'!$C:$C,C39)</f>
        <v>16214.999891359499</v>
      </c>
      <c r="K39" s="10">
        <f>SUMIFS('Equities - Lots'!$M:$M,'Equities - Lots'!$B:$B,B39,'Equities - Lots'!$C:$C,C39)</f>
        <v>50854.09810921469</v>
      </c>
      <c r="L39" s="12">
        <f t="shared" si="0"/>
        <v>34639.098217855193</v>
      </c>
      <c r="M39" s="11">
        <f t="shared" si="1"/>
        <v>2.1362379555927942</v>
      </c>
    </row>
    <row r="40" spans="1:13" ht="15" customHeight="1" x14ac:dyDescent="0.2">
      <c r="A40" s="35">
        <v>36</v>
      </c>
      <c r="B40" s="35" t="s">
        <v>192</v>
      </c>
      <c r="C40" s="35" t="s">
        <v>210</v>
      </c>
      <c r="D40" s="34" t="s">
        <v>193</v>
      </c>
      <c r="E40" s="18" t="str">
        <f>IFERROR(INDEX(Reference!$E:$E,MATCH("Equity|"&amp;C40&amp;"|"&amp;B40,Reference!$A:$A,0)),"")</f>
        <v>Equity</v>
      </c>
      <c r="F40" s="18" t="str">
        <f>IFERROR(INDEX(Reference!$G:$G,MATCH("Equity|"&amp;C40&amp;"|"&amp;B40,Reference!$A:$A,0)),"")</f>
        <v>United States</v>
      </c>
      <c r="G40" s="18" t="str">
        <f>IFERROR(INDEX(Reference!$H:$H,MATCH("Equity|"&amp;C40&amp;"|"&amp;B40,Reference!$A:$A,0)),"")</f>
        <v>US Single Stock</v>
      </c>
      <c r="H40" s="44">
        <f>COUNTIFS('Equities - Lots'!$B:$B,B40,'Equities - Lots'!$C:$C,C40)</f>
        <v>1</v>
      </c>
      <c r="I40" s="41">
        <f>SUMIFS('Equities - Lots'!$H:$H,'Equities - Lots'!$B:$B,B40,'Equities - Lots'!$C:$C,C40)</f>
        <v>23.5371652</v>
      </c>
      <c r="J40" s="10">
        <f>SUMIFS('Equities - Lots'!$L:$L,'Equities - Lots'!$B:$B,B40,'Equities - Lots'!$C:$C,C40)</f>
        <v>324300.00022285897</v>
      </c>
      <c r="K40" s="10">
        <f>SUMIFS('Equities - Lots'!$M:$M,'Equities - Lots'!$B:$B,B40,'Equities - Lots'!$C:$C,C40)</f>
        <v>332642.98144593445</v>
      </c>
      <c r="L40" s="12">
        <f t="shared" si="0"/>
        <v>8342.981223075476</v>
      </c>
      <c r="M40" s="11">
        <f t="shared" si="1"/>
        <v>2.5726121545920997E-2</v>
      </c>
    </row>
    <row r="41" spans="1:13" ht="15" customHeight="1" x14ac:dyDescent="0.2">
      <c r="A41" s="35">
        <v>37</v>
      </c>
      <c r="B41" s="35" t="s">
        <v>192</v>
      </c>
      <c r="C41" s="35" t="s">
        <v>211</v>
      </c>
      <c r="D41" s="34" t="s">
        <v>193</v>
      </c>
      <c r="E41" s="18" t="str">
        <f>IFERROR(INDEX(Reference!$E:$E,MATCH("Equity|"&amp;C41&amp;"|"&amp;B41,Reference!$A:$A,0)),"")</f>
        <v>Equity</v>
      </c>
      <c r="F41" s="18" t="str">
        <f>IFERROR(INDEX(Reference!$G:$G,MATCH("Equity|"&amp;C41&amp;"|"&amp;B41,Reference!$A:$A,0)),"")</f>
        <v>United States</v>
      </c>
      <c r="G41" s="18" t="str">
        <f>IFERROR(INDEX(Reference!$H:$H,MATCH("Equity|"&amp;C41&amp;"|"&amp;B41,Reference!$A:$A,0)),"")</f>
        <v>US Single Stock</v>
      </c>
      <c r="H41" s="44">
        <f>COUNTIFS('Equities - Lots'!$B:$B,B41,'Equities - Lots'!$C:$C,C41)</f>
        <v>1</v>
      </c>
      <c r="I41" s="41">
        <f>SUMIFS('Equities - Lots'!$H:$H,'Equities - Lots'!$B:$B,B41,'Equities - Lots'!$C:$C,C41)</f>
        <v>18.420664200000001</v>
      </c>
      <c r="J41" s="10">
        <f>SUMIFS('Equities - Lots'!$L:$L,'Equities - Lots'!$B:$B,B41,'Equities - Lots'!$C:$C,C41)</f>
        <v>16189.055994162602</v>
      </c>
      <c r="K41" s="10">
        <f>SUMIFS('Equities - Lots'!$M:$M,'Equities - Lots'!$B:$B,B41,'Equities - Lots'!$C:$C,C41)</f>
        <v>33124.839663332707</v>
      </c>
      <c r="L41" s="12">
        <f t="shared" si="0"/>
        <v>16935.783669170105</v>
      </c>
      <c r="M41" s="11">
        <f t="shared" si="1"/>
        <v>1.0461254612546127</v>
      </c>
    </row>
    <row r="42" spans="1:13" ht="15" customHeight="1" x14ac:dyDescent="0.2">
      <c r="A42" s="35">
        <v>38</v>
      </c>
      <c r="B42" s="35" t="s">
        <v>192</v>
      </c>
      <c r="C42" s="35" t="s">
        <v>198</v>
      </c>
      <c r="D42" s="34" t="s">
        <v>193</v>
      </c>
      <c r="E42" s="18" t="str">
        <f>IFERROR(INDEX(Reference!$E:$E,MATCH("Equity|"&amp;C42&amp;"|"&amp;B42,Reference!$A:$A,0)),"")</f>
        <v>Equity</v>
      </c>
      <c r="F42" s="18" t="str">
        <f>IFERROR(INDEX(Reference!$G:$G,MATCH("Equity|"&amp;C42&amp;"|"&amp;B42,Reference!$A:$A,0)),"")</f>
        <v>South Korea</v>
      </c>
      <c r="G42" s="18" t="str">
        <f>IFERROR(INDEX(Reference!$H:$H,MATCH("Equity|"&amp;C42&amp;"|"&amp;B42,Reference!$A:$A,0)),"")</f>
        <v>Korea</v>
      </c>
      <c r="H42" s="44">
        <f>COUNTIFS('Equities - Lots'!$B:$B,B42,'Equities - Lots'!$C:$C,C42)</f>
        <v>1</v>
      </c>
      <c r="I42" s="41">
        <f>SUMIFS('Equities - Lots'!$H:$H,'Equities - Lots'!$B:$B,B42,'Equities - Lots'!$C:$C,C42)</f>
        <v>103.15111</v>
      </c>
      <c r="J42" s="10">
        <f>SUMIFS('Equities - Lots'!$L:$L,'Equities - Lots'!$B:$B,B42,'Equities - Lots'!$C:$C,C42)</f>
        <v>324316.21871323499</v>
      </c>
      <c r="K42" s="10">
        <f>SUMIFS('Equities - Lots'!$M:$M,'Equities - Lots'!$B:$B,B42,'Equities - Lots'!$C:$C,C42)</f>
        <v>688540.56005925906</v>
      </c>
      <c r="L42" s="12">
        <f t="shared" si="0"/>
        <v>364224.34134602407</v>
      </c>
      <c r="M42" s="11">
        <f t="shared" si="1"/>
        <v>1.1230531201650338</v>
      </c>
    </row>
    <row r="43" spans="1:13" ht="15" customHeight="1" x14ac:dyDescent="0.2">
      <c r="A43" s="35">
        <v>39</v>
      </c>
      <c r="B43" s="35" t="s">
        <v>192</v>
      </c>
      <c r="C43" s="35" t="s">
        <v>268</v>
      </c>
      <c r="D43" s="34" t="s">
        <v>193</v>
      </c>
      <c r="E43" s="18" t="str">
        <f>IFERROR(INDEX(Reference!$E:$E,MATCH("Equity|"&amp;C43&amp;"|"&amp;B43,Reference!$A:$A,0)),"")</f>
        <v>Cash &amp; Equivalents</v>
      </c>
      <c r="F43" s="18" t="str">
        <f>IFERROR(INDEX(Reference!$G:$G,MATCH("Equity|"&amp;C43&amp;"|"&amp;B43,Reference!$A:$A,0)),"")</f>
        <v>United States</v>
      </c>
      <c r="G43" s="18" t="str">
        <f>IFERROR(INDEX(Reference!$H:$H,MATCH("Equity|"&amp;C43&amp;"|"&amp;B43,Reference!$A:$A,0)),"")</f>
        <v>Brokerage Cash</v>
      </c>
      <c r="H43" s="44">
        <f>COUNTIFS('Equities - Lots'!$B:$B,B43,'Equities - Lots'!$C:$C,C43)</f>
        <v>2</v>
      </c>
      <c r="I43" s="41">
        <f>SUMIFS('Equities - Lots'!$H:$H,'Equities - Lots'!$B:$B,B43,'Equities - Lots'!$C:$C,C43)</f>
        <v>3275.1099999999997</v>
      </c>
      <c r="J43" s="10">
        <f>SUMIFS('Equities - Lots'!$L:$L,'Equities - Lots'!$B:$B,B43,'Equities - Lots'!$C:$C,C43)</f>
        <v>92524.99519999999</v>
      </c>
      <c r="K43" s="10">
        <f>SUMIFS('Equities - Lots'!$M:$M,'Equities - Lots'!$B:$B,B43,'Equities - Lots'!$C:$C,C43)</f>
        <v>92524.99519999999</v>
      </c>
      <c r="L43" s="12">
        <f t="shared" si="0"/>
        <v>0</v>
      </c>
      <c r="M43" s="11">
        <f t="shared" si="1"/>
        <v>0</v>
      </c>
    </row>
    <row r="44" spans="1:13" ht="15" customHeight="1" x14ac:dyDescent="0.2">
      <c r="A44" s="35">
        <v>40</v>
      </c>
      <c r="B44" s="35" t="s">
        <v>213</v>
      </c>
      <c r="C44" s="35" t="s">
        <v>212</v>
      </c>
      <c r="D44" s="34" t="s">
        <v>193</v>
      </c>
      <c r="E44" s="18" t="str">
        <f>IFERROR(INDEX(Reference!$E:$E,MATCH("Equity|"&amp;C44&amp;"|"&amp;B44,Reference!$A:$A,0)),"")</f>
        <v>Equity</v>
      </c>
      <c r="F44" s="18" t="str">
        <f>IFERROR(INDEX(Reference!$G:$G,MATCH("Equity|"&amp;C44&amp;"|"&amp;B44,Reference!$A:$A,0)),"")</f>
        <v>United States</v>
      </c>
      <c r="G44" s="18" t="str">
        <f>IFERROR(INDEX(Reference!$H:$H,MATCH("Equity|"&amp;C44&amp;"|"&amp;B44,Reference!$A:$A,0)),"")</f>
        <v>Rare Earth</v>
      </c>
      <c r="H44" s="44">
        <f>COUNTIFS('Equities - Lots'!$B:$B,B44,'Equities - Lots'!$C:$C,C44)</f>
        <v>1</v>
      </c>
      <c r="I44" s="41">
        <f>SUMIFS('Equities - Lots'!$H:$H,'Equities - Lots'!$B:$B,B44,'Equities - Lots'!$C:$C,C44)</f>
        <v>100</v>
      </c>
      <c r="J44" s="10">
        <f>SUMIFS('Equities - Lots'!$L:$L,'Equities - Lots'!$B:$B,B44,'Equities - Lots'!$C:$C,C44)</f>
        <v>277100.72940000001</v>
      </c>
      <c r="K44" s="10">
        <f>SUMIFS('Equities - Lots'!$M:$M,'Equities - Lots'!$B:$B,B44,'Equities - Lots'!$C:$C,C44)</f>
        <v>323100.09000000003</v>
      </c>
      <c r="L44" s="12">
        <f t="shared" si="0"/>
        <v>45999.360600000015</v>
      </c>
      <c r="M44" s="11">
        <f t="shared" si="1"/>
        <v>0.16600230789576556</v>
      </c>
    </row>
    <row r="45" spans="1:13" ht="15" customHeight="1" x14ac:dyDescent="0.2">
      <c r="A45" s="35">
        <v>41</v>
      </c>
      <c r="B45" s="35" t="s">
        <v>213</v>
      </c>
      <c r="C45" s="35" t="s">
        <v>214</v>
      </c>
      <c r="D45" s="34" t="s">
        <v>193</v>
      </c>
      <c r="E45" s="18" t="str">
        <f>IFERROR(INDEX(Reference!$E:$E,MATCH("Equity|"&amp;C45&amp;"|"&amp;B45,Reference!$A:$A,0)),"")</f>
        <v>Equity</v>
      </c>
      <c r="F45" s="18" t="str">
        <f>IFERROR(INDEX(Reference!$G:$G,MATCH("Equity|"&amp;C45&amp;"|"&amp;B45,Reference!$A:$A,0)),"")</f>
        <v>United States</v>
      </c>
      <c r="G45" s="18" t="str">
        <f>IFERROR(INDEX(Reference!$H:$H,MATCH("Equity|"&amp;C45&amp;"|"&amp;B45,Reference!$A:$A,0)),"")</f>
        <v>US Single Stock</v>
      </c>
      <c r="H45" s="44">
        <f>COUNTIFS('Equities - Lots'!$B:$B,B45,'Equities - Lots'!$C:$C,C45)</f>
        <v>1</v>
      </c>
      <c r="I45" s="41">
        <f>SUMIFS('Equities - Lots'!$H:$H,'Equities - Lots'!$B:$B,B45,'Equities - Lots'!$C:$C,C45)</f>
        <v>80</v>
      </c>
      <c r="J45" s="10">
        <f>SUMIFS('Equities - Lots'!$L:$L,'Equities - Lots'!$B:$B,B45,'Equities - Lots'!$C:$C,C45)</f>
        <v>434093.45136000001</v>
      </c>
      <c r="K45" s="10">
        <f>SUMIFS('Equities - Lots'!$M:$M,'Equities - Lots'!$B:$B,B45,'Equities - Lots'!$C:$C,C45)</f>
        <v>809608.46399999992</v>
      </c>
      <c r="L45" s="12">
        <f t="shared" si="0"/>
        <v>375515.01263999991</v>
      </c>
      <c r="M45" s="11">
        <f t="shared" si="1"/>
        <v>0.86505569587268405</v>
      </c>
    </row>
    <row r="46" spans="1:13" ht="15" customHeight="1" x14ac:dyDescent="0.2">
      <c r="A46" s="35">
        <v>42</v>
      </c>
      <c r="B46" s="35" t="s">
        <v>213</v>
      </c>
      <c r="C46" s="35" t="s">
        <v>215</v>
      </c>
      <c r="D46" s="34" t="s">
        <v>193</v>
      </c>
      <c r="E46" s="18" t="str">
        <f>IFERROR(INDEX(Reference!$E:$E,MATCH("Equity|"&amp;C46&amp;"|"&amp;B46,Reference!$A:$A,0)),"")</f>
        <v>Equity</v>
      </c>
      <c r="F46" s="18" t="str">
        <f>IFERROR(INDEX(Reference!$G:$G,MATCH("Equity|"&amp;C46&amp;"|"&amp;B46,Reference!$A:$A,0)),"")</f>
        <v>United States</v>
      </c>
      <c r="G46" s="18" t="str">
        <f>IFERROR(INDEX(Reference!$H:$H,MATCH("Equity|"&amp;C46&amp;"|"&amp;B46,Reference!$A:$A,0)),"")</f>
        <v>US Single Stock</v>
      </c>
      <c r="H46" s="44">
        <f>COUNTIFS('Equities - Lots'!$B:$B,B46,'Equities - Lots'!$C:$C,C46)</f>
        <v>1</v>
      </c>
      <c r="I46" s="41">
        <f>SUMIFS('Equities - Lots'!$H:$H,'Equities - Lots'!$B:$B,B46,'Equities - Lots'!$C:$C,C46)</f>
        <v>25</v>
      </c>
      <c r="J46" s="10">
        <f>SUMIFS('Equities - Lots'!$L:$L,'Equities - Lots'!$B:$B,B46,'Equities - Lots'!$C:$C,C46)</f>
        <v>301574.67749999999</v>
      </c>
      <c r="K46" s="10">
        <f>SUMIFS('Equities - Lots'!$M:$M,'Equities - Lots'!$B:$B,B46,'Equities - Lots'!$C:$C,C46)</f>
        <v>153256.07250000001</v>
      </c>
      <c r="L46" s="12">
        <f t="shared" si="0"/>
        <v>-148318.60499999998</v>
      </c>
      <c r="M46" s="11">
        <f t="shared" si="1"/>
        <v>-0.49181385595612542</v>
      </c>
    </row>
    <row r="47" spans="1:13" ht="15" customHeight="1" x14ac:dyDescent="0.2">
      <c r="A47" s="35">
        <v>43</v>
      </c>
      <c r="B47" s="35" t="s">
        <v>213</v>
      </c>
      <c r="C47" s="35" t="s">
        <v>216</v>
      </c>
      <c r="D47" s="34" t="s">
        <v>193</v>
      </c>
      <c r="E47" s="18" t="str">
        <f>IFERROR(INDEX(Reference!$E:$E,MATCH("Equity|"&amp;C47&amp;"|"&amp;B47,Reference!$A:$A,0)),"")</f>
        <v>Equity</v>
      </c>
      <c r="F47" s="18" t="str">
        <f>IFERROR(INDEX(Reference!$G:$G,MATCH("Equity|"&amp;C47&amp;"|"&amp;B47,Reference!$A:$A,0)),"")</f>
        <v>United States</v>
      </c>
      <c r="G47" s="18" t="str">
        <f>IFERROR(INDEX(Reference!$H:$H,MATCH("Equity|"&amp;C47&amp;"|"&amp;B47,Reference!$A:$A,0)),"")</f>
        <v>US Single Stock</v>
      </c>
      <c r="H47" s="44">
        <f>COUNTIFS('Equities - Lots'!$B:$B,B47,'Equities - Lots'!$C:$C,C47)</f>
        <v>1</v>
      </c>
      <c r="I47" s="41">
        <f>SUMIFS('Equities - Lots'!$H:$H,'Equities - Lots'!$B:$B,B47,'Equities - Lots'!$C:$C,C47)</f>
        <v>15</v>
      </c>
      <c r="J47" s="10">
        <f>SUMIFS('Equities - Lots'!$L:$L,'Equities - Lots'!$B:$B,B47,'Equities - Lots'!$C:$C,C47)</f>
        <v>89506.8</v>
      </c>
      <c r="K47" s="10">
        <f>SUMIFS('Equities - Lots'!$M:$M,'Equities - Lots'!$B:$B,B47,'Equities - Lots'!$C:$C,C47)</f>
        <v>307684.48949999997</v>
      </c>
      <c r="L47" s="12">
        <f t="shared" si="0"/>
        <v>218177.68949999998</v>
      </c>
      <c r="M47" s="11">
        <f t="shared" si="1"/>
        <v>2.4375543478260866</v>
      </c>
    </row>
    <row r="48" spans="1:13" ht="15" customHeight="1" x14ac:dyDescent="0.2">
      <c r="A48" s="35">
        <v>44</v>
      </c>
      <c r="B48" s="35" t="s">
        <v>213</v>
      </c>
      <c r="C48" s="35" t="s">
        <v>217</v>
      </c>
      <c r="D48" s="34" t="s">
        <v>193</v>
      </c>
      <c r="E48" s="18" t="str">
        <f>IFERROR(INDEX(Reference!$E:$E,MATCH("Equity|"&amp;C48&amp;"|"&amp;B48,Reference!$A:$A,0)),"")</f>
        <v>Equity</v>
      </c>
      <c r="F48" s="18" t="str">
        <f>IFERROR(INDEX(Reference!$G:$G,MATCH("Equity|"&amp;C48&amp;"|"&amp;B48,Reference!$A:$A,0)),"")</f>
        <v>United States</v>
      </c>
      <c r="G48" s="18" t="str">
        <f>IFERROR(INDEX(Reference!$H:$H,MATCH("Equity|"&amp;C48&amp;"|"&amp;B48,Reference!$A:$A,0)),"")</f>
        <v>US Single Stock</v>
      </c>
      <c r="H48" s="44">
        <f>COUNTIFS('Equities - Lots'!$B:$B,B48,'Equities - Lots'!$C:$C,C48)</f>
        <v>1</v>
      </c>
      <c r="I48" s="41">
        <f>SUMIFS('Equities - Lots'!$H:$H,'Equities - Lots'!$B:$B,B48,'Equities - Lots'!$C:$C,C48)</f>
        <v>50</v>
      </c>
      <c r="J48" s="10">
        <f>SUMIFS('Equities - Lots'!$L:$L,'Equities - Lots'!$B:$B,B48,'Equities - Lots'!$C:$C,C48)</f>
        <v>633763.59929999989</v>
      </c>
      <c r="K48" s="10">
        <f>SUMIFS('Equities - Lots'!$M:$M,'Equities - Lots'!$B:$B,B48,'Equities - Lots'!$C:$C,C48)</f>
        <v>342136.5</v>
      </c>
      <c r="L48" s="12">
        <f t="shared" si="0"/>
        <v>-291627.09929999989</v>
      </c>
      <c r="M48" s="11">
        <f t="shared" si="1"/>
        <v>-0.46015122929449687</v>
      </c>
    </row>
    <row r="49" spans="1:13" ht="15" customHeight="1" x14ac:dyDescent="0.2">
      <c r="A49" s="35">
        <v>45</v>
      </c>
      <c r="B49" s="35" t="s">
        <v>213</v>
      </c>
      <c r="C49" s="35" t="s">
        <v>268</v>
      </c>
      <c r="D49" s="34" t="s">
        <v>193</v>
      </c>
      <c r="E49" s="18" t="str">
        <f>IFERROR(INDEX(Reference!$E:$E,MATCH("Equity|"&amp;C49&amp;"|"&amp;B49,Reference!$A:$A,0)),"")</f>
        <v>Cash &amp; Equivalents</v>
      </c>
      <c r="F49" s="18" t="str">
        <f>IFERROR(INDEX(Reference!$G:$G,MATCH("Equity|"&amp;C49&amp;"|"&amp;B49,Reference!$A:$A,0)),"")</f>
        <v>United States</v>
      </c>
      <c r="G49" s="18" t="str">
        <f>IFERROR(INDEX(Reference!$H:$H,MATCH("Equity|"&amp;C49&amp;"|"&amp;B49,Reference!$A:$A,0)),"")</f>
        <v>Brokerage Cash</v>
      </c>
      <c r="H49" s="44">
        <f>COUNTIFS('Equities - Lots'!$B:$B,B49,'Equities - Lots'!$C:$C,C49)</f>
        <v>1</v>
      </c>
      <c r="I49" s="41">
        <f>SUMIFS('Equities - Lots'!$H:$H,'Equities - Lots'!$B:$B,B49,'Equities - Lots'!$C:$C,C49)</f>
        <v>1765.8</v>
      </c>
      <c r="J49" s="10">
        <f>SUMIFS('Equities - Lots'!$L:$L,'Equities - Lots'!$B:$B,B49,'Equities - Lots'!$C:$C,C49)</f>
        <v>57264.894</v>
      </c>
      <c r="K49" s="10">
        <f>SUMIFS('Equities - Lots'!$M:$M,'Equities - Lots'!$B:$B,B49,'Equities - Lots'!$C:$C,C49)</f>
        <v>57264.894</v>
      </c>
      <c r="L49" s="12">
        <f t="shared" si="0"/>
        <v>0</v>
      </c>
      <c r="M49" s="11">
        <f t="shared" si="1"/>
        <v>0</v>
      </c>
    </row>
    <row r="50" spans="1:13" ht="15" customHeight="1" x14ac:dyDescent="0.2">
      <c r="A50" s="35"/>
      <c r="B50" s="35"/>
      <c r="C50" s="35"/>
      <c r="D50" s="34"/>
      <c r="E50" s="18"/>
      <c r="F50" s="18"/>
      <c r="G50" s="18"/>
      <c r="H50" s="44"/>
      <c r="I50" s="41"/>
      <c r="J50" s="10"/>
      <c r="K50" s="10"/>
      <c r="L50" s="12"/>
      <c r="M50" s="11"/>
    </row>
    <row r="51" spans="1:13" ht="15" customHeight="1" x14ac:dyDescent="0.2">
      <c r="A51" s="13" t="s">
        <v>69</v>
      </c>
      <c r="B51" s="43"/>
      <c r="C51" s="43"/>
      <c r="D51" s="43"/>
      <c r="E51" s="43"/>
      <c r="F51" s="43"/>
      <c r="G51" s="43"/>
      <c r="H51" s="45">
        <f>SUM(H5:H50)</f>
        <v>47</v>
      </c>
      <c r="I51" s="43"/>
      <c r="J51" s="14">
        <f>SUM(J5:J50)</f>
        <v>5000923.0075953007</v>
      </c>
      <c r="K51" s="14">
        <f>SUM(K5:K50)</f>
        <v>5252026.7804341866</v>
      </c>
      <c r="L51" s="14">
        <f>SUM(L5:L50)</f>
        <v>251103.7728388859</v>
      </c>
      <c r="M51" s="15">
        <f>IFERROR(L51/J51,0)</f>
        <v>5.0211485451288604E-2</v>
      </c>
    </row>
  </sheetData>
  <autoFilter ref="A4:M50" xr:uid="{00000000-0009-0000-0000-000008000000}"/>
  <mergeCells count="1">
    <mergeCell ref="A2:M2"/>
  </mergeCells>
  <conditionalFormatting sqref="L5:M50">
    <cfRule type="cellIs" dxfId="2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J32" sqref="J32"/>
    </sheetView>
  </sheetViews>
  <sheetFormatPr baseColWidth="10" defaultColWidth="8.6640625" defaultRowHeight="15" x14ac:dyDescent="0.2"/>
  <cols>
    <col min="1" max="1" width="5" customWidth="1"/>
    <col min="2" max="2" width="12" customWidth="1"/>
    <col min="3" max="3" width="14" customWidth="1"/>
    <col min="4" max="4" width="10" customWidth="1"/>
    <col min="5" max="5" width="20" customWidth="1"/>
    <col min="6" max="7" width="14" customWidth="1"/>
    <col min="8" max="8" width="16" customWidth="1"/>
    <col min="9" max="9" width="10" customWidth="1"/>
    <col min="10" max="12" width="16" customWidth="1"/>
    <col min="13" max="13" width="10" customWidth="1"/>
    <col min="14" max="14" width="14" customWidth="1"/>
    <col min="15" max="16" width="20" customWidth="1"/>
  </cols>
  <sheetData>
    <row r="2" spans="1:15" ht="30" customHeight="1" x14ac:dyDescent="0.2">
      <c r="A2" s="47" t="s">
        <v>270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4" spans="1:15" ht="42" customHeight="1" x14ac:dyDescent="0.2">
      <c r="A4" s="8" t="s">
        <v>242</v>
      </c>
      <c r="B4" s="8" t="s">
        <v>271</v>
      </c>
      <c r="C4" s="8" t="s">
        <v>272</v>
      </c>
      <c r="D4" s="8" t="s">
        <v>263</v>
      </c>
      <c r="E4" s="8" t="s">
        <v>273</v>
      </c>
      <c r="F4" s="8" t="s">
        <v>274</v>
      </c>
      <c r="G4" s="8" t="s">
        <v>265</v>
      </c>
      <c r="H4" s="8" t="s">
        <v>266</v>
      </c>
      <c r="I4" s="8" t="s">
        <v>267</v>
      </c>
      <c r="J4" s="8" t="s">
        <v>252</v>
      </c>
      <c r="K4" s="8" t="s">
        <v>253</v>
      </c>
      <c r="L4" s="8" t="s">
        <v>254</v>
      </c>
      <c r="M4" s="8" t="s">
        <v>115</v>
      </c>
      <c r="N4" s="8" t="s">
        <v>275</v>
      </c>
      <c r="O4" s="8" t="s">
        <v>255</v>
      </c>
    </row>
    <row r="5" spans="1:15" ht="15" customHeight="1" x14ac:dyDescent="0.2">
      <c r="A5" s="35">
        <v>1</v>
      </c>
      <c r="B5" s="35" t="s">
        <v>237</v>
      </c>
      <c r="C5" s="35" t="s">
        <v>222</v>
      </c>
      <c r="D5" s="34" t="s">
        <v>193</v>
      </c>
      <c r="E5" s="18" t="str">
        <f>IFERROR(INDEX(Reference!$F:$F,MATCH("Crypto|"&amp;C5&amp;"|"&amp;B5,Reference!$A:$A,0)),"")</f>
        <v>Major Crypto</v>
      </c>
      <c r="F5" s="40">
        <v>9.3576300000000005E-3</v>
      </c>
      <c r="G5" s="33"/>
      <c r="H5" s="41">
        <f>IFERROR(INDEX(Prices!$E:$E,MATCH("Crypto|"&amp;C5&amp;"|"&amp;B5,Prices!$A:$A,0)),0)</f>
        <v>73849</v>
      </c>
      <c r="I5" s="39">
        <f t="shared" ref="I5:I30" si="0">IF(D5="THB",1,FXRate)</f>
        <v>32.43</v>
      </c>
      <c r="J5" s="12">
        <f t="shared" ref="J5:J30" si="1">IFERROR(F5*G5*I5,0)</f>
        <v>0</v>
      </c>
      <c r="K5" s="12">
        <f t="shared" ref="K5:K30" si="2">IFERROR(F5*H5*I5,0)</f>
        <v>22410.803967524102</v>
      </c>
      <c r="L5" s="12">
        <f t="shared" ref="L5:L30" si="3">K5-J5</f>
        <v>22410.803967524102</v>
      </c>
      <c r="M5" s="11">
        <f t="shared" ref="M5:M30" si="4">IFERROR(L5/J5,0)</f>
        <v>0</v>
      </c>
      <c r="N5" s="36"/>
      <c r="O5" s="35" t="s">
        <v>227</v>
      </c>
    </row>
    <row r="6" spans="1:15" ht="15" customHeight="1" x14ac:dyDescent="0.2">
      <c r="A6" s="35">
        <v>2</v>
      </c>
      <c r="B6" s="35" t="s">
        <v>237</v>
      </c>
      <c r="C6" s="35" t="s">
        <v>240</v>
      </c>
      <c r="D6" s="34" t="s">
        <v>193</v>
      </c>
      <c r="E6" s="18" t="str">
        <f>IFERROR(INDEX(Reference!$F:$F,MATCH("Crypto|"&amp;C6&amp;"|"&amp;B6,Reference!$A:$A,0)),"")</f>
        <v>Altcoin</v>
      </c>
      <c r="F6" s="40">
        <v>3.37992961</v>
      </c>
      <c r="G6" s="33"/>
      <c r="H6" s="41">
        <f>IFERROR(INDEX(Prices!$E:$E,MATCH("Crypto|"&amp;C6&amp;"|"&amp;B6,Prices!$A:$A,0)),0)</f>
        <v>82.67</v>
      </c>
      <c r="I6" s="39">
        <f t="shared" si="0"/>
        <v>32.43</v>
      </c>
      <c r="J6" s="12">
        <f t="shared" si="1"/>
        <v>0</v>
      </c>
      <c r="K6" s="12">
        <f t="shared" si="2"/>
        <v>9061.5510632476417</v>
      </c>
      <c r="L6" s="12">
        <f t="shared" si="3"/>
        <v>9061.5510632476417</v>
      </c>
      <c r="M6" s="11">
        <f t="shared" si="4"/>
        <v>0</v>
      </c>
      <c r="N6" s="36"/>
      <c r="O6" s="35" t="s">
        <v>227</v>
      </c>
    </row>
    <row r="7" spans="1:15" ht="15" customHeight="1" x14ac:dyDescent="0.2">
      <c r="A7" s="35">
        <v>3</v>
      </c>
      <c r="B7" s="35" t="s">
        <v>237</v>
      </c>
      <c r="C7" s="35" t="s">
        <v>223</v>
      </c>
      <c r="D7" s="34" t="s">
        <v>193</v>
      </c>
      <c r="E7" s="18" t="str">
        <f>IFERROR(INDEX(Reference!$F:$F,MATCH("Crypto|"&amp;C7&amp;"|"&amp;B7,Reference!$A:$A,0)),"")</f>
        <v>Altcoin</v>
      </c>
      <c r="F7" s="40">
        <v>7121.9192425600004</v>
      </c>
      <c r="G7" s="33"/>
      <c r="H7" s="41">
        <f>IFERROR(INDEX(Prices!$E:$E,MATCH("Crypto|"&amp;C7&amp;"|"&amp;B7,Prices!$A:$A,0)),0)</f>
        <v>7.9979999999999999E-3</v>
      </c>
      <c r="I7" s="39">
        <f t="shared" si="0"/>
        <v>32.43</v>
      </c>
      <c r="J7" s="12">
        <f t="shared" si="1"/>
        <v>0</v>
      </c>
      <c r="K7" s="12">
        <f t="shared" si="2"/>
        <v>1847.248800607694</v>
      </c>
      <c r="L7" s="12">
        <f t="shared" si="3"/>
        <v>1847.248800607694</v>
      </c>
      <c r="M7" s="11">
        <f t="shared" si="4"/>
        <v>0</v>
      </c>
      <c r="N7" s="36"/>
      <c r="O7" s="35" t="s">
        <v>227</v>
      </c>
    </row>
    <row r="8" spans="1:15" ht="15" customHeight="1" x14ac:dyDescent="0.2">
      <c r="A8" s="35">
        <v>4</v>
      </c>
      <c r="B8" s="35" t="s">
        <v>237</v>
      </c>
      <c r="C8" s="35" t="s">
        <v>238</v>
      </c>
      <c r="D8" s="34" t="s">
        <v>193</v>
      </c>
      <c r="E8" s="18" t="str">
        <f>IFERROR(INDEX(Reference!$F:$F,MATCH("Crypto|"&amp;C8&amp;"|"&amp;B8,Reference!$A:$A,0)),"")</f>
        <v>Altcoin</v>
      </c>
      <c r="F8" s="40">
        <v>0.16259572999999999</v>
      </c>
      <c r="G8" s="33"/>
      <c r="H8" s="41">
        <f>IFERROR(INDEX(Prices!$E:$E,MATCH("Crypto|"&amp;C8&amp;"|"&amp;B8,Prices!$A:$A,0)),0)</f>
        <v>18.440000000000001</v>
      </c>
      <c r="I8" s="39">
        <f t="shared" si="0"/>
        <v>32.43</v>
      </c>
      <c r="J8" s="12">
        <f t="shared" si="1"/>
        <v>0</v>
      </c>
      <c r="K8" s="12">
        <f t="shared" si="2"/>
        <v>97.233742420716013</v>
      </c>
      <c r="L8" s="12">
        <f t="shared" si="3"/>
        <v>97.233742420716013</v>
      </c>
      <c r="M8" s="11">
        <f t="shared" si="4"/>
        <v>0</v>
      </c>
      <c r="N8" s="36"/>
      <c r="O8" s="35" t="s">
        <v>227</v>
      </c>
    </row>
    <row r="9" spans="1:15" ht="15" customHeight="1" x14ac:dyDescent="0.2">
      <c r="A9" s="35">
        <v>5</v>
      </c>
      <c r="B9" s="35" t="s">
        <v>237</v>
      </c>
      <c r="C9" s="35" t="s">
        <v>239</v>
      </c>
      <c r="D9" s="34" t="s">
        <v>193</v>
      </c>
      <c r="E9" s="18" t="str">
        <f>IFERROR(INDEX(Reference!$F:$F,MATCH("Crypto|"&amp;C9&amp;"|"&amp;B9,Reference!$A:$A,0)),"")</f>
        <v>Altcoin</v>
      </c>
      <c r="F9" s="40">
        <v>2.9943408699999998</v>
      </c>
      <c r="G9" s="33"/>
      <c r="H9" s="41">
        <f>IFERROR(INDEX(Prices!$E:$E,MATCH("Crypto|"&amp;C9&amp;"|"&amp;B9,Prices!$A:$A,0)),0)</f>
        <v>7.25E-6</v>
      </c>
      <c r="I9" s="39">
        <f t="shared" si="0"/>
        <v>32.43</v>
      </c>
      <c r="J9" s="12">
        <f t="shared" si="1"/>
        <v>0</v>
      </c>
      <c r="K9" s="12">
        <f t="shared" si="2"/>
        <v>7.0402193950222503E-4</v>
      </c>
      <c r="L9" s="12">
        <f t="shared" si="3"/>
        <v>7.0402193950222503E-4</v>
      </c>
      <c r="M9" s="11">
        <f t="shared" si="4"/>
        <v>0</v>
      </c>
      <c r="N9" s="36"/>
      <c r="O9" s="35" t="s">
        <v>227</v>
      </c>
    </row>
    <row r="10" spans="1:15" ht="15" customHeight="1" x14ac:dyDescent="0.2">
      <c r="A10" s="35">
        <v>6</v>
      </c>
      <c r="B10" s="35" t="s">
        <v>237</v>
      </c>
      <c r="C10" s="35" t="s">
        <v>225</v>
      </c>
      <c r="D10" s="34" t="s">
        <v>193</v>
      </c>
      <c r="E10" s="18" t="str">
        <f>IFERROR(INDEX(Reference!$F:$F,MATCH("Crypto|"&amp;C10&amp;"|"&amp;B10,Reference!$A:$A,0)),"")</f>
        <v>Major Crypto</v>
      </c>
      <c r="F10" s="40">
        <v>3.6199999999999999E-5</v>
      </c>
      <c r="G10" s="33"/>
      <c r="H10" s="41">
        <f>IFERROR(INDEX(Prices!$E:$E,MATCH("Crypto|"&amp;C10&amp;"|"&amp;B10,Prices!$A:$A,0)),0)</f>
        <v>82.58</v>
      </c>
      <c r="I10" s="39">
        <f t="shared" si="0"/>
        <v>32.43</v>
      </c>
      <c r="J10" s="12">
        <f t="shared" si="1"/>
        <v>0</v>
      </c>
      <c r="K10" s="12">
        <f t="shared" si="2"/>
        <v>9.6946112279999996E-2</v>
      </c>
      <c r="L10" s="12">
        <f t="shared" si="3"/>
        <v>9.6946112279999996E-2</v>
      </c>
      <c r="M10" s="11">
        <f t="shared" si="4"/>
        <v>0</v>
      </c>
      <c r="N10" s="36"/>
      <c r="O10" s="35" t="s">
        <v>227</v>
      </c>
    </row>
    <row r="11" spans="1:15" ht="15" customHeight="1" x14ac:dyDescent="0.2">
      <c r="A11" s="35">
        <v>7</v>
      </c>
      <c r="B11" s="35" t="s">
        <v>237</v>
      </c>
      <c r="C11" s="35" t="s">
        <v>227</v>
      </c>
      <c r="D11" s="34" t="s">
        <v>193</v>
      </c>
      <c r="E11" s="18" t="str">
        <f>IFERROR(INDEX(Reference!$F:$F,MATCH("Crypto|"&amp;C11&amp;"|"&amp;B11,Reference!$A:$A,0)),"")</f>
        <v>Stablecoin</v>
      </c>
      <c r="F11" s="40">
        <v>9.077E-4</v>
      </c>
      <c r="G11" s="33"/>
      <c r="H11" s="41">
        <f>IFERROR(INDEX(Prices!$E:$E,MATCH("Crypto|"&amp;C11&amp;"|"&amp;B11,Prices!$A:$A,0)),0)</f>
        <v>1</v>
      </c>
      <c r="I11" s="39">
        <f t="shared" si="0"/>
        <v>32.43</v>
      </c>
      <c r="J11" s="12">
        <f t="shared" si="1"/>
        <v>0</v>
      </c>
      <c r="K11" s="12">
        <f t="shared" si="2"/>
        <v>2.9436711000000001E-2</v>
      </c>
      <c r="L11" s="12">
        <f t="shared" si="3"/>
        <v>2.9436711000000001E-2</v>
      </c>
      <c r="M11" s="11">
        <f t="shared" si="4"/>
        <v>0</v>
      </c>
      <c r="N11" s="36"/>
      <c r="O11" s="35" t="s">
        <v>227</v>
      </c>
    </row>
    <row r="12" spans="1:15" ht="15" customHeight="1" x14ac:dyDescent="0.2">
      <c r="A12" s="35">
        <v>8</v>
      </c>
      <c r="B12" s="35" t="s">
        <v>220</v>
      </c>
      <c r="C12" s="35" t="s">
        <v>222</v>
      </c>
      <c r="D12" s="34" t="s">
        <v>193</v>
      </c>
      <c r="E12" s="18" t="str">
        <f>IFERROR(INDEX(Reference!$F:$F,MATCH("Crypto|"&amp;C12&amp;"|"&amp;B12,Reference!$A:$A,0)),"")</f>
        <v>Major Crypto</v>
      </c>
      <c r="F12" s="40">
        <v>3.7802160000000001E-2</v>
      </c>
      <c r="G12" s="40">
        <v>106500</v>
      </c>
      <c r="H12" s="41">
        <f>IFERROR(INDEX(Prices!$E:$E,MATCH("Crypto|"&amp;C12&amp;"|"&amp;B12,Prices!$A:$A,0)),0)</f>
        <v>73849</v>
      </c>
      <c r="I12" s="39">
        <f t="shared" si="0"/>
        <v>32.43</v>
      </c>
      <c r="J12" s="12">
        <f t="shared" si="1"/>
        <v>130560.91119720001</v>
      </c>
      <c r="K12" s="12">
        <f t="shared" si="2"/>
        <v>90533.265079831195</v>
      </c>
      <c r="L12" s="12">
        <f t="shared" si="3"/>
        <v>-40027.646117368815</v>
      </c>
      <c r="M12" s="11">
        <f t="shared" si="4"/>
        <v>-0.30658215962441321</v>
      </c>
      <c r="N12" s="36">
        <v>45948</v>
      </c>
      <c r="O12" s="35" t="s">
        <v>227</v>
      </c>
    </row>
    <row r="13" spans="1:15" ht="15" customHeight="1" x14ac:dyDescent="0.2">
      <c r="A13" s="35">
        <v>9</v>
      </c>
      <c r="B13" s="35" t="s">
        <v>220</v>
      </c>
      <c r="C13" s="35" t="s">
        <v>219</v>
      </c>
      <c r="D13" s="34" t="s">
        <v>193</v>
      </c>
      <c r="E13" s="18" t="str">
        <f>IFERROR(INDEX(Reference!$F:$F,MATCH("Crypto|"&amp;C13&amp;"|"&amp;B13,Reference!$A:$A,0)),"")</f>
        <v>Altcoin</v>
      </c>
      <c r="F13" s="40">
        <v>2.78721</v>
      </c>
      <c r="G13" s="40">
        <v>358.4162796</v>
      </c>
      <c r="H13" s="41">
        <f>IFERROR(INDEX(Prices!$E:$E,MATCH("Crypto|"&amp;C13&amp;"|"&amp;B13,Prices!$A:$A,0)),0)</f>
        <v>82.64</v>
      </c>
      <c r="I13" s="39">
        <f t="shared" si="0"/>
        <v>32.43</v>
      </c>
      <c r="J13" s="12">
        <f t="shared" si="1"/>
        <v>32396.968055870791</v>
      </c>
      <c r="K13" s="12">
        <f t="shared" si="2"/>
        <v>7469.7651655919999</v>
      </c>
      <c r="L13" s="12">
        <f t="shared" si="3"/>
        <v>-24927.202890278793</v>
      </c>
      <c r="M13" s="11">
        <f t="shared" si="4"/>
        <v>-0.76943011603092371</v>
      </c>
      <c r="N13" s="36">
        <v>45638</v>
      </c>
      <c r="O13" s="35" t="s">
        <v>227</v>
      </c>
    </row>
    <row r="14" spans="1:15" ht="15" customHeight="1" x14ac:dyDescent="0.2">
      <c r="A14" s="35">
        <v>10</v>
      </c>
      <c r="B14" s="35" t="s">
        <v>220</v>
      </c>
      <c r="C14" s="35" t="s">
        <v>226</v>
      </c>
      <c r="D14" s="34" t="s">
        <v>193</v>
      </c>
      <c r="E14" s="18" t="str">
        <f>IFERROR(INDEX(Reference!$F:$F,MATCH("Crypto|"&amp;C14&amp;"|"&amp;B14,Reference!$A:$A,0)),"")</f>
        <v>Altcoin</v>
      </c>
      <c r="F14" s="40">
        <v>37.830131999999999</v>
      </c>
      <c r="G14" s="40">
        <v>66.010000000000005</v>
      </c>
      <c r="H14" s="41">
        <f>IFERROR(INDEX(Prices!$E:$E,MATCH("Crypto|"&amp;C14&amp;"|"&amp;B14,Prices!$A:$A,0)),0)</f>
        <v>2.0099999999999998</v>
      </c>
      <c r="I14" s="39">
        <f t="shared" si="0"/>
        <v>32.43</v>
      </c>
      <c r="J14" s="12">
        <f t="shared" si="1"/>
        <v>80983.126241967606</v>
      </c>
      <c r="K14" s="12">
        <f t="shared" si="2"/>
        <v>2465.9306733275998</v>
      </c>
      <c r="L14" s="12">
        <f t="shared" si="3"/>
        <v>-78517.195568640003</v>
      </c>
      <c r="M14" s="11">
        <f t="shared" si="4"/>
        <v>-0.96955006817148914</v>
      </c>
      <c r="N14" s="36">
        <v>45676</v>
      </c>
      <c r="O14" s="35" t="s">
        <v>227</v>
      </c>
    </row>
    <row r="15" spans="1:15" ht="15" customHeight="1" x14ac:dyDescent="0.2">
      <c r="A15" s="35">
        <v>11</v>
      </c>
      <c r="B15" s="35" t="s">
        <v>220</v>
      </c>
      <c r="C15" s="35" t="s">
        <v>224</v>
      </c>
      <c r="D15" s="34" t="s">
        <v>193</v>
      </c>
      <c r="E15" s="18" t="str">
        <f>IFERROR(INDEX(Reference!$F:$F,MATCH("Crypto|"&amp;C15&amp;"|"&amp;B15,Reference!$A:$A,0)),"")</f>
        <v>Altcoin</v>
      </c>
      <c r="F15" s="40">
        <v>7253.8416549399999</v>
      </c>
      <c r="G15" s="40">
        <v>8.9208229999999999E-2</v>
      </c>
      <c r="H15" s="41">
        <f>IFERROR(INDEX(Prices!$E:$E,MATCH("Crypto|"&amp;C15&amp;"|"&amp;B15,Prices!$A:$A,0)),0)</f>
        <v>1.2893999999999999E-2</v>
      </c>
      <c r="I15" s="39">
        <f t="shared" si="0"/>
        <v>32.43</v>
      </c>
      <c r="J15" s="12">
        <f t="shared" si="1"/>
        <v>20985.530012736093</v>
      </c>
      <c r="K15" s="12">
        <f t="shared" si="2"/>
        <v>3033.2114423099656</v>
      </c>
      <c r="L15" s="12">
        <f t="shared" si="3"/>
        <v>-17952.318570426127</v>
      </c>
      <c r="M15" s="11">
        <f t="shared" si="4"/>
        <v>-0.85546176625183568</v>
      </c>
      <c r="N15" s="36">
        <v>45892</v>
      </c>
      <c r="O15" s="35" t="s">
        <v>227</v>
      </c>
    </row>
    <row r="16" spans="1:15" ht="15" customHeight="1" x14ac:dyDescent="0.2">
      <c r="A16" s="35">
        <v>12</v>
      </c>
      <c r="B16" s="35" t="s">
        <v>220</v>
      </c>
      <c r="C16" s="35" t="s">
        <v>225</v>
      </c>
      <c r="D16" s="34" t="s">
        <v>193</v>
      </c>
      <c r="E16" s="18" t="str">
        <f>IFERROR(INDEX(Reference!$F:$F,MATCH("Crypto|"&amp;C16&amp;"|"&amp;B16,Reference!$A:$A,0)),"")</f>
        <v>Major Crypto</v>
      </c>
      <c r="F16" s="40">
        <v>0.14153209999999999</v>
      </c>
      <c r="G16" s="33"/>
      <c r="H16" s="41">
        <f>IFERROR(INDEX(Prices!$E:$E,MATCH("Crypto|"&amp;C16&amp;"|"&amp;B16,Prices!$A:$A,0)),0)</f>
        <v>82.58</v>
      </c>
      <c r="I16" s="39">
        <f t="shared" si="0"/>
        <v>32.43</v>
      </c>
      <c r="J16" s="12">
        <f t="shared" si="1"/>
        <v>0</v>
      </c>
      <c r="K16" s="12">
        <f t="shared" si="2"/>
        <v>379.03278612773994</v>
      </c>
      <c r="L16" s="12">
        <f t="shared" si="3"/>
        <v>379.03278612773994</v>
      </c>
      <c r="M16" s="11">
        <f t="shared" si="4"/>
        <v>0</v>
      </c>
      <c r="N16" s="36"/>
      <c r="O16" s="35" t="s">
        <v>227</v>
      </c>
    </row>
    <row r="17" spans="1:15" ht="15" customHeight="1" x14ac:dyDescent="0.2">
      <c r="A17" s="35">
        <v>13</v>
      </c>
      <c r="B17" s="35" t="s">
        <v>220</v>
      </c>
      <c r="C17" s="35" t="s">
        <v>227</v>
      </c>
      <c r="D17" s="34" t="s">
        <v>193</v>
      </c>
      <c r="E17" s="18" t="str">
        <f>IFERROR(INDEX(Reference!$F:$F,MATCH("Crypto|"&amp;C17&amp;"|"&amp;B17,Reference!$A:$A,0)),"")</f>
        <v>Stablecoin</v>
      </c>
      <c r="F17" s="40">
        <v>2079.9275312300001</v>
      </c>
      <c r="G17" s="33"/>
      <c r="H17" s="41">
        <f>IFERROR(INDEX(Prices!$E:$E,MATCH("Crypto|"&amp;C17&amp;"|"&amp;B17,Prices!$A:$A,0)),0)</f>
        <v>1</v>
      </c>
      <c r="I17" s="39">
        <f t="shared" si="0"/>
        <v>32.43</v>
      </c>
      <c r="J17" s="12">
        <f t="shared" si="1"/>
        <v>0</v>
      </c>
      <c r="K17" s="12">
        <f t="shared" si="2"/>
        <v>67452.049837788902</v>
      </c>
      <c r="L17" s="12">
        <f t="shared" si="3"/>
        <v>67452.049837788902</v>
      </c>
      <c r="M17" s="11">
        <f t="shared" si="4"/>
        <v>0</v>
      </c>
      <c r="N17" s="36"/>
      <c r="O17" s="35" t="s">
        <v>227</v>
      </c>
    </row>
    <row r="18" spans="1:15" ht="15" customHeight="1" x14ac:dyDescent="0.2">
      <c r="A18" s="35">
        <v>14</v>
      </c>
      <c r="B18" s="35" t="s">
        <v>220</v>
      </c>
      <c r="C18" s="35" t="s">
        <v>221</v>
      </c>
      <c r="D18" s="34" t="s">
        <v>193</v>
      </c>
      <c r="E18" s="18" t="str">
        <f>IFERROR(INDEX(Reference!$F:$F,MATCH("Crypto|"&amp;C18&amp;"|"&amp;B18,Reference!$A:$A,0)),"")</f>
        <v>Major Crypto</v>
      </c>
      <c r="F18" s="40">
        <v>1.4796567300000001</v>
      </c>
      <c r="G18" s="33"/>
      <c r="H18" s="41">
        <f>IFERROR(INDEX(Prices!$E:$E,MATCH("Crypto|"&amp;C18&amp;"|"&amp;B18,Prices!$A:$A,0)),0)</f>
        <v>722.73</v>
      </c>
      <c r="I18" s="39">
        <f t="shared" si="0"/>
        <v>32.43</v>
      </c>
      <c r="J18" s="12">
        <f t="shared" si="1"/>
        <v>0</v>
      </c>
      <c r="K18" s="12">
        <f t="shared" si="2"/>
        <v>34680.392563776149</v>
      </c>
      <c r="L18" s="12">
        <f t="shared" si="3"/>
        <v>34680.392563776149</v>
      </c>
      <c r="M18" s="11">
        <f t="shared" si="4"/>
        <v>0</v>
      </c>
      <c r="N18" s="36"/>
      <c r="O18" s="35" t="s">
        <v>227</v>
      </c>
    </row>
    <row r="19" spans="1:15" ht="15" customHeight="1" x14ac:dyDescent="0.2">
      <c r="A19" s="35">
        <v>15</v>
      </c>
      <c r="B19" s="35" t="s">
        <v>220</v>
      </c>
      <c r="C19" s="35" t="s">
        <v>223</v>
      </c>
      <c r="D19" s="34" t="s">
        <v>193</v>
      </c>
      <c r="E19" s="18" t="str">
        <f>IFERROR(INDEX(Reference!$F:$F,MATCH("Crypto|"&amp;C19&amp;"|"&amp;B19,Reference!$A:$A,0)),"")</f>
        <v>Altcoin</v>
      </c>
      <c r="F19" s="40">
        <v>66699.178773160005</v>
      </c>
      <c r="G19" s="40">
        <v>0.03</v>
      </c>
      <c r="H19" s="41">
        <f>IFERROR(INDEX(Prices!$E:$E,MATCH("Crypto|"&amp;C19&amp;"|"&amp;B19,Prices!$A:$A,0)),0)</f>
        <v>7.9979999999999999E-3</v>
      </c>
      <c r="I19" s="39">
        <f t="shared" si="0"/>
        <v>32.43</v>
      </c>
      <c r="J19" s="12">
        <f t="shared" si="1"/>
        <v>64891.63102840737</v>
      </c>
      <c r="K19" s="12">
        <f t="shared" si="2"/>
        <v>17300.108832173402</v>
      </c>
      <c r="L19" s="12">
        <f t="shared" si="3"/>
        <v>-47591.522196233971</v>
      </c>
      <c r="M19" s="11">
        <f t="shared" si="4"/>
        <v>-0.73340000000000005</v>
      </c>
      <c r="N19" s="36">
        <v>45645</v>
      </c>
      <c r="O19" s="35" t="s">
        <v>227</v>
      </c>
    </row>
    <row r="20" spans="1:15" ht="15" customHeight="1" x14ac:dyDescent="0.2">
      <c r="A20" s="35">
        <v>16</v>
      </c>
      <c r="B20" s="35" t="s">
        <v>220</v>
      </c>
      <c r="C20" s="35" t="s">
        <v>225</v>
      </c>
      <c r="D20" s="34" t="s">
        <v>193</v>
      </c>
      <c r="E20" s="18" t="str">
        <f>IFERROR(INDEX(Reference!$F:$F,MATCH("Crypto|"&amp;C20&amp;"|"&amp;B20,Reference!$A:$A,0)),"")</f>
        <v>Major Crypto</v>
      </c>
      <c r="F20" s="40">
        <v>4.3920670299999998</v>
      </c>
      <c r="G20" s="33"/>
      <c r="H20" s="41">
        <f>IFERROR(INDEX(Prices!$E:$E,MATCH("Crypto|"&amp;C20&amp;"|"&amp;B20,Prices!$A:$A,0)),0)</f>
        <v>82.58</v>
      </c>
      <c r="I20" s="39">
        <f t="shared" si="0"/>
        <v>32.43</v>
      </c>
      <c r="J20" s="12">
        <f t="shared" si="1"/>
        <v>0</v>
      </c>
      <c r="K20" s="12">
        <f t="shared" si="2"/>
        <v>11762.26031579188</v>
      </c>
      <c r="L20" s="12">
        <f t="shared" si="3"/>
        <v>11762.26031579188</v>
      </c>
      <c r="M20" s="11">
        <f t="shared" si="4"/>
        <v>0</v>
      </c>
      <c r="N20" s="36"/>
      <c r="O20" s="35" t="s">
        <v>227</v>
      </c>
    </row>
    <row r="21" spans="1:15" ht="15" customHeight="1" x14ac:dyDescent="0.2">
      <c r="A21" s="35">
        <v>17</v>
      </c>
      <c r="B21" s="35" t="s">
        <v>220</v>
      </c>
      <c r="C21" s="35" t="s">
        <v>228</v>
      </c>
      <c r="D21" s="34" t="s">
        <v>193</v>
      </c>
      <c r="E21" s="18" t="str">
        <f>IFERROR(INDEX(Reference!$F:$F,MATCH("Crypto|"&amp;C21&amp;"|"&amp;B21,Reference!$A:$A,0)),"")</f>
        <v>Altcoin</v>
      </c>
      <c r="F21" s="40">
        <v>7965.8287635500001</v>
      </c>
      <c r="G21" s="40">
        <v>0.22321048900000001</v>
      </c>
      <c r="H21" s="41">
        <f>IFERROR(INDEX(Prices!$E:$E,MATCH("Crypto|"&amp;C21&amp;"|"&amp;B21,Prices!$A:$A,0)),0)</f>
        <v>1.5837E-2</v>
      </c>
      <c r="I21" s="39">
        <f t="shared" si="0"/>
        <v>32.43</v>
      </c>
      <c r="J21" s="12">
        <f t="shared" si="1"/>
        <v>57662.373384721323</v>
      </c>
      <c r="K21" s="12">
        <f t="shared" si="2"/>
        <v>4091.2011410621103</v>
      </c>
      <c r="L21" s="12">
        <f t="shared" si="3"/>
        <v>-53571.17224365921</v>
      </c>
      <c r="M21" s="11">
        <f t="shared" si="4"/>
        <v>-0.92904903317513898</v>
      </c>
      <c r="N21" s="36">
        <v>45653</v>
      </c>
      <c r="O21" s="35" t="s">
        <v>227</v>
      </c>
    </row>
    <row r="22" spans="1:15" ht="15" customHeight="1" x14ac:dyDescent="0.2">
      <c r="A22" s="35">
        <v>18</v>
      </c>
      <c r="B22" s="35" t="s">
        <v>233</v>
      </c>
      <c r="C22" s="35" t="s">
        <v>222</v>
      </c>
      <c r="D22" s="34" t="s">
        <v>9</v>
      </c>
      <c r="E22" s="18" t="str">
        <f>IFERROR(INDEX(Reference!$F:$F,MATCH("Crypto|"&amp;C22&amp;"|"&amp;B22,Reference!$A:$A,0)),"")</f>
        <v>Major Crypto</v>
      </c>
      <c r="F22" s="40">
        <v>9.009006E-2</v>
      </c>
      <c r="G22" s="40">
        <v>1110000</v>
      </c>
      <c r="H22" s="41">
        <f>IFERROR(INDEX(Prices!$E:$E,MATCH("Crypto|"&amp;C22&amp;"|"&amp;B22,Prices!$A:$A,0)),0)</f>
        <v>2394923.0699999998</v>
      </c>
      <c r="I22" s="39">
        <f t="shared" si="0"/>
        <v>1</v>
      </c>
      <c r="J22" s="12">
        <f t="shared" si="1"/>
        <v>99999.9666</v>
      </c>
      <c r="K22" s="12">
        <f t="shared" si="2"/>
        <v>215758.7630716842</v>
      </c>
      <c r="L22" s="12">
        <f t="shared" si="3"/>
        <v>115758.7964716842</v>
      </c>
      <c r="M22" s="11">
        <f t="shared" si="4"/>
        <v>1.1575883513513514</v>
      </c>
      <c r="N22" s="36"/>
      <c r="O22" s="35" t="s">
        <v>9</v>
      </c>
    </row>
    <row r="23" spans="1:15" ht="15" customHeight="1" x14ac:dyDescent="0.2">
      <c r="A23" s="35">
        <v>19</v>
      </c>
      <c r="B23" s="35" t="s">
        <v>233</v>
      </c>
      <c r="C23" s="35" t="s">
        <v>222</v>
      </c>
      <c r="D23" s="34" t="s">
        <v>9</v>
      </c>
      <c r="E23" s="18" t="str">
        <f>IFERROR(INDEX(Reference!$F:$F,MATCH("Crypto|"&amp;C23&amp;"|"&amp;B23,Reference!$A:$A,0)),"")</f>
        <v>Major Crypto</v>
      </c>
      <c r="F23" s="40">
        <v>0.13841141000000001</v>
      </c>
      <c r="G23" s="40">
        <v>2168161.89</v>
      </c>
      <c r="H23" s="41">
        <f>IFERROR(INDEX(Prices!$E:$E,MATCH("Crypto|"&amp;C23&amp;"|"&amp;B23,Prices!$A:$A,0)),0)</f>
        <v>2394923.0699999998</v>
      </c>
      <c r="I23" s="39">
        <f t="shared" si="0"/>
        <v>1</v>
      </c>
      <c r="J23" s="12">
        <f t="shared" si="1"/>
        <v>300098.34430316492</v>
      </c>
      <c r="K23" s="12">
        <f t="shared" si="2"/>
        <v>331484.67896022869</v>
      </c>
      <c r="L23" s="12">
        <f t="shared" si="3"/>
        <v>31386.334657063766</v>
      </c>
      <c r="M23" s="11">
        <f t="shared" si="4"/>
        <v>0.10458683046033972</v>
      </c>
      <c r="N23" s="36"/>
      <c r="O23" s="35" t="s">
        <v>9</v>
      </c>
    </row>
    <row r="24" spans="1:15" ht="15" customHeight="1" x14ac:dyDescent="0.2">
      <c r="A24" s="35">
        <v>20</v>
      </c>
      <c r="B24" s="35" t="s">
        <v>233</v>
      </c>
      <c r="C24" s="35" t="s">
        <v>221</v>
      </c>
      <c r="D24" s="34" t="s">
        <v>9</v>
      </c>
      <c r="E24" s="18" t="str">
        <f>IFERROR(INDEX(Reference!$F:$F,MATCH("Crypto|"&amp;C24&amp;"|"&amp;B24,Reference!$A:$A,0)),"")</f>
        <v>Major Crypto</v>
      </c>
      <c r="F24" s="40">
        <v>11.40962468</v>
      </c>
      <c r="G24" s="40">
        <v>17528.95</v>
      </c>
      <c r="H24" s="41">
        <f>IFERROR(INDEX(Prices!$E:$E,MATCH("Crypto|"&amp;C24&amp;"|"&amp;B24,Prices!$A:$A,0)),0)</f>
        <v>23438.133900000001</v>
      </c>
      <c r="I24" s="39">
        <f t="shared" si="0"/>
        <v>1</v>
      </c>
      <c r="J24" s="12">
        <f t="shared" si="1"/>
        <v>199998.74053448602</v>
      </c>
      <c r="K24" s="12">
        <f t="shared" si="2"/>
        <v>267420.31099858467</v>
      </c>
      <c r="L24" s="12">
        <f t="shared" si="3"/>
        <v>67421.570464098651</v>
      </c>
      <c r="M24" s="11">
        <f t="shared" si="4"/>
        <v>0.33710997521243424</v>
      </c>
      <c r="N24" s="36"/>
      <c r="O24" s="35" t="s">
        <v>9</v>
      </c>
    </row>
    <row r="25" spans="1:15" ht="15" customHeight="1" x14ac:dyDescent="0.2">
      <c r="A25" s="35">
        <v>21</v>
      </c>
      <c r="B25" s="35" t="s">
        <v>233</v>
      </c>
      <c r="C25" s="35" t="s">
        <v>234</v>
      </c>
      <c r="D25" s="34" t="s">
        <v>9</v>
      </c>
      <c r="E25" s="18" t="str">
        <f>IFERROR(INDEX(Reference!$F:$F,MATCH("Crypto|"&amp;C25&amp;"|"&amp;B25,Reference!$A:$A,0)),"")</f>
        <v>Altcoin</v>
      </c>
      <c r="F25" s="40">
        <v>831.25</v>
      </c>
      <c r="G25" s="40">
        <v>12.03</v>
      </c>
      <c r="H25" s="41">
        <f>IFERROR(INDEX(Prices!$E:$E,MATCH("Crypto|"&amp;C25&amp;"|"&amp;B25,Prices!$A:$A,0)),0)</f>
        <v>3.2632690000000002</v>
      </c>
      <c r="I25" s="39">
        <f t="shared" si="0"/>
        <v>1</v>
      </c>
      <c r="J25" s="12">
        <f t="shared" si="1"/>
        <v>9999.9375</v>
      </c>
      <c r="K25" s="12">
        <f t="shared" si="2"/>
        <v>2712.5923562500002</v>
      </c>
      <c r="L25" s="12">
        <f t="shared" si="3"/>
        <v>-7287.3451437499998</v>
      </c>
      <c r="M25" s="11">
        <f t="shared" si="4"/>
        <v>-0.72873906899418117</v>
      </c>
      <c r="N25" s="36"/>
      <c r="O25" s="35" t="s">
        <v>9</v>
      </c>
    </row>
    <row r="26" spans="1:15" ht="15" customHeight="1" x14ac:dyDescent="0.2">
      <c r="A26" s="35">
        <v>22</v>
      </c>
      <c r="B26" s="35" t="s">
        <v>233</v>
      </c>
      <c r="C26" s="35" t="s">
        <v>235</v>
      </c>
      <c r="D26" s="34" t="s">
        <v>9</v>
      </c>
      <c r="E26" s="18" t="str">
        <f>IFERROR(INDEX(Reference!$F:$F,MATCH("Crypto|"&amp;C26&amp;"|"&amp;B26,Reference!$A:$A,0)),"")</f>
        <v>Major Crypto</v>
      </c>
      <c r="F26" s="40">
        <v>2.7175757599999999</v>
      </c>
      <c r="G26" s="40">
        <v>110391.82</v>
      </c>
      <c r="H26" s="41">
        <f>IFERROR(INDEX(Prices!$E:$E,MATCH("Crypto|"&amp;C26&amp;"|"&amp;B26,Prices!$A:$A,0)),0)</f>
        <v>65518.004699999998</v>
      </c>
      <c r="I26" s="39">
        <f t="shared" si="0"/>
        <v>1</v>
      </c>
      <c r="J26" s="12">
        <f t="shared" si="1"/>
        <v>299998.13413428323</v>
      </c>
      <c r="K26" s="12">
        <f t="shared" si="2"/>
        <v>178050.14141628606</v>
      </c>
      <c r="L26" s="12">
        <f t="shared" si="3"/>
        <v>-121947.99271799717</v>
      </c>
      <c r="M26" s="11">
        <f t="shared" si="4"/>
        <v>-0.40649583728214655</v>
      </c>
      <c r="N26" s="36"/>
      <c r="O26" s="35" t="s">
        <v>9</v>
      </c>
    </row>
    <row r="27" spans="1:15" ht="15" customHeight="1" x14ac:dyDescent="0.2">
      <c r="A27" s="35">
        <v>23</v>
      </c>
      <c r="B27" s="35" t="s">
        <v>233</v>
      </c>
      <c r="C27" s="35" t="s">
        <v>236</v>
      </c>
      <c r="D27" s="34" t="s">
        <v>9</v>
      </c>
      <c r="E27" s="18" t="str">
        <f>IFERROR(INDEX(Reference!$F:$F,MATCH("Crypto|"&amp;C27&amp;"|"&amp;B27,Reference!$A:$A,0)),"")</f>
        <v>Altcoin</v>
      </c>
      <c r="F27" s="40">
        <v>352.81837898999999</v>
      </c>
      <c r="G27" s="40">
        <v>425.15</v>
      </c>
      <c r="H27" s="41">
        <f>IFERROR(INDEX(Prices!$E:$E,MATCH("Crypto|"&amp;C27&amp;"|"&amp;B27,Prices!$A:$A,0)),0)</f>
        <v>26.150482</v>
      </c>
      <c r="I27" s="39">
        <f t="shared" si="0"/>
        <v>1</v>
      </c>
      <c r="J27" s="12">
        <f t="shared" si="1"/>
        <v>150000.73382759848</v>
      </c>
      <c r="K27" s="12">
        <f t="shared" si="2"/>
        <v>9226.3706690471736</v>
      </c>
      <c r="L27" s="12">
        <f t="shared" si="3"/>
        <v>-140774.36315855131</v>
      </c>
      <c r="M27" s="11">
        <f t="shared" si="4"/>
        <v>-0.93849116311889924</v>
      </c>
      <c r="N27" s="36"/>
      <c r="O27" s="35" t="s">
        <v>9</v>
      </c>
    </row>
    <row r="28" spans="1:15" ht="15" customHeight="1" x14ac:dyDescent="0.2">
      <c r="A28" s="35">
        <v>24</v>
      </c>
      <c r="B28" s="35" t="s">
        <v>230</v>
      </c>
      <c r="C28" s="35" t="s">
        <v>232</v>
      </c>
      <c r="D28" s="34" t="s">
        <v>9</v>
      </c>
      <c r="E28" s="18" t="str">
        <f>IFERROR(INDEX(Reference!$F:$F,MATCH("Crypto|"&amp;C28&amp;"|"&amp;B28,Reference!$A:$A,0)),"")</f>
        <v>Altcoin</v>
      </c>
      <c r="F28" s="40">
        <v>253826.30551999999</v>
      </c>
      <c r="G28" s="40">
        <v>0.41</v>
      </c>
      <c r="H28" s="41">
        <f>IFERROR(INDEX(Prices!$E:$E,MATCH("Crypto|"&amp;C28&amp;"|"&amp;B28,Prices!$A:$A,0)),0)</f>
        <v>0.13336400000000001</v>
      </c>
      <c r="I28" s="39">
        <f t="shared" si="0"/>
        <v>1</v>
      </c>
      <c r="J28" s="12">
        <f t="shared" si="1"/>
        <v>104068.78526319998</v>
      </c>
      <c r="K28" s="12">
        <f t="shared" si="2"/>
        <v>33851.291409369282</v>
      </c>
      <c r="L28" s="12">
        <f t="shared" si="3"/>
        <v>-70217.493853830703</v>
      </c>
      <c r="M28" s="11">
        <f t="shared" si="4"/>
        <v>-0.67472195121951217</v>
      </c>
      <c r="N28" s="36"/>
      <c r="O28" s="35" t="s">
        <v>9</v>
      </c>
    </row>
    <row r="29" spans="1:15" ht="15" customHeight="1" x14ac:dyDescent="0.2">
      <c r="A29" s="35">
        <v>25</v>
      </c>
      <c r="B29" s="35" t="s">
        <v>230</v>
      </c>
      <c r="C29" s="35" t="s">
        <v>231</v>
      </c>
      <c r="D29" s="34" t="s">
        <v>9</v>
      </c>
      <c r="E29" s="18" t="str">
        <f>IFERROR(INDEX(Reference!$F:$F,MATCH("Crypto|"&amp;C29&amp;"|"&amp;B29,Reference!$A:$A,0)),"")</f>
        <v>Altcoin</v>
      </c>
      <c r="F29" s="40">
        <v>218.25299999999999</v>
      </c>
      <c r="G29" s="40">
        <v>113.76</v>
      </c>
      <c r="H29" s="41">
        <f>IFERROR(INDEX(Prices!$E:$E,MATCH("Crypto|"&amp;C29&amp;"|"&amp;B29,Prices!$A:$A,0)),0)</f>
        <v>29.216090000000001</v>
      </c>
      <c r="I29" s="39">
        <f t="shared" si="0"/>
        <v>1</v>
      </c>
      <c r="J29" s="12">
        <f t="shared" si="1"/>
        <v>24828.46128</v>
      </c>
      <c r="K29" s="12">
        <f t="shared" si="2"/>
        <v>6376.4992907699998</v>
      </c>
      <c r="L29" s="12">
        <f t="shared" si="3"/>
        <v>-18451.96198923</v>
      </c>
      <c r="M29" s="11">
        <f t="shared" si="4"/>
        <v>-0.74317783052039377</v>
      </c>
      <c r="N29" s="36"/>
      <c r="O29" s="35" t="s">
        <v>9</v>
      </c>
    </row>
    <row r="30" spans="1:15" ht="15" customHeight="1" x14ac:dyDescent="0.2">
      <c r="A30" s="35">
        <v>26</v>
      </c>
      <c r="B30" s="35" t="s">
        <v>230</v>
      </c>
      <c r="C30" s="35" t="s">
        <v>229</v>
      </c>
      <c r="D30" s="34" t="s">
        <v>9</v>
      </c>
      <c r="E30" s="18" t="str">
        <f>IFERROR(INDEX(Reference!$F:$F,MATCH("Crypto|"&amp;C30&amp;"|"&amp;B30,Reference!$A:$A,0)),"")</f>
        <v>Altcoin</v>
      </c>
      <c r="F30" s="40">
        <v>6565.4</v>
      </c>
      <c r="G30" s="40">
        <v>17.670000000000002</v>
      </c>
      <c r="H30" s="41">
        <f>IFERROR(INDEX(Prices!$E:$E,MATCH("Crypto|"&amp;C30&amp;"|"&amp;B30,Prices!$A:$A,0)),0)</f>
        <v>3.3345820000000002</v>
      </c>
      <c r="I30" s="39">
        <f t="shared" si="0"/>
        <v>1</v>
      </c>
      <c r="J30" s="12">
        <f t="shared" si="1"/>
        <v>116010.618</v>
      </c>
      <c r="K30" s="12">
        <f t="shared" si="2"/>
        <v>21892.864662799999</v>
      </c>
      <c r="L30" s="12">
        <f t="shared" si="3"/>
        <v>-94117.753337200003</v>
      </c>
      <c r="M30" s="11">
        <f t="shared" si="4"/>
        <v>-0.81128568194680251</v>
      </c>
      <c r="N30" s="36"/>
      <c r="O30" s="35" t="s">
        <v>9</v>
      </c>
    </row>
    <row r="31" spans="1:15" ht="15" customHeight="1" x14ac:dyDescent="0.2"/>
    <row r="32" spans="1:15" x14ac:dyDescent="0.2">
      <c r="A32" s="13" t="s">
        <v>69</v>
      </c>
      <c r="B32" s="43"/>
      <c r="C32" s="43"/>
      <c r="D32" s="43"/>
      <c r="E32" s="43"/>
      <c r="F32" s="43"/>
      <c r="G32" s="43"/>
      <c r="H32" s="43"/>
      <c r="I32" s="43"/>
      <c r="J32" s="14">
        <f>SUM(J5:J31)</f>
        <v>1692484.2613636358</v>
      </c>
      <c r="K32" s="14">
        <f>SUM(K5:K31)</f>
        <v>1339357.6953334464</v>
      </c>
      <c r="L32" s="14">
        <f>SUM(L5:L31)</f>
        <v>-353126.56603018951</v>
      </c>
      <c r="M32" s="15">
        <f>IFERROR(L32/J32,0)</f>
        <v>-0.20864392898145781</v>
      </c>
      <c r="N32" s="43"/>
      <c r="O32" s="43"/>
    </row>
  </sheetData>
  <autoFilter ref="A4:O30" xr:uid="{00000000-0009-0000-0000-000009000000}"/>
  <conditionalFormatting sqref="L5:M30">
    <cfRule type="cellIs" dxfId="1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 x14ac:dyDescent="0.2"/>
  <cols>
    <col min="1" max="1" width="5" customWidth="1"/>
    <col min="2" max="2" width="12" customWidth="1"/>
    <col min="3" max="3" width="14" customWidth="1"/>
    <col min="4" max="4" width="10" customWidth="1"/>
    <col min="5" max="5" width="20" customWidth="1"/>
    <col min="6" max="6" width="10" customWidth="1"/>
    <col min="7" max="7" width="14" customWidth="1"/>
    <col min="8" max="10" width="16" customWidth="1"/>
    <col min="11" max="11" width="10" customWidth="1"/>
  </cols>
  <sheetData>
    <row r="2" spans="1:11" ht="30" customHeight="1" x14ac:dyDescent="0.2">
      <c r="A2" s="49" t="s">
        <v>276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4" spans="1:11" ht="36" customHeight="1" x14ac:dyDescent="0.2">
      <c r="A4" s="8" t="s">
        <v>242</v>
      </c>
      <c r="B4" s="8" t="s">
        <v>271</v>
      </c>
      <c r="C4" s="8" t="s">
        <v>272</v>
      </c>
      <c r="D4" s="8" t="s">
        <v>263</v>
      </c>
      <c r="E4" s="8" t="s">
        <v>273</v>
      </c>
      <c r="F4" s="8" t="s">
        <v>259</v>
      </c>
      <c r="G4" s="8" t="s">
        <v>274</v>
      </c>
      <c r="H4" s="8" t="s">
        <v>252</v>
      </c>
      <c r="I4" s="8" t="s">
        <v>253</v>
      </c>
      <c r="J4" s="8" t="s">
        <v>254</v>
      </c>
      <c r="K4" s="8" t="s">
        <v>115</v>
      </c>
    </row>
    <row r="5" spans="1:11" ht="15" customHeight="1" x14ac:dyDescent="0.2">
      <c r="A5" s="35">
        <v>1</v>
      </c>
      <c r="B5" s="35" t="s">
        <v>237</v>
      </c>
      <c r="C5" s="35" t="s">
        <v>222</v>
      </c>
      <c r="D5" s="34" t="s">
        <v>193</v>
      </c>
      <c r="E5" s="18" t="str">
        <f>IFERROR(INDEX(Reference!$F:$F,MATCH("Crypto|"&amp;C5&amp;"|"&amp;B5,Reference!$A:$A,0)),"")</f>
        <v>Major Crypto</v>
      </c>
      <c r="F5" s="44">
        <f>COUNTIFS('Crypto - Lots'!$B:$B,B5,'Crypto - Lots'!$C:$C,C5)</f>
        <v>1</v>
      </c>
      <c r="G5" s="41">
        <f>SUMIFS('Crypto - Lots'!$F:$F,'Crypto - Lots'!$B:$B,B5,'Crypto - Lots'!$C:$C,C5)</f>
        <v>9.3576300000000005E-3</v>
      </c>
      <c r="H5" s="10">
        <f>SUMIFS('Crypto - Lots'!$J:$J,'Crypto - Lots'!$B:$B,B5,'Crypto - Lots'!$C:$C,C5)</f>
        <v>0</v>
      </c>
      <c r="I5" s="10">
        <f>SUMIFS('Crypto - Lots'!$K:$K,'Crypto - Lots'!$B:$B,B5,'Crypto - Lots'!$C:$C,C5)</f>
        <v>22410.803967524102</v>
      </c>
      <c r="J5" s="12">
        <f t="shared" ref="J5:J29" si="0">I5-H5</f>
        <v>22410.803967524102</v>
      </c>
      <c r="K5" s="11">
        <f t="shared" ref="K5:K30" si="1">IFERROR(J5/H5,0)</f>
        <v>0</v>
      </c>
    </row>
    <row r="6" spans="1:11" ht="15" customHeight="1" x14ac:dyDescent="0.2">
      <c r="A6" s="35">
        <v>2</v>
      </c>
      <c r="B6" s="35" t="s">
        <v>237</v>
      </c>
      <c r="C6" s="35" t="s">
        <v>240</v>
      </c>
      <c r="D6" s="34" t="s">
        <v>193</v>
      </c>
      <c r="E6" s="18" t="str">
        <f>IFERROR(INDEX(Reference!$F:$F,MATCH("Crypto|"&amp;C6&amp;"|"&amp;B6,Reference!$A:$A,0)),"")</f>
        <v>Altcoin</v>
      </c>
      <c r="F6" s="44">
        <f>COUNTIFS('Crypto - Lots'!$B:$B,B6,'Crypto - Lots'!$C:$C,C6)</f>
        <v>1</v>
      </c>
      <c r="G6" s="41">
        <f>SUMIFS('Crypto - Lots'!$F:$F,'Crypto - Lots'!$B:$B,B6,'Crypto - Lots'!$C:$C,C6)</f>
        <v>3.37992961</v>
      </c>
      <c r="H6" s="10">
        <f>SUMIFS('Crypto - Lots'!$J:$J,'Crypto - Lots'!$B:$B,B6,'Crypto - Lots'!$C:$C,C6)</f>
        <v>0</v>
      </c>
      <c r="I6" s="10">
        <f>SUMIFS('Crypto - Lots'!$K:$K,'Crypto - Lots'!$B:$B,B6,'Crypto - Lots'!$C:$C,C6)</f>
        <v>9061.5510632476417</v>
      </c>
      <c r="J6" s="12">
        <f t="shared" si="0"/>
        <v>9061.5510632476417</v>
      </c>
      <c r="K6" s="11">
        <f t="shared" si="1"/>
        <v>0</v>
      </c>
    </row>
    <row r="7" spans="1:11" ht="15" customHeight="1" x14ac:dyDescent="0.2">
      <c r="A7" s="35">
        <v>3</v>
      </c>
      <c r="B7" s="35" t="s">
        <v>237</v>
      </c>
      <c r="C7" s="35" t="s">
        <v>223</v>
      </c>
      <c r="D7" s="34" t="s">
        <v>193</v>
      </c>
      <c r="E7" s="18" t="str">
        <f>IFERROR(INDEX(Reference!$F:$F,MATCH("Crypto|"&amp;C7&amp;"|"&amp;B7,Reference!$A:$A,0)),"")</f>
        <v>Altcoin</v>
      </c>
      <c r="F7" s="44">
        <f>COUNTIFS('Crypto - Lots'!$B:$B,B7,'Crypto - Lots'!$C:$C,C7)</f>
        <v>1</v>
      </c>
      <c r="G7" s="41">
        <f>SUMIFS('Crypto - Lots'!$F:$F,'Crypto - Lots'!$B:$B,B7,'Crypto - Lots'!$C:$C,C7)</f>
        <v>7121.9192425600004</v>
      </c>
      <c r="H7" s="10">
        <f>SUMIFS('Crypto - Lots'!$J:$J,'Crypto - Lots'!$B:$B,B7,'Crypto - Lots'!$C:$C,C7)</f>
        <v>0</v>
      </c>
      <c r="I7" s="10">
        <f>SUMIFS('Crypto - Lots'!$K:$K,'Crypto - Lots'!$B:$B,B7,'Crypto - Lots'!$C:$C,C7)</f>
        <v>1847.248800607694</v>
      </c>
      <c r="J7" s="12">
        <f t="shared" si="0"/>
        <v>1847.248800607694</v>
      </c>
      <c r="K7" s="11">
        <f t="shared" si="1"/>
        <v>0</v>
      </c>
    </row>
    <row r="8" spans="1:11" ht="15" customHeight="1" x14ac:dyDescent="0.2">
      <c r="A8" s="35">
        <v>4</v>
      </c>
      <c r="B8" s="35" t="s">
        <v>237</v>
      </c>
      <c r="C8" s="35" t="s">
        <v>238</v>
      </c>
      <c r="D8" s="34" t="s">
        <v>193</v>
      </c>
      <c r="E8" s="18" t="str">
        <f>IFERROR(INDEX(Reference!$F:$F,MATCH("Crypto|"&amp;C8&amp;"|"&amp;B8,Reference!$A:$A,0)),"")</f>
        <v>Altcoin</v>
      </c>
      <c r="F8" s="44">
        <f>COUNTIFS('Crypto - Lots'!$B:$B,B8,'Crypto - Lots'!$C:$C,C8)</f>
        <v>1</v>
      </c>
      <c r="G8" s="41">
        <f>SUMIFS('Crypto - Lots'!$F:$F,'Crypto - Lots'!$B:$B,B8,'Crypto - Lots'!$C:$C,C8)</f>
        <v>0.16259572999999999</v>
      </c>
      <c r="H8" s="10">
        <f>SUMIFS('Crypto - Lots'!$J:$J,'Crypto - Lots'!$B:$B,B8,'Crypto - Lots'!$C:$C,C8)</f>
        <v>0</v>
      </c>
      <c r="I8" s="10">
        <f>SUMIFS('Crypto - Lots'!$K:$K,'Crypto - Lots'!$B:$B,B8,'Crypto - Lots'!$C:$C,C8)</f>
        <v>97.233742420716013</v>
      </c>
      <c r="J8" s="12">
        <f t="shared" si="0"/>
        <v>97.233742420716013</v>
      </c>
      <c r="K8" s="11">
        <f t="shared" si="1"/>
        <v>0</v>
      </c>
    </row>
    <row r="9" spans="1:11" ht="15" customHeight="1" x14ac:dyDescent="0.2">
      <c r="A9" s="35">
        <v>5</v>
      </c>
      <c r="B9" s="35" t="s">
        <v>237</v>
      </c>
      <c r="C9" s="35" t="s">
        <v>239</v>
      </c>
      <c r="D9" s="34" t="s">
        <v>193</v>
      </c>
      <c r="E9" s="18" t="str">
        <f>IFERROR(INDEX(Reference!$F:$F,MATCH("Crypto|"&amp;C9&amp;"|"&amp;B9,Reference!$A:$A,0)),"")</f>
        <v>Altcoin</v>
      </c>
      <c r="F9" s="44">
        <f>COUNTIFS('Crypto - Lots'!$B:$B,B9,'Crypto - Lots'!$C:$C,C9)</f>
        <v>1</v>
      </c>
      <c r="G9" s="41">
        <f>SUMIFS('Crypto - Lots'!$F:$F,'Crypto - Lots'!$B:$B,B9,'Crypto - Lots'!$C:$C,C9)</f>
        <v>2.9943408699999998</v>
      </c>
      <c r="H9" s="10">
        <f>SUMIFS('Crypto - Lots'!$J:$J,'Crypto - Lots'!$B:$B,B9,'Crypto - Lots'!$C:$C,C9)</f>
        <v>0</v>
      </c>
      <c r="I9" s="10">
        <f>SUMIFS('Crypto - Lots'!$K:$K,'Crypto - Lots'!$B:$B,B9,'Crypto - Lots'!$C:$C,C9)</f>
        <v>7.0402193950222503E-4</v>
      </c>
      <c r="J9" s="12">
        <f t="shared" si="0"/>
        <v>7.0402193950222503E-4</v>
      </c>
      <c r="K9" s="11">
        <f t="shared" si="1"/>
        <v>0</v>
      </c>
    </row>
    <row r="10" spans="1:11" ht="15" customHeight="1" x14ac:dyDescent="0.2">
      <c r="A10" s="35">
        <v>6</v>
      </c>
      <c r="B10" s="35" t="s">
        <v>237</v>
      </c>
      <c r="C10" s="35" t="s">
        <v>225</v>
      </c>
      <c r="D10" s="34" t="s">
        <v>193</v>
      </c>
      <c r="E10" s="18" t="str">
        <f>IFERROR(INDEX(Reference!$F:$F,MATCH("Crypto|"&amp;C10&amp;"|"&amp;B10,Reference!$A:$A,0)),"")</f>
        <v>Major Crypto</v>
      </c>
      <c r="F10" s="44">
        <f>COUNTIFS('Crypto - Lots'!$B:$B,B10,'Crypto - Lots'!$C:$C,C10)</f>
        <v>1</v>
      </c>
      <c r="G10" s="41">
        <f>SUMIFS('Crypto - Lots'!$F:$F,'Crypto - Lots'!$B:$B,B10,'Crypto - Lots'!$C:$C,C10)</f>
        <v>3.6199999999999999E-5</v>
      </c>
      <c r="H10" s="10">
        <f>SUMIFS('Crypto - Lots'!$J:$J,'Crypto - Lots'!$B:$B,B10,'Crypto - Lots'!$C:$C,C10)</f>
        <v>0</v>
      </c>
      <c r="I10" s="10">
        <f>SUMIFS('Crypto - Lots'!$K:$K,'Crypto - Lots'!$B:$B,B10,'Crypto - Lots'!$C:$C,C10)</f>
        <v>9.6946112279999996E-2</v>
      </c>
      <c r="J10" s="12">
        <f t="shared" si="0"/>
        <v>9.6946112279999996E-2</v>
      </c>
      <c r="K10" s="11">
        <f t="shared" si="1"/>
        <v>0</v>
      </c>
    </row>
    <row r="11" spans="1:11" ht="15" customHeight="1" x14ac:dyDescent="0.2">
      <c r="A11" s="35">
        <v>7</v>
      </c>
      <c r="B11" s="35" t="s">
        <v>237</v>
      </c>
      <c r="C11" s="35" t="s">
        <v>227</v>
      </c>
      <c r="D11" s="34" t="s">
        <v>193</v>
      </c>
      <c r="E11" s="18" t="str">
        <f>IFERROR(INDEX(Reference!$F:$F,MATCH("Crypto|"&amp;C11&amp;"|"&amp;B11,Reference!$A:$A,0)),"")</f>
        <v>Stablecoin</v>
      </c>
      <c r="F11" s="44">
        <f>COUNTIFS('Crypto - Lots'!$B:$B,B11,'Crypto - Lots'!$C:$C,C11)</f>
        <v>1</v>
      </c>
      <c r="G11" s="41">
        <f>SUMIFS('Crypto - Lots'!$F:$F,'Crypto - Lots'!$B:$B,B11,'Crypto - Lots'!$C:$C,C11)</f>
        <v>9.077E-4</v>
      </c>
      <c r="H11" s="10">
        <f>SUMIFS('Crypto - Lots'!$J:$J,'Crypto - Lots'!$B:$B,B11,'Crypto - Lots'!$C:$C,C11)</f>
        <v>0</v>
      </c>
      <c r="I11" s="10">
        <f>SUMIFS('Crypto - Lots'!$K:$K,'Crypto - Lots'!$B:$B,B11,'Crypto - Lots'!$C:$C,C11)</f>
        <v>2.9436711000000001E-2</v>
      </c>
      <c r="J11" s="12">
        <f t="shared" si="0"/>
        <v>2.9436711000000001E-2</v>
      </c>
      <c r="K11" s="11">
        <f t="shared" si="1"/>
        <v>0</v>
      </c>
    </row>
    <row r="12" spans="1:11" ht="15" customHeight="1" x14ac:dyDescent="0.2">
      <c r="A12" s="35">
        <v>8</v>
      </c>
      <c r="B12" s="35" t="s">
        <v>220</v>
      </c>
      <c r="C12" s="35" t="s">
        <v>222</v>
      </c>
      <c r="D12" s="34" t="s">
        <v>193</v>
      </c>
      <c r="E12" s="18" t="str">
        <f>IFERROR(INDEX(Reference!$F:$F,MATCH("Crypto|"&amp;C12&amp;"|"&amp;B12,Reference!$A:$A,0)),"")</f>
        <v>Major Crypto</v>
      </c>
      <c r="F12" s="44">
        <f>COUNTIFS('Crypto - Lots'!$B:$B,B12,'Crypto - Lots'!$C:$C,C12)</f>
        <v>1</v>
      </c>
      <c r="G12" s="41">
        <f>SUMIFS('Crypto - Lots'!$F:$F,'Crypto - Lots'!$B:$B,B12,'Crypto - Lots'!$C:$C,C12)</f>
        <v>3.7802160000000001E-2</v>
      </c>
      <c r="H12" s="10">
        <f>SUMIFS('Crypto - Lots'!$J:$J,'Crypto - Lots'!$B:$B,B12,'Crypto - Lots'!$C:$C,C12)</f>
        <v>130560.91119720001</v>
      </c>
      <c r="I12" s="10">
        <f>SUMIFS('Crypto - Lots'!$K:$K,'Crypto - Lots'!$B:$B,B12,'Crypto - Lots'!$C:$C,C12)</f>
        <v>90533.265079831195</v>
      </c>
      <c r="J12" s="12">
        <f t="shared" si="0"/>
        <v>-40027.646117368815</v>
      </c>
      <c r="K12" s="11">
        <f t="shared" si="1"/>
        <v>-0.30658215962441321</v>
      </c>
    </row>
    <row r="13" spans="1:11" ht="15" customHeight="1" x14ac:dyDescent="0.2">
      <c r="A13" s="35">
        <v>9</v>
      </c>
      <c r="B13" s="35" t="s">
        <v>220</v>
      </c>
      <c r="C13" s="35" t="s">
        <v>219</v>
      </c>
      <c r="D13" s="34" t="s">
        <v>193</v>
      </c>
      <c r="E13" s="18" t="str">
        <f>IFERROR(INDEX(Reference!$F:$F,MATCH("Crypto|"&amp;C13&amp;"|"&amp;B13,Reference!$A:$A,0)),"")</f>
        <v>Altcoin</v>
      </c>
      <c r="F13" s="44">
        <f>COUNTIFS('Crypto - Lots'!$B:$B,B13,'Crypto - Lots'!$C:$C,C13)</f>
        <v>1</v>
      </c>
      <c r="G13" s="41">
        <f>SUMIFS('Crypto - Lots'!$F:$F,'Crypto - Lots'!$B:$B,B13,'Crypto - Lots'!$C:$C,C13)</f>
        <v>2.78721</v>
      </c>
      <c r="H13" s="10">
        <f>SUMIFS('Crypto - Lots'!$J:$J,'Crypto - Lots'!$B:$B,B13,'Crypto - Lots'!$C:$C,C13)</f>
        <v>32396.968055870791</v>
      </c>
      <c r="I13" s="10">
        <f>SUMIFS('Crypto - Lots'!$K:$K,'Crypto - Lots'!$B:$B,B13,'Crypto - Lots'!$C:$C,C13)</f>
        <v>7469.7651655919999</v>
      </c>
      <c r="J13" s="12">
        <f t="shared" si="0"/>
        <v>-24927.202890278793</v>
      </c>
      <c r="K13" s="11">
        <f t="shared" si="1"/>
        <v>-0.76943011603092371</v>
      </c>
    </row>
    <row r="14" spans="1:11" ht="15" customHeight="1" x14ac:dyDescent="0.2">
      <c r="A14" s="35">
        <v>10</v>
      </c>
      <c r="B14" s="35" t="s">
        <v>220</v>
      </c>
      <c r="C14" s="35" t="s">
        <v>226</v>
      </c>
      <c r="D14" s="34" t="s">
        <v>193</v>
      </c>
      <c r="E14" s="18" t="str">
        <f>IFERROR(INDEX(Reference!$F:$F,MATCH("Crypto|"&amp;C14&amp;"|"&amp;B14,Reference!$A:$A,0)),"")</f>
        <v>Altcoin</v>
      </c>
      <c r="F14" s="44">
        <f>COUNTIFS('Crypto - Lots'!$B:$B,B14,'Crypto - Lots'!$C:$C,C14)</f>
        <v>1</v>
      </c>
      <c r="G14" s="41">
        <f>SUMIFS('Crypto - Lots'!$F:$F,'Crypto - Lots'!$B:$B,B14,'Crypto - Lots'!$C:$C,C14)</f>
        <v>37.830131999999999</v>
      </c>
      <c r="H14" s="10">
        <f>SUMIFS('Crypto - Lots'!$J:$J,'Crypto - Lots'!$B:$B,B14,'Crypto - Lots'!$C:$C,C14)</f>
        <v>80983.126241967606</v>
      </c>
      <c r="I14" s="10">
        <f>SUMIFS('Crypto - Lots'!$K:$K,'Crypto - Lots'!$B:$B,B14,'Crypto - Lots'!$C:$C,C14)</f>
        <v>2465.9306733275998</v>
      </c>
      <c r="J14" s="12">
        <f t="shared" si="0"/>
        <v>-78517.195568640003</v>
      </c>
      <c r="K14" s="11">
        <f t="shared" si="1"/>
        <v>-0.96955006817148914</v>
      </c>
    </row>
    <row r="15" spans="1:11" ht="15" customHeight="1" x14ac:dyDescent="0.2">
      <c r="A15" s="35">
        <v>11</v>
      </c>
      <c r="B15" s="35" t="s">
        <v>220</v>
      </c>
      <c r="C15" s="35" t="s">
        <v>224</v>
      </c>
      <c r="D15" s="34" t="s">
        <v>193</v>
      </c>
      <c r="E15" s="18" t="str">
        <f>IFERROR(INDEX(Reference!$F:$F,MATCH("Crypto|"&amp;C15&amp;"|"&amp;B15,Reference!$A:$A,0)),"")</f>
        <v>Altcoin</v>
      </c>
      <c r="F15" s="44">
        <f>COUNTIFS('Crypto - Lots'!$B:$B,B15,'Crypto - Lots'!$C:$C,C15)</f>
        <v>1</v>
      </c>
      <c r="G15" s="41">
        <f>SUMIFS('Crypto - Lots'!$F:$F,'Crypto - Lots'!$B:$B,B15,'Crypto - Lots'!$C:$C,C15)</f>
        <v>7253.8416549399999</v>
      </c>
      <c r="H15" s="10">
        <f>SUMIFS('Crypto - Lots'!$J:$J,'Crypto - Lots'!$B:$B,B15,'Crypto - Lots'!$C:$C,C15)</f>
        <v>20985.530012736093</v>
      </c>
      <c r="I15" s="10">
        <f>SUMIFS('Crypto - Lots'!$K:$K,'Crypto - Lots'!$B:$B,B15,'Crypto - Lots'!$C:$C,C15)</f>
        <v>3033.2114423099656</v>
      </c>
      <c r="J15" s="12">
        <f t="shared" si="0"/>
        <v>-17952.318570426127</v>
      </c>
      <c r="K15" s="11">
        <f t="shared" si="1"/>
        <v>-0.85546176625183568</v>
      </c>
    </row>
    <row r="16" spans="1:11" ht="15" customHeight="1" x14ac:dyDescent="0.2">
      <c r="A16" s="35">
        <v>12</v>
      </c>
      <c r="B16" s="35" t="s">
        <v>220</v>
      </c>
      <c r="C16" s="35" t="s">
        <v>225</v>
      </c>
      <c r="D16" s="34" t="s">
        <v>193</v>
      </c>
      <c r="E16" s="18" t="str">
        <f>IFERROR(INDEX(Reference!$F:$F,MATCH("Crypto|"&amp;C16&amp;"|"&amp;B16,Reference!$A:$A,0)),"")</f>
        <v>Major Crypto</v>
      </c>
      <c r="F16" s="44">
        <f>COUNTIFS('Crypto - Lots'!$B:$B,B16,'Crypto - Lots'!$C:$C,C16)</f>
        <v>2</v>
      </c>
      <c r="G16" s="41">
        <f>SUMIFS('Crypto - Lots'!$F:$F,'Crypto - Lots'!$B:$B,B16,'Crypto - Lots'!$C:$C,C16)</f>
        <v>4.5335991299999998</v>
      </c>
      <c r="H16" s="10">
        <f>SUMIFS('Crypto - Lots'!$J:$J,'Crypto - Lots'!$B:$B,B16,'Crypto - Lots'!$C:$C,C16)</f>
        <v>0</v>
      </c>
      <c r="I16" s="10">
        <f>SUMIFS('Crypto - Lots'!$K:$K,'Crypto - Lots'!$B:$B,B16,'Crypto - Lots'!$C:$C,C16)</f>
        <v>12141.29310191962</v>
      </c>
      <c r="J16" s="12">
        <f t="shared" si="0"/>
        <v>12141.29310191962</v>
      </c>
      <c r="K16" s="11">
        <f t="shared" si="1"/>
        <v>0</v>
      </c>
    </row>
    <row r="17" spans="1:11" ht="15" customHeight="1" x14ac:dyDescent="0.2">
      <c r="A17" s="35">
        <v>13</v>
      </c>
      <c r="B17" s="35" t="s">
        <v>220</v>
      </c>
      <c r="C17" s="35" t="s">
        <v>227</v>
      </c>
      <c r="D17" s="34" t="s">
        <v>193</v>
      </c>
      <c r="E17" s="18" t="str">
        <f>IFERROR(INDEX(Reference!$F:$F,MATCH("Crypto|"&amp;C17&amp;"|"&amp;B17,Reference!$A:$A,0)),"")</f>
        <v>Stablecoin</v>
      </c>
      <c r="F17" s="44">
        <f>COUNTIFS('Crypto - Lots'!$B:$B,B17,'Crypto - Lots'!$C:$C,C17)</f>
        <v>1</v>
      </c>
      <c r="G17" s="41">
        <f>SUMIFS('Crypto - Lots'!$F:$F,'Crypto - Lots'!$B:$B,B17,'Crypto - Lots'!$C:$C,C17)</f>
        <v>2079.9275312300001</v>
      </c>
      <c r="H17" s="10">
        <f>SUMIFS('Crypto - Lots'!$J:$J,'Crypto - Lots'!$B:$B,B17,'Crypto - Lots'!$C:$C,C17)</f>
        <v>0</v>
      </c>
      <c r="I17" s="10">
        <f>SUMIFS('Crypto - Lots'!$K:$K,'Crypto - Lots'!$B:$B,B17,'Crypto - Lots'!$C:$C,C17)</f>
        <v>67452.049837788902</v>
      </c>
      <c r="J17" s="12">
        <f t="shared" si="0"/>
        <v>67452.049837788902</v>
      </c>
      <c r="K17" s="11">
        <f t="shared" si="1"/>
        <v>0</v>
      </c>
    </row>
    <row r="18" spans="1:11" ht="15" customHeight="1" x14ac:dyDescent="0.2">
      <c r="A18" s="35">
        <v>14</v>
      </c>
      <c r="B18" s="35" t="s">
        <v>220</v>
      </c>
      <c r="C18" s="35" t="s">
        <v>221</v>
      </c>
      <c r="D18" s="34" t="s">
        <v>193</v>
      </c>
      <c r="E18" s="18" t="str">
        <f>IFERROR(INDEX(Reference!$F:$F,MATCH("Crypto|"&amp;C18&amp;"|"&amp;B18,Reference!$A:$A,0)),"")</f>
        <v>Major Crypto</v>
      </c>
      <c r="F18" s="44">
        <f>COUNTIFS('Crypto - Lots'!$B:$B,B18,'Crypto - Lots'!$C:$C,C18)</f>
        <v>1</v>
      </c>
      <c r="G18" s="41">
        <f>SUMIFS('Crypto - Lots'!$F:$F,'Crypto - Lots'!$B:$B,B18,'Crypto - Lots'!$C:$C,C18)</f>
        <v>1.4796567300000001</v>
      </c>
      <c r="H18" s="10">
        <f>SUMIFS('Crypto - Lots'!$J:$J,'Crypto - Lots'!$B:$B,B18,'Crypto - Lots'!$C:$C,C18)</f>
        <v>0</v>
      </c>
      <c r="I18" s="10">
        <f>SUMIFS('Crypto - Lots'!$K:$K,'Crypto - Lots'!$B:$B,B18,'Crypto - Lots'!$C:$C,C18)</f>
        <v>34680.392563776149</v>
      </c>
      <c r="J18" s="12">
        <f t="shared" si="0"/>
        <v>34680.392563776149</v>
      </c>
      <c r="K18" s="11">
        <f t="shared" si="1"/>
        <v>0</v>
      </c>
    </row>
    <row r="19" spans="1:11" ht="15" customHeight="1" x14ac:dyDescent="0.2">
      <c r="A19" s="35">
        <v>15</v>
      </c>
      <c r="B19" s="35" t="s">
        <v>220</v>
      </c>
      <c r="C19" s="35" t="s">
        <v>223</v>
      </c>
      <c r="D19" s="34" t="s">
        <v>193</v>
      </c>
      <c r="E19" s="18" t="str">
        <f>IFERROR(INDEX(Reference!$F:$F,MATCH("Crypto|"&amp;C19&amp;"|"&amp;B19,Reference!$A:$A,0)),"")</f>
        <v>Altcoin</v>
      </c>
      <c r="F19" s="44">
        <f>COUNTIFS('Crypto - Lots'!$B:$B,B19,'Crypto - Lots'!$C:$C,C19)</f>
        <v>1</v>
      </c>
      <c r="G19" s="41">
        <f>SUMIFS('Crypto - Lots'!$F:$F,'Crypto - Lots'!$B:$B,B19,'Crypto - Lots'!$C:$C,C19)</f>
        <v>66699.178773160005</v>
      </c>
      <c r="H19" s="10">
        <f>SUMIFS('Crypto - Lots'!$J:$J,'Crypto - Lots'!$B:$B,B19,'Crypto - Lots'!$C:$C,C19)</f>
        <v>64891.63102840737</v>
      </c>
      <c r="I19" s="10">
        <f>SUMIFS('Crypto - Lots'!$K:$K,'Crypto - Lots'!$B:$B,B19,'Crypto - Lots'!$C:$C,C19)</f>
        <v>17300.108832173402</v>
      </c>
      <c r="J19" s="12">
        <f t="shared" si="0"/>
        <v>-47591.522196233971</v>
      </c>
      <c r="K19" s="11">
        <f t="shared" si="1"/>
        <v>-0.73340000000000005</v>
      </c>
    </row>
    <row r="20" spans="1:11" ht="15" customHeight="1" x14ac:dyDescent="0.2">
      <c r="A20" s="35">
        <v>16</v>
      </c>
      <c r="B20" s="35" t="s">
        <v>220</v>
      </c>
      <c r="C20" s="35" t="s">
        <v>228</v>
      </c>
      <c r="D20" s="34" t="s">
        <v>193</v>
      </c>
      <c r="E20" s="18" t="str">
        <f>IFERROR(INDEX(Reference!$F:$F,MATCH("Crypto|"&amp;C20&amp;"|"&amp;B20,Reference!$A:$A,0)),"")</f>
        <v>Altcoin</v>
      </c>
      <c r="F20" s="44">
        <f>COUNTIFS('Crypto - Lots'!$B:$B,B20,'Crypto - Lots'!$C:$C,C20)</f>
        <v>1</v>
      </c>
      <c r="G20" s="41">
        <f>SUMIFS('Crypto - Lots'!$F:$F,'Crypto - Lots'!$B:$B,B20,'Crypto - Lots'!$C:$C,C20)</f>
        <v>7965.8287635500001</v>
      </c>
      <c r="H20" s="10">
        <f>SUMIFS('Crypto - Lots'!$J:$J,'Crypto - Lots'!$B:$B,B20,'Crypto - Lots'!$C:$C,C20)</f>
        <v>57662.373384721323</v>
      </c>
      <c r="I20" s="10">
        <f>SUMIFS('Crypto - Lots'!$K:$K,'Crypto - Lots'!$B:$B,B20,'Crypto - Lots'!$C:$C,C20)</f>
        <v>4091.2011410621103</v>
      </c>
      <c r="J20" s="12">
        <f t="shared" si="0"/>
        <v>-53571.17224365921</v>
      </c>
      <c r="K20" s="11">
        <f t="shared" si="1"/>
        <v>-0.92904903317513898</v>
      </c>
    </row>
    <row r="21" spans="1:11" ht="15" customHeight="1" x14ac:dyDescent="0.2">
      <c r="A21" s="35">
        <v>17</v>
      </c>
      <c r="B21" s="35" t="s">
        <v>233</v>
      </c>
      <c r="C21" s="35" t="s">
        <v>222</v>
      </c>
      <c r="D21" s="34" t="s">
        <v>9</v>
      </c>
      <c r="E21" s="18" t="str">
        <f>IFERROR(INDEX(Reference!$F:$F,MATCH("Crypto|"&amp;C21&amp;"|"&amp;B21,Reference!$A:$A,0)),"")</f>
        <v>Major Crypto</v>
      </c>
      <c r="F21" s="44">
        <f>COUNTIFS('Crypto - Lots'!$B:$B,B21,'Crypto - Lots'!$C:$C,C21)</f>
        <v>2</v>
      </c>
      <c r="G21" s="41">
        <f>SUMIFS('Crypto - Lots'!$F:$F,'Crypto - Lots'!$B:$B,B21,'Crypto - Lots'!$C:$C,C21)</f>
        <v>0.22850147000000001</v>
      </c>
      <c r="H21" s="10">
        <f>SUMIFS('Crypto - Lots'!$J:$J,'Crypto - Lots'!$B:$B,B21,'Crypto - Lots'!$C:$C,C21)</f>
        <v>400098.31090316491</v>
      </c>
      <c r="I21" s="10">
        <f>SUMIFS('Crypto - Lots'!$K:$K,'Crypto - Lots'!$B:$B,B21,'Crypto - Lots'!$C:$C,C21)</f>
        <v>547243.44203191285</v>
      </c>
      <c r="J21" s="12">
        <f t="shared" si="0"/>
        <v>147145.13112874795</v>
      </c>
      <c r="K21" s="11">
        <f t="shared" si="1"/>
        <v>0.36777243772059121</v>
      </c>
    </row>
    <row r="22" spans="1:11" ht="15" customHeight="1" x14ac:dyDescent="0.2">
      <c r="A22" s="35">
        <v>18</v>
      </c>
      <c r="B22" s="35" t="s">
        <v>233</v>
      </c>
      <c r="C22" s="35" t="s">
        <v>221</v>
      </c>
      <c r="D22" s="34" t="s">
        <v>9</v>
      </c>
      <c r="E22" s="18" t="str">
        <f>IFERROR(INDEX(Reference!$F:$F,MATCH("Crypto|"&amp;C22&amp;"|"&amp;B22,Reference!$A:$A,0)),"")</f>
        <v>Major Crypto</v>
      </c>
      <c r="F22" s="44">
        <f>COUNTIFS('Crypto - Lots'!$B:$B,B22,'Crypto - Lots'!$C:$C,C22)</f>
        <v>1</v>
      </c>
      <c r="G22" s="41">
        <f>SUMIFS('Crypto - Lots'!$F:$F,'Crypto - Lots'!$B:$B,B22,'Crypto - Lots'!$C:$C,C22)</f>
        <v>11.40962468</v>
      </c>
      <c r="H22" s="10">
        <f>SUMIFS('Crypto - Lots'!$J:$J,'Crypto - Lots'!$B:$B,B22,'Crypto - Lots'!$C:$C,C22)</f>
        <v>199998.74053448602</v>
      </c>
      <c r="I22" s="10">
        <f>SUMIFS('Crypto - Lots'!$K:$K,'Crypto - Lots'!$B:$B,B22,'Crypto - Lots'!$C:$C,C22)</f>
        <v>267420.31099858467</v>
      </c>
      <c r="J22" s="12">
        <f t="shared" si="0"/>
        <v>67421.570464098651</v>
      </c>
      <c r="K22" s="11">
        <f t="shared" si="1"/>
        <v>0.33710997521243424</v>
      </c>
    </row>
    <row r="23" spans="1:11" ht="15" customHeight="1" x14ac:dyDescent="0.2">
      <c r="A23" s="35">
        <v>19</v>
      </c>
      <c r="B23" s="35" t="s">
        <v>233</v>
      </c>
      <c r="C23" s="35" t="s">
        <v>234</v>
      </c>
      <c r="D23" s="34" t="s">
        <v>9</v>
      </c>
      <c r="E23" s="18" t="str">
        <f>IFERROR(INDEX(Reference!$F:$F,MATCH("Crypto|"&amp;C23&amp;"|"&amp;B23,Reference!$A:$A,0)),"")</f>
        <v>Altcoin</v>
      </c>
      <c r="F23" s="44">
        <f>COUNTIFS('Crypto - Lots'!$B:$B,B23,'Crypto - Lots'!$C:$C,C23)</f>
        <v>1</v>
      </c>
      <c r="G23" s="41">
        <f>SUMIFS('Crypto - Lots'!$F:$F,'Crypto - Lots'!$B:$B,B23,'Crypto - Lots'!$C:$C,C23)</f>
        <v>831.25</v>
      </c>
      <c r="H23" s="10">
        <f>SUMIFS('Crypto - Lots'!$J:$J,'Crypto - Lots'!$B:$B,B23,'Crypto - Lots'!$C:$C,C23)</f>
        <v>9999.9375</v>
      </c>
      <c r="I23" s="10">
        <f>SUMIFS('Crypto - Lots'!$K:$K,'Crypto - Lots'!$B:$B,B23,'Crypto - Lots'!$C:$C,C23)</f>
        <v>2712.5923562500002</v>
      </c>
      <c r="J23" s="12">
        <f t="shared" si="0"/>
        <v>-7287.3451437499998</v>
      </c>
      <c r="K23" s="11">
        <f t="shared" si="1"/>
        <v>-0.72873906899418117</v>
      </c>
    </row>
    <row r="24" spans="1:11" ht="15" customHeight="1" x14ac:dyDescent="0.2">
      <c r="A24" s="35">
        <v>20</v>
      </c>
      <c r="B24" s="35" t="s">
        <v>233</v>
      </c>
      <c r="C24" s="35" t="s">
        <v>235</v>
      </c>
      <c r="D24" s="34" t="s">
        <v>9</v>
      </c>
      <c r="E24" s="18" t="str">
        <f>IFERROR(INDEX(Reference!$F:$F,MATCH("Crypto|"&amp;C24&amp;"|"&amp;B24,Reference!$A:$A,0)),"")</f>
        <v>Major Crypto</v>
      </c>
      <c r="F24" s="44">
        <f>COUNTIFS('Crypto - Lots'!$B:$B,B24,'Crypto - Lots'!$C:$C,C24)</f>
        <v>1</v>
      </c>
      <c r="G24" s="41">
        <f>SUMIFS('Crypto - Lots'!$F:$F,'Crypto - Lots'!$B:$B,B24,'Crypto - Lots'!$C:$C,C24)</f>
        <v>2.7175757599999999</v>
      </c>
      <c r="H24" s="10">
        <f>SUMIFS('Crypto - Lots'!$J:$J,'Crypto - Lots'!$B:$B,B24,'Crypto - Lots'!$C:$C,C24)</f>
        <v>299998.13413428323</v>
      </c>
      <c r="I24" s="10">
        <f>SUMIFS('Crypto - Lots'!$K:$K,'Crypto - Lots'!$B:$B,B24,'Crypto - Lots'!$C:$C,C24)</f>
        <v>178050.14141628606</v>
      </c>
      <c r="J24" s="12">
        <f t="shared" si="0"/>
        <v>-121947.99271799717</v>
      </c>
      <c r="K24" s="11">
        <f t="shared" si="1"/>
        <v>-0.40649583728214655</v>
      </c>
    </row>
    <row r="25" spans="1:11" ht="15" customHeight="1" x14ac:dyDescent="0.2">
      <c r="A25" s="35">
        <v>21</v>
      </c>
      <c r="B25" s="35" t="s">
        <v>233</v>
      </c>
      <c r="C25" s="35" t="s">
        <v>236</v>
      </c>
      <c r="D25" s="34" t="s">
        <v>9</v>
      </c>
      <c r="E25" s="18" t="str">
        <f>IFERROR(INDEX(Reference!$F:$F,MATCH("Crypto|"&amp;C25&amp;"|"&amp;B25,Reference!$A:$A,0)),"")</f>
        <v>Altcoin</v>
      </c>
      <c r="F25" s="44">
        <f>COUNTIFS('Crypto - Lots'!$B:$B,B25,'Crypto - Lots'!$C:$C,C25)</f>
        <v>1</v>
      </c>
      <c r="G25" s="41">
        <f>SUMIFS('Crypto - Lots'!$F:$F,'Crypto - Lots'!$B:$B,B25,'Crypto - Lots'!$C:$C,C25)</f>
        <v>352.81837898999999</v>
      </c>
      <c r="H25" s="10">
        <f>SUMIFS('Crypto - Lots'!$J:$J,'Crypto - Lots'!$B:$B,B25,'Crypto - Lots'!$C:$C,C25)</f>
        <v>150000.73382759848</v>
      </c>
      <c r="I25" s="10">
        <f>SUMIFS('Crypto - Lots'!$K:$K,'Crypto - Lots'!$B:$B,B25,'Crypto - Lots'!$C:$C,C25)</f>
        <v>9226.3706690471736</v>
      </c>
      <c r="J25" s="12">
        <f t="shared" si="0"/>
        <v>-140774.36315855131</v>
      </c>
      <c r="K25" s="11">
        <f t="shared" si="1"/>
        <v>-0.93849116311889924</v>
      </c>
    </row>
    <row r="26" spans="1:11" ht="15" customHeight="1" x14ac:dyDescent="0.2">
      <c r="A26" s="35">
        <v>22</v>
      </c>
      <c r="B26" s="35" t="s">
        <v>230</v>
      </c>
      <c r="C26" s="35" t="s">
        <v>232</v>
      </c>
      <c r="D26" s="34" t="s">
        <v>9</v>
      </c>
      <c r="E26" s="18" t="str">
        <f>IFERROR(INDEX(Reference!$F:$F,MATCH("Crypto|"&amp;C26&amp;"|"&amp;B26,Reference!$A:$A,0)),"")</f>
        <v>Altcoin</v>
      </c>
      <c r="F26" s="44">
        <f>COUNTIFS('Crypto - Lots'!$B:$B,B26,'Crypto - Lots'!$C:$C,C26)</f>
        <v>1</v>
      </c>
      <c r="G26" s="41">
        <f>SUMIFS('Crypto - Lots'!$F:$F,'Crypto - Lots'!$B:$B,B26,'Crypto - Lots'!$C:$C,C26)</f>
        <v>253826.30551999999</v>
      </c>
      <c r="H26" s="10">
        <f>SUMIFS('Crypto - Lots'!$J:$J,'Crypto - Lots'!$B:$B,B26,'Crypto - Lots'!$C:$C,C26)</f>
        <v>104068.78526319998</v>
      </c>
      <c r="I26" s="10">
        <f>SUMIFS('Crypto - Lots'!$K:$K,'Crypto - Lots'!$B:$B,B26,'Crypto - Lots'!$C:$C,C26)</f>
        <v>33851.291409369282</v>
      </c>
      <c r="J26" s="12">
        <f t="shared" si="0"/>
        <v>-70217.493853830703</v>
      </c>
      <c r="K26" s="11">
        <f t="shared" si="1"/>
        <v>-0.67472195121951217</v>
      </c>
    </row>
    <row r="27" spans="1:11" ht="15" customHeight="1" x14ac:dyDescent="0.2">
      <c r="A27" s="35">
        <v>23</v>
      </c>
      <c r="B27" s="35" t="s">
        <v>230</v>
      </c>
      <c r="C27" s="35" t="s">
        <v>231</v>
      </c>
      <c r="D27" s="34" t="s">
        <v>9</v>
      </c>
      <c r="E27" s="18" t="str">
        <f>IFERROR(INDEX(Reference!$F:$F,MATCH("Crypto|"&amp;C27&amp;"|"&amp;B27,Reference!$A:$A,0)),"")</f>
        <v>Altcoin</v>
      </c>
      <c r="F27" s="44">
        <f>COUNTIFS('Crypto - Lots'!$B:$B,B27,'Crypto - Lots'!$C:$C,C27)</f>
        <v>1</v>
      </c>
      <c r="G27" s="41">
        <f>SUMIFS('Crypto - Lots'!$F:$F,'Crypto - Lots'!$B:$B,B27,'Crypto - Lots'!$C:$C,C27)</f>
        <v>218.25299999999999</v>
      </c>
      <c r="H27" s="10">
        <f>SUMIFS('Crypto - Lots'!$J:$J,'Crypto - Lots'!$B:$B,B27,'Crypto - Lots'!$C:$C,C27)</f>
        <v>24828.46128</v>
      </c>
      <c r="I27" s="10">
        <f>SUMIFS('Crypto - Lots'!$K:$K,'Crypto - Lots'!$B:$B,B27,'Crypto - Lots'!$C:$C,C27)</f>
        <v>6376.4992907699998</v>
      </c>
      <c r="J27" s="12">
        <f t="shared" si="0"/>
        <v>-18451.96198923</v>
      </c>
      <c r="K27" s="11">
        <f t="shared" si="1"/>
        <v>-0.74317783052039377</v>
      </c>
    </row>
    <row r="28" spans="1:11" ht="15" customHeight="1" x14ac:dyDescent="0.2">
      <c r="A28" s="35">
        <v>24</v>
      </c>
      <c r="B28" s="35" t="s">
        <v>230</v>
      </c>
      <c r="C28" s="35" t="s">
        <v>229</v>
      </c>
      <c r="D28" s="34" t="s">
        <v>9</v>
      </c>
      <c r="E28" s="18" t="str">
        <f>IFERROR(INDEX(Reference!$F:$F,MATCH("Crypto|"&amp;C28&amp;"|"&amp;B28,Reference!$A:$A,0)),"")</f>
        <v>Altcoin</v>
      </c>
      <c r="F28" s="44">
        <f>COUNTIFS('Crypto - Lots'!$B:$B,B28,'Crypto - Lots'!$C:$C,C28)</f>
        <v>1</v>
      </c>
      <c r="G28" s="41">
        <f>SUMIFS('Crypto - Lots'!$F:$F,'Crypto - Lots'!$B:$B,B28,'Crypto - Lots'!$C:$C,C28)</f>
        <v>6565.4</v>
      </c>
      <c r="H28" s="10">
        <f>SUMIFS('Crypto - Lots'!$J:$J,'Crypto - Lots'!$B:$B,B28,'Crypto - Lots'!$C:$C,C28)</f>
        <v>116010.618</v>
      </c>
      <c r="I28" s="10">
        <f>SUMIFS('Crypto - Lots'!$K:$K,'Crypto - Lots'!$B:$B,B28,'Crypto - Lots'!$C:$C,C28)</f>
        <v>21892.864662799999</v>
      </c>
      <c r="J28" s="12">
        <f t="shared" ref="J28" si="2">I28-H28</f>
        <v>-94117.753337200003</v>
      </c>
      <c r="K28" s="11">
        <f t="shared" ref="K28" si="3">IFERROR(J28/H28,0)</f>
        <v>-0.81128568194680251</v>
      </c>
    </row>
    <row r="29" spans="1:11" ht="15" customHeight="1" x14ac:dyDescent="0.2">
      <c r="A29" s="35"/>
      <c r="B29" s="35"/>
      <c r="C29" s="35"/>
      <c r="D29" s="34"/>
      <c r="E29" s="18"/>
      <c r="F29" s="44"/>
      <c r="G29" s="41"/>
      <c r="H29" s="10"/>
      <c r="I29" s="10"/>
      <c r="J29" s="12"/>
      <c r="K29" s="11"/>
    </row>
    <row r="30" spans="1:11" ht="15" customHeight="1" x14ac:dyDescent="0.2">
      <c r="A30" s="13" t="s">
        <v>69</v>
      </c>
      <c r="B30" s="43"/>
      <c r="C30" s="43"/>
      <c r="D30" s="43"/>
      <c r="E30" s="43"/>
      <c r="F30" s="45">
        <f>SUM(F5:F29)</f>
        <v>26</v>
      </c>
      <c r="G30" s="43"/>
      <c r="H30" s="14">
        <f>SUM(H5:H29)</f>
        <v>1692484.2613636358</v>
      </c>
      <c r="I30" s="14">
        <f>SUM(I5:I29)</f>
        <v>1339357.6953334461</v>
      </c>
      <c r="J30" s="14">
        <f>SUM(J5:J29)</f>
        <v>-353126.56603018945</v>
      </c>
      <c r="K30" s="15">
        <f t="shared" si="1"/>
        <v>-0.20864392898145778</v>
      </c>
    </row>
  </sheetData>
  <autoFilter ref="A4:K29" xr:uid="{00000000-0009-0000-0000-00000A000000}"/>
  <mergeCells count="1">
    <mergeCell ref="A2:K2"/>
  </mergeCells>
  <conditionalFormatting sqref="J5:K29">
    <cfRule type="cellIs" dxfId="0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106"/>
  <sheetViews>
    <sheetView showGridLines="0" zoomScaleNormal="100" workbookViewId="0">
      <pane xSplit="1" ySplit="4" topLeftCell="B71" activePane="bottomRight" state="frozen"/>
      <selection pane="topRight" activeCell="C1" sqref="C1"/>
      <selection pane="bottomLeft" activeCell="A11" sqref="A11"/>
      <selection pane="bottomRight" activeCell="K99" sqref="K99"/>
    </sheetView>
  </sheetViews>
  <sheetFormatPr baseColWidth="10" defaultColWidth="8.6640625" defaultRowHeight="15" x14ac:dyDescent="0.2"/>
  <cols>
    <col min="1" max="1" width="22" customWidth="1"/>
    <col min="2" max="2" width="8" customWidth="1"/>
    <col min="3" max="3" width="22" customWidth="1"/>
    <col min="4" max="4" width="16" customWidth="1"/>
    <col min="5" max="5" width="20" customWidth="1"/>
    <col min="6" max="6" width="22" customWidth="1"/>
    <col min="7" max="7" width="18" customWidth="1"/>
    <col min="8" max="8" width="26" customWidth="1"/>
    <col min="9" max="9" width="14" customWidth="1"/>
    <col min="10" max="10" width="10" customWidth="1"/>
    <col min="11" max="11" width="12" customWidth="1"/>
    <col min="14" max="17" width="8.6640625" customWidth="1"/>
  </cols>
  <sheetData>
    <row r="2" spans="1:17" ht="30" customHeight="1" x14ac:dyDescent="0.2">
      <c r="A2" s="49" t="s">
        <v>277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4" spans="1:17" ht="31.5" customHeight="1" x14ac:dyDescent="0.2">
      <c r="A4" s="8" t="s">
        <v>123</v>
      </c>
      <c r="B4" s="8" t="s">
        <v>124</v>
      </c>
      <c r="C4" s="8" t="s">
        <v>76</v>
      </c>
      <c r="D4" s="8" t="s">
        <v>77</v>
      </c>
      <c r="E4" s="8" t="s">
        <v>51</v>
      </c>
      <c r="F4" s="8" t="s">
        <v>273</v>
      </c>
      <c r="G4" s="8" t="s">
        <v>56</v>
      </c>
      <c r="H4" s="8" t="s">
        <v>88</v>
      </c>
      <c r="I4" s="8" t="s">
        <v>74</v>
      </c>
      <c r="J4" s="8" t="s">
        <v>126</v>
      </c>
      <c r="K4" s="8" t="s">
        <v>278</v>
      </c>
    </row>
    <row r="5" spans="1:17" ht="15" customHeight="1" x14ac:dyDescent="0.2">
      <c r="A5" s="35" t="str">
        <f t="shared" ref="A5:A36" si="0">B5&amp;"|"&amp;C5&amp;"|"&amp;D5</f>
        <v>Mutual Fund|ES-MF|East Spring</v>
      </c>
      <c r="B5" s="32" t="s">
        <v>129</v>
      </c>
      <c r="C5" s="32" t="s">
        <v>147</v>
      </c>
      <c r="D5" s="32" t="s">
        <v>148</v>
      </c>
      <c r="E5" s="32" t="s">
        <v>65</v>
      </c>
      <c r="F5" s="32" t="s">
        <v>279</v>
      </c>
      <c r="G5" s="32" t="s">
        <v>58</v>
      </c>
      <c r="H5" s="32" t="s">
        <v>108</v>
      </c>
      <c r="I5" s="32" t="s">
        <v>81</v>
      </c>
      <c r="J5" s="32" t="s">
        <v>9</v>
      </c>
      <c r="K5" s="39">
        <f t="shared" ref="K5:K36" si="1">IF(J5="THB",1,FXRate)</f>
        <v>1</v>
      </c>
      <c r="Q5" s="46"/>
    </row>
    <row r="6" spans="1:17" ht="15" customHeight="1" x14ac:dyDescent="0.2">
      <c r="A6" s="35" t="str">
        <f t="shared" si="0"/>
        <v>Mutual Fund|SCBSFF|SCBAM</v>
      </c>
      <c r="B6" s="32" t="s">
        <v>129</v>
      </c>
      <c r="C6" s="32" t="s">
        <v>164</v>
      </c>
      <c r="D6" s="32" t="s">
        <v>160</v>
      </c>
      <c r="E6" s="32" t="s">
        <v>65</v>
      </c>
      <c r="F6" s="32" t="s">
        <v>280</v>
      </c>
      <c r="G6" s="32" t="s">
        <v>58</v>
      </c>
      <c r="H6" s="32" t="s">
        <v>107</v>
      </c>
      <c r="I6" s="32" t="s">
        <v>81</v>
      </c>
      <c r="J6" s="32" t="s">
        <v>9</v>
      </c>
      <c r="K6" s="39">
        <f t="shared" si="1"/>
        <v>1</v>
      </c>
      <c r="Q6" s="46"/>
    </row>
    <row r="7" spans="1:17" ht="15" customHeight="1" x14ac:dyDescent="0.2">
      <c r="A7" s="35" t="str">
        <f t="shared" si="0"/>
        <v>Mutual Fund|ASP-DGOV-R|Asset Plus</v>
      </c>
      <c r="B7" s="32" t="s">
        <v>129</v>
      </c>
      <c r="C7" s="32" t="s">
        <v>133</v>
      </c>
      <c r="D7" s="32" t="s">
        <v>131</v>
      </c>
      <c r="E7" s="32" t="s">
        <v>65</v>
      </c>
      <c r="F7" s="32" t="s">
        <v>280</v>
      </c>
      <c r="G7" s="32" t="s">
        <v>58</v>
      </c>
      <c r="H7" s="32" t="s">
        <v>107</v>
      </c>
      <c r="I7" s="32" t="s">
        <v>81</v>
      </c>
      <c r="J7" s="32" t="s">
        <v>9</v>
      </c>
      <c r="K7" s="39">
        <f t="shared" si="1"/>
        <v>1</v>
      </c>
      <c r="Q7" s="46"/>
    </row>
    <row r="8" spans="1:17" ht="15" customHeight="1" x14ac:dyDescent="0.2">
      <c r="A8" s="35" t="str">
        <f t="shared" si="0"/>
        <v>Mutual Fund|ASP-FLEXPLUS|Asset Plus</v>
      </c>
      <c r="B8" s="32" t="s">
        <v>129</v>
      </c>
      <c r="C8" s="32" t="s">
        <v>136</v>
      </c>
      <c r="D8" s="32" t="s">
        <v>131</v>
      </c>
      <c r="E8" s="32" t="s">
        <v>61</v>
      </c>
      <c r="F8" s="32" t="s">
        <v>281</v>
      </c>
      <c r="G8" s="32" t="s">
        <v>58</v>
      </c>
      <c r="H8" s="32" t="s">
        <v>96</v>
      </c>
      <c r="I8" s="32" t="s">
        <v>81</v>
      </c>
      <c r="J8" s="32" t="s">
        <v>9</v>
      </c>
      <c r="K8" s="39">
        <f t="shared" si="1"/>
        <v>1</v>
      </c>
      <c r="Q8" s="46"/>
    </row>
    <row r="9" spans="1:17" ht="15" customHeight="1" x14ac:dyDescent="0.2">
      <c r="A9" s="35" t="str">
        <f t="shared" si="0"/>
        <v>Mutual Fund|ASP-SME-A|Asset Plus</v>
      </c>
      <c r="B9" s="32" t="s">
        <v>129</v>
      </c>
      <c r="C9" s="32" t="s">
        <v>138</v>
      </c>
      <c r="D9" s="32" t="s">
        <v>131</v>
      </c>
      <c r="E9" s="32" t="s">
        <v>57</v>
      </c>
      <c r="F9" s="32" t="s">
        <v>91</v>
      </c>
      <c r="G9" s="32" t="s">
        <v>58</v>
      </c>
      <c r="H9" s="32" t="s">
        <v>91</v>
      </c>
      <c r="I9" s="32" t="s">
        <v>81</v>
      </c>
      <c r="J9" s="32" t="s">
        <v>9</v>
      </c>
      <c r="K9" s="39">
        <f t="shared" si="1"/>
        <v>1</v>
      </c>
      <c r="Q9" s="46"/>
    </row>
    <row r="10" spans="1:17" ht="15" customHeight="1" x14ac:dyDescent="0.2">
      <c r="A10" s="35" t="str">
        <f t="shared" si="0"/>
        <v>Mutual Fund|ASP-AIEQ|Asset Plus</v>
      </c>
      <c r="B10" s="32" t="s">
        <v>129</v>
      </c>
      <c r="C10" s="32" t="s">
        <v>130</v>
      </c>
      <c r="D10" s="32" t="s">
        <v>131</v>
      </c>
      <c r="E10" s="32" t="s">
        <v>57</v>
      </c>
      <c r="F10" s="32" t="s">
        <v>282</v>
      </c>
      <c r="G10" s="32" t="s">
        <v>62</v>
      </c>
      <c r="H10" s="32" t="s">
        <v>103</v>
      </c>
      <c r="I10" s="32" t="s">
        <v>81</v>
      </c>
      <c r="J10" s="32" t="s">
        <v>9</v>
      </c>
      <c r="K10" s="39">
        <f t="shared" si="1"/>
        <v>1</v>
      </c>
      <c r="Q10" s="46"/>
    </row>
    <row r="11" spans="1:17" ht="15" customHeight="1" x14ac:dyDescent="0.2">
      <c r="A11" s="35" t="str">
        <f t="shared" si="0"/>
        <v>Mutual Fund|ASP-JHC|Asset Plus</v>
      </c>
      <c r="B11" s="32" t="s">
        <v>129</v>
      </c>
      <c r="C11" s="32" t="s">
        <v>137</v>
      </c>
      <c r="D11" s="32" t="s">
        <v>131</v>
      </c>
      <c r="E11" s="32" t="s">
        <v>57</v>
      </c>
      <c r="F11" s="32" t="s">
        <v>283</v>
      </c>
      <c r="G11" s="32" t="s">
        <v>70</v>
      </c>
      <c r="H11" s="32" t="s">
        <v>104</v>
      </c>
      <c r="I11" s="32" t="s">
        <v>81</v>
      </c>
      <c r="J11" s="32" t="s">
        <v>9</v>
      </c>
      <c r="K11" s="39">
        <f t="shared" si="1"/>
        <v>1</v>
      </c>
      <c r="Q11" s="46"/>
    </row>
    <row r="12" spans="1:17" ht="15" customHeight="1" x14ac:dyDescent="0.2">
      <c r="A12" s="35" t="str">
        <f t="shared" si="0"/>
        <v>Mutual Fund|ASP-EUG|Asset Plus</v>
      </c>
      <c r="B12" s="32" t="s">
        <v>129</v>
      </c>
      <c r="C12" s="32" t="s">
        <v>134</v>
      </c>
      <c r="D12" s="32" t="s">
        <v>131</v>
      </c>
      <c r="E12" s="32" t="s">
        <v>57</v>
      </c>
      <c r="F12" s="32" t="s">
        <v>283</v>
      </c>
      <c r="G12" s="32" t="s">
        <v>71</v>
      </c>
      <c r="H12" s="32" t="s">
        <v>106</v>
      </c>
      <c r="I12" s="32" t="s">
        <v>81</v>
      </c>
      <c r="J12" s="32" t="s">
        <v>9</v>
      </c>
      <c r="K12" s="39">
        <f t="shared" si="1"/>
        <v>1</v>
      </c>
      <c r="Q12" s="46"/>
    </row>
    <row r="13" spans="1:17" ht="15" customHeight="1" x14ac:dyDescent="0.2">
      <c r="A13" s="35" t="str">
        <f t="shared" si="0"/>
        <v>Mutual Fund|ASP-EVOCHINA|Asset Plus</v>
      </c>
      <c r="B13" s="32" t="s">
        <v>129</v>
      </c>
      <c r="C13" s="32" t="s">
        <v>135</v>
      </c>
      <c r="D13" s="32" t="s">
        <v>131</v>
      </c>
      <c r="E13" s="32" t="s">
        <v>57</v>
      </c>
      <c r="F13" s="32" t="s">
        <v>284</v>
      </c>
      <c r="G13" s="32" t="s">
        <v>68</v>
      </c>
      <c r="H13" s="32" t="s">
        <v>98</v>
      </c>
      <c r="I13" s="32" t="s">
        <v>81</v>
      </c>
      <c r="J13" s="32" t="s">
        <v>9</v>
      </c>
      <c r="K13" s="39">
        <f t="shared" si="1"/>
        <v>1</v>
      </c>
      <c r="Q13" s="46"/>
    </row>
    <row r="14" spans="1:17" ht="15" customHeight="1" x14ac:dyDescent="0.2">
      <c r="A14" s="35" t="str">
        <f t="shared" si="0"/>
        <v>Mutual Fund|K-USA-A(D)|K Asset</v>
      </c>
      <c r="B14" s="32" t="s">
        <v>129</v>
      </c>
      <c r="C14" s="32" t="s">
        <v>154</v>
      </c>
      <c r="D14" s="32" t="s">
        <v>151</v>
      </c>
      <c r="E14" s="32" t="s">
        <v>57</v>
      </c>
      <c r="F14" s="32" t="s">
        <v>283</v>
      </c>
      <c r="G14" s="32" t="s">
        <v>60</v>
      </c>
      <c r="H14" s="32" t="s">
        <v>89</v>
      </c>
      <c r="I14" s="32" t="s">
        <v>81</v>
      </c>
      <c r="J14" s="32" t="s">
        <v>9</v>
      </c>
      <c r="K14" s="39">
        <f t="shared" si="1"/>
        <v>1</v>
      </c>
      <c r="Q14" s="46"/>
    </row>
    <row r="15" spans="1:17" ht="15" customHeight="1" x14ac:dyDescent="0.2">
      <c r="A15" s="35" t="str">
        <f t="shared" si="0"/>
        <v>Mutual Fund|K-CHX|K Asset</v>
      </c>
      <c r="B15" s="32" t="s">
        <v>129</v>
      </c>
      <c r="C15" s="32" t="s">
        <v>150</v>
      </c>
      <c r="D15" s="32" t="s">
        <v>151</v>
      </c>
      <c r="E15" s="32" t="s">
        <v>57</v>
      </c>
      <c r="F15" s="32" t="s">
        <v>284</v>
      </c>
      <c r="G15" s="32" t="s">
        <v>68</v>
      </c>
      <c r="H15" s="32" t="s">
        <v>98</v>
      </c>
      <c r="I15" s="32" t="s">
        <v>81</v>
      </c>
      <c r="J15" s="32" t="s">
        <v>9</v>
      </c>
      <c r="K15" s="39">
        <f t="shared" si="1"/>
        <v>1</v>
      </c>
      <c r="Q15" s="46"/>
    </row>
    <row r="16" spans="1:17" ht="15" customHeight="1" x14ac:dyDescent="0.2">
      <c r="A16" s="35" t="str">
        <f t="shared" si="0"/>
        <v>Mutual Fund|K-Vietnam|K Asset</v>
      </c>
      <c r="B16" s="32" t="s">
        <v>129</v>
      </c>
      <c r="C16" s="32" t="s">
        <v>156</v>
      </c>
      <c r="D16" s="32" t="s">
        <v>151</v>
      </c>
      <c r="E16" s="32" t="s">
        <v>57</v>
      </c>
      <c r="F16" s="32" t="s">
        <v>285</v>
      </c>
      <c r="G16" s="32" t="s">
        <v>66</v>
      </c>
      <c r="H16" s="32" t="s">
        <v>94</v>
      </c>
      <c r="I16" s="32" t="s">
        <v>81</v>
      </c>
      <c r="J16" s="32" t="s">
        <v>9</v>
      </c>
      <c r="K16" s="39">
        <f t="shared" si="1"/>
        <v>1</v>
      </c>
      <c r="Q16" s="46"/>
    </row>
    <row r="17" spans="1:17" ht="15" customHeight="1" x14ac:dyDescent="0.2">
      <c r="A17" s="35" t="str">
        <f t="shared" si="0"/>
        <v>Mutual Fund|UOBSG-N|UOBAM</v>
      </c>
      <c r="B17" s="32" t="s">
        <v>129</v>
      </c>
      <c r="C17" s="32" t="s">
        <v>168</v>
      </c>
      <c r="D17" s="32" t="s">
        <v>167</v>
      </c>
      <c r="E17" s="32" t="s">
        <v>63</v>
      </c>
      <c r="F17" s="32" t="s">
        <v>286</v>
      </c>
      <c r="G17" s="32" t="s">
        <v>62</v>
      </c>
      <c r="H17" s="32" t="s">
        <v>100</v>
      </c>
      <c r="I17" s="32" t="s">
        <v>81</v>
      </c>
      <c r="J17" s="32" t="s">
        <v>9</v>
      </c>
      <c r="K17" s="39">
        <f t="shared" si="1"/>
        <v>1</v>
      </c>
      <c r="Q17" s="46"/>
    </row>
    <row r="18" spans="1:17" ht="15" customHeight="1" x14ac:dyDescent="0.2">
      <c r="A18" s="35" t="str">
        <f t="shared" si="0"/>
        <v>Mutual Fund|SCBGOLDH|SCBAM</v>
      </c>
      <c r="B18" s="32" t="s">
        <v>129</v>
      </c>
      <c r="C18" s="32" t="s">
        <v>159</v>
      </c>
      <c r="D18" s="32" t="s">
        <v>160</v>
      </c>
      <c r="E18" s="32" t="s">
        <v>63</v>
      </c>
      <c r="F18" s="32" t="s">
        <v>286</v>
      </c>
      <c r="G18" s="32" t="s">
        <v>62</v>
      </c>
      <c r="H18" s="32" t="s">
        <v>100</v>
      </c>
      <c r="I18" s="32" t="s">
        <v>81</v>
      </c>
      <c r="J18" s="32" t="s">
        <v>9</v>
      </c>
      <c r="K18" s="39">
        <f t="shared" si="1"/>
        <v>1</v>
      </c>
      <c r="Q18" s="46"/>
    </row>
    <row r="19" spans="1:17" ht="15" customHeight="1" x14ac:dyDescent="0.2">
      <c r="A19" s="35" t="str">
        <f t="shared" si="0"/>
        <v>Mutual Fund|SCBSEMI(A)|SCBAM</v>
      </c>
      <c r="B19" s="32" t="s">
        <v>129</v>
      </c>
      <c r="C19" s="32" t="s">
        <v>162</v>
      </c>
      <c r="D19" s="32" t="s">
        <v>160</v>
      </c>
      <c r="E19" s="32" t="s">
        <v>57</v>
      </c>
      <c r="F19" s="32" t="s">
        <v>282</v>
      </c>
      <c r="G19" s="32" t="s">
        <v>62</v>
      </c>
      <c r="H19" s="32" t="s">
        <v>105</v>
      </c>
      <c r="I19" s="32" t="s">
        <v>81</v>
      </c>
      <c r="J19" s="32" t="s">
        <v>9</v>
      </c>
      <c r="K19" s="39">
        <f t="shared" si="1"/>
        <v>1</v>
      </c>
      <c r="Q19" s="46"/>
    </row>
    <row r="20" spans="1:17" ht="15" customHeight="1" x14ac:dyDescent="0.2">
      <c r="A20" s="35" t="str">
        <f t="shared" si="0"/>
        <v>Mutual Fund|SCBKEQTG|SCBAM</v>
      </c>
      <c r="B20" s="32" t="s">
        <v>129</v>
      </c>
      <c r="C20" s="32" t="s">
        <v>161</v>
      </c>
      <c r="D20" s="32" t="s">
        <v>160</v>
      </c>
      <c r="E20" s="32" t="s">
        <v>57</v>
      </c>
      <c r="F20" s="32" t="s">
        <v>283</v>
      </c>
      <c r="G20" s="32" t="s">
        <v>64</v>
      </c>
      <c r="H20" s="32" t="s">
        <v>90</v>
      </c>
      <c r="I20" s="32" t="s">
        <v>81</v>
      </c>
      <c r="J20" s="32" t="s">
        <v>9</v>
      </c>
      <c r="K20" s="39">
        <f t="shared" si="1"/>
        <v>1</v>
      </c>
      <c r="Q20" s="46"/>
    </row>
    <row r="21" spans="1:17" ht="15" customHeight="1" x14ac:dyDescent="0.2">
      <c r="A21" s="35" t="str">
        <f t="shared" si="0"/>
        <v>Mutual Fund|KF-ASET50-L|Krungsri AM</v>
      </c>
      <c r="B21" s="32" t="s">
        <v>129</v>
      </c>
      <c r="C21" s="32" t="s">
        <v>157</v>
      </c>
      <c r="D21" s="32" t="s">
        <v>158</v>
      </c>
      <c r="E21" s="32" t="s">
        <v>57</v>
      </c>
      <c r="F21" s="32" t="s">
        <v>91</v>
      </c>
      <c r="G21" s="32" t="s">
        <v>58</v>
      </c>
      <c r="H21" s="32" t="s">
        <v>102</v>
      </c>
      <c r="I21" s="32" t="s">
        <v>85</v>
      </c>
      <c r="J21" s="32" t="s">
        <v>9</v>
      </c>
      <c r="K21" s="39">
        <f t="shared" si="1"/>
        <v>1</v>
      </c>
      <c r="Q21" s="46"/>
    </row>
    <row r="22" spans="1:17" ht="15" customHeight="1" x14ac:dyDescent="0.2">
      <c r="A22" s="35" t="str">
        <f t="shared" si="0"/>
        <v>Mutual Fund|B-MIXED75|BBLAM</v>
      </c>
      <c r="B22" s="32" t="s">
        <v>129</v>
      </c>
      <c r="C22" s="32" t="s">
        <v>142</v>
      </c>
      <c r="D22" s="32" t="s">
        <v>141</v>
      </c>
      <c r="E22" s="32" t="s">
        <v>61</v>
      </c>
      <c r="F22" s="32" t="s">
        <v>281</v>
      </c>
      <c r="G22" s="32" t="s">
        <v>58</v>
      </c>
      <c r="H22" s="32" t="s">
        <v>96</v>
      </c>
      <c r="I22" s="32" t="s">
        <v>85</v>
      </c>
      <c r="J22" s="32" t="s">
        <v>9</v>
      </c>
      <c r="K22" s="39">
        <f t="shared" si="1"/>
        <v>1</v>
      </c>
      <c r="Q22" s="46"/>
    </row>
    <row r="23" spans="1:17" ht="15" customHeight="1" x14ac:dyDescent="0.2">
      <c r="A23" s="35" t="str">
        <f t="shared" si="0"/>
        <v>Mutual Fund|B-EQUITY|BBLAM</v>
      </c>
      <c r="B23" s="32" t="s">
        <v>129</v>
      </c>
      <c r="C23" s="32" t="s">
        <v>140</v>
      </c>
      <c r="D23" s="32" t="s">
        <v>141</v>
      </c>
      <c r="E23" s="32" t="s">
        <v>57</v>
      </c>
      <c r="F23" s="32" t="s">
        <v>91</v>
      </c>
      <c r="G23" s="32" t="s">
        <v>58</v>
      </c>
      <c r="H23" s="32" t="s">
        <v>91</v>
      </c>
      <c r="I23" s="32" t="s">
        <v>85</v>
      </c>
      <c r="J23" s="32" t="s">
        <v>9</v>
      </c>
      <c r="K23" s="39">
        <f t="shared" si="1"/>
        <v>1</v>
      </c>
      <c r="Q23" s="46"/>
    </row>
    <row r="24" spans="1:17" ht="15" customHeight="1" x14ac:dyDescent="0.2">
      <c r="A24" s="35" t="str">
        <f t="shared" si="0"/>
        <v>Mutual Fund|K-TNZ-ThaiESG|K Asset</v>
      </c>
      <c r="B24" s="32" t="s">
        <v>129</v>
      </c>
      <c r="C24" s="32" t="s">
        <v>153</v>
      </c>
      <c r="D24" s="32" t="s">
        <v>151</v>
      </c>
      <c r="E24" s="32" t="s">
        <v>57</v>
      </c>
      <c r="F24" s="32" t="s">
        <v>91</v>
      </c>
      <c r="G24" s="32" t="s">
        <v>58</v>
      </c>
      <c r="H24" s="32" t="s">
        <v>91</v>
      </c>
      <c r="I24" s="32" t="s">
        <v>84</v>
      </c>
      <c r="J24" s="32" t="s">
        <v>9</v>
      </c>
      <c r="K24" s="39">
        <f t="shared" si="1"/>
        <v>1</v>
      </c>
      <c r="Q24" s="46"/>
    </row>
    <row r="25" spans="1:17" ht="15" customHeight="1" x14ac:dyDescent="0.2">
      <c r="A25" s="35" t="str">
        <f t="shared" si="0"/>
        <v>Mutual Fund|UVALUE-DIV-LD|UOBAM</v>
      </c>
      <c r="B25" s="32" t="s">
        <v>129</v>
      </c>
      <c r="C25" s="32" t="s">
        <v>170</v>
      </c>
      <c r="D25" s="32" t="s">
        <v>167</v>
      </c>
      <c r="E25" s="32" t="s">
        <v>57</v>
      </c>
      <c r="F25" s="32" t="s">
        <v>91</v>
      </c>
      <c r="G25" s="32" t="s">
        <v>58</v>
      </c>
      <c r="H25" s="32" t="s">
        <v>91</v>
      </c>
      <c r="I25" s="32" t="s">
        <v>85</v>
      </c>
      <c r="J25" s="32" t="s">
        <v>9</v>
      </c>
      <c r="K25" s="39">
        <f t="shared" si="1"/>
        <v>1</v>
      </c>
      <c r="Q25" s="46"/>
    </row>
    <row r="26" spans="1:17" ht="15" customHeight="1" x14ac:dyDescent="0.2">
      <c r="A26" s="35" t="str">
        <f t="shared" si="0"/>
        <v>Mutual Fund|UTSB-THAIESG|UOBAM</v>
      </c>
      <c r="B26" s="32" t="s">
        <v>129</v>
      </c>
      <c r="C26" s="32" t="s">
        <v>169</v>
      </c>
      <c r="D26" s="32" t="s">
        <v>167</v>
      </c>
      <c r="E26" s="32" t="s">
        <v>59</v>
      </c>
      <c r="F26" s="32" t="s">
        <v>287</v>
      </c>
      <c r="G26" s="32" t="s">
        <v>58</v>
      </c>
      <c r="H26" s="32" t="s">
        <v>97</v>
      </c>
      <c r="I26" s="32" t="s">
        <v>84</v>
      </c>
      <c r="J26" s="32" t="s">
        <v>9</v>
      </c>
      <c r="K26" s="39">
        <f t="shared" si="1"/>
        <v>1</v>
      </c>
      <c r="Q26" s="46"/>
    </row>
    <row r="27" spans="1:17" ht="15" customHeight="1" x14ac:dyDescent="0.2">
      <c r="A27" s="35" t="str">
        <f t="shared" si="0"/>
        <v>Mutual Fund|ASP-THGEQ-T|Asset Plus</v>
      </c>
      <c r="B27" s="32" t="s">
        <v>129</v>
      </c>
      <c r="C27" s="32" t="s">
        <v>139</v>
      </c>
      <c r="D27" s="32" t="s">
        <v>131</v>
      </c>
      <c r="E27" s="32" t="s">
        <v>57</v>
      </c>
      <c r="F27" s="32" t="s">
        <v>91</v>
      </c>
      <c r="G27" s="32" t="s">
        <v>58</v>
      </c>
      <c r="H27" s="32" t="s">
        <v>91</v>
      </c>
      <c r="I27" s="32" t="s">
        <v>85</v>
      </c>
      <c r="J27" s="32" t="s">
        <v>9</v>
      </c>
      <c r="K27" s="39">
        <f t="shared" si="1"/>
        <v>1</v>
      </c>
      <c r="Q27" s="46"/>
    </row>
    <row r="28" spans="1:17" ht="15" customHeight="1" x14ac:dyDescent="0.2">
      <c r="A28" s="35" t="str">
        <f t="shared" si="0"/>
        <v>Mutual Fund|SCBSET-SSFX|SCBAM</v>
      </c>
      <c r="B28" s="32" t="s">
        <v>129</v>
      </c>
      <c r="C28" s="32" t="s">
        <v>163</v>
      </c>
      <c r="D28" s="32" t="s">
        <v>160</v>
      </c>
      <c r="E28" s="32" t="s">
        <v>57</v>
      </c>
      <c r="F28" s="32" t="s">
        <v>91</v>
      </c>
      <c r="G28" s="32" t="s">
        <v>58</v>
      </c>
      <c r="H28" s="32" t="s">
        <v>91</v>
      </c>
      <c r="I28" s="32" t="s">
        <v>83</v>
      </c>
      <c r="J28" s="32" t="s">
        <v>9</v>
      </c>
      <c r="K28" s="39">
        <f t="shared" si="1"/>
        <v>1</v>
      </c>
    </row>
    <row r="29" spans="1:17" ht="15" customHeight="1" x14ac:dyDescent="0.2">
      <c r="A29" s="35" t="str">
        <f t="shared" si="0"/>
        <v>Mutual Fund|SCBTAPX(25D)|SCBAM</v>
      </c>
      <c r="B29" s="32" t="s">
        <v>129</v>
      </c>
      <c r="C29" s="32" t="s">
        <v>165</v>
      </c>
      <c r="D29" s="32" t="s">
        <v>160</v>
      </c>
      <c r="E29" s="32" t="s">
        <v>57</v>
      </c>
      <c r="F29" s="32" t="s">
        <v>91</v>
      </c>
      <c r="G29" s="32" t="s">
        <v>58</v>
      </c>
      <c r="H29" s="32" t="s">
        <v>91</v>
      </c>
      <c r="I29" s="32" t="s">
        <v>83</v>
      </c>
      <c r="J29" s="32" t="s">
        <v>9</v>
      </c>
      <c r="K29" s="39">
        <f t="shared" si="1"/>
        <v>1</v>
      </c>
    </row>
    <row r="30" spans="1:17" ht="15" customHeight="1" x14ac:dyDescent="0.2">
      <c r="A30" s="35" t="str">
        <f t="shared" si="0"/>
        <v>Mutual Fund|BFRMF|BBLAM</v>
      </c>
      <c r="B30" s="32" t="s">
        <v>129</v>
      </c>
      <c r="C30" s="32" t="s">
        <v>146</v>
      </c>
      <c r="D30" s="32" t="s">
        <v>141</v>
      </c>
      <c r="E30" s="32" t="s">
        <v>59</v>
      </c>
      <c r="F30" s="32" t="s">
        <v>287</v>
      </c>
      <c r="G30" s="32" t="s">
        <v>58</v>
      </c>
      <c r="H30" s="32" t="s">
        <v>97</v>
      </c>
      <c r="I30" s="32" t="s">
        <v>82</v>
      </c>
      <c r="J30" s="32" t="s">
        <v>9</v>
      </c>
      <c r="K30" s="39">
        <f t="shared" si="1"/>
        <v>1</v>
      </c>
    </row>
    <row r="31" spans="1:17" ht="15" customHeight="1" x14ac:dyDescent="0.2">
      <c r="A31" s="35" t="str">
        <f t="shared" si="0"/>
        <v>Mutual Fund|BFLRMF|BBLAM</v>
      </c>
      <c r="B31" s="32" t="s">
        <v>129</v>
      </c>
      <c r="C31" s="32" t="s">
        <v>145</v>
      </c>
      <c r="D31" s="32" t="s">
        <v>141</v>
      </c>
      <c r="E31" s="32" t="s">
        <v>61</v>
      </c>
      <c r="F31" s="32" t="s">
        <v>281</v>
      </c>
      <c r="G31" s="32" t="s">
        <v>58</v>
      </c>
      <c r="H31" s="32" t="s">
        <v>96</v>
      </c>
      <c r="I31" s="32" t="s">
        <v>82</v>
      </c>
      <c r="J31" s="32" t="s">
        <v>9</v>
      </c>
      <c r="K31" s="39">
        <f t="shared" si="1"/>
        <v>1</v>
      </c>
    </row>
    <row r="32" spans="1:17" ht="15" customHeight="1" x14ac:dyDescent="0.2">
      <c r="A32" s="35" t="str">
        <f t="shared" si="0"/>
        <v>Mutual Fund|BERMF|BBLAM</v>
      </c>
      <c r="B32" s="32" t="s">
        <v>129</v>
      </c>
      <c r="C32" s="32" t="s">
        <v>144</v>
      </c>
      <c r="D32" s="32" t="s">
        <v>141</v>
      </c>
      <c r="E32" s="32" t="s">
        <v>57</v>
      </c>
      <c r="F32" s="32" t="s">
        <v>91</v>
      </c>
      <c r="G32" s="32" t="s">
        <v>58</v>
      </c>
      <c r="H32" s="32" t="s">
        <v>91</v>
      </c>
      <c r="I32" s="32" t="s">
        <v>82</v>
      </c>
      <c r="J32" s="32" t="s">
        <v>9</v>
      </c>
      <c r="K32" s="39">
        <f t="shared" si="1"/>
        <v>1</v>
      </c>
    </row>
    <row r="33" spans="1:11" ht="15" customHeight="1" x14ac:dyDescent="0.2">
      <c r="A33" s="35" t="str">
        <f t="shared" si="0"/>
        <v>Mutual Fund|BCARERMF|BBLAM</v>
      </c>
      <c r="B33" s="32" t="s">
        <v>129</v>
      </c>
      <c r="C33" s="32" t="s">
        <v>143</v>
      </c>
      <c r="D33" s="32" t="s">
        <v>141</v>
      </c>
      <c r="E33" s="32" t="s">
        <v>57</v>
      </c>
      <c r="F33" s="32" t="s">
        <v>282</v>
      </c>
      <c r="G33" s="32" t="s">
        <v>62</v>
      </c>
      <c r="H33" s="32" t="s">
        <v>92</v>
      </c>
      <c r="I33" s="32" t="s">
        <v>82</v>
      </c>
      <c r="J33" s="32" t="s">
        <v>9</v>
      </c>
      <c r="K33" s="39">
        <f t="shared" si="1"/>
        <v>1</v>
      </c>
    </row>
    <row r="34" spans="1:11" ht="15" customHeight="1" x14ac:dyDescent="0.2">
      <c r="A34" s="35" t="str">
        <f t="shared" si="0"/>
        <v>Mutual Fund|ES-US500RMF|East Spring</v>
      </c>
      <c r="B34" s="32" t="s">
        <v>129</v>
      </c>
      <c r="C34" s="32" t="s">
        <v>149</v>
      </c>
      <c r="D34" s="32" t="s">
        <v>148</v>
      </c>
      <c r="E34" s="32" t="s">
        <v>57</v>
      </c>
      <c r="F34" s="32" t="s">
        <v>283</v>
      </c>
      <c r="G34" s="32" t="s">
        <v>60</v>
      </c>
      <c r="H34" s="32" t="s">
        <v>89</v>
      </c>
      <c r="I34" s="32" t="s">
        <v>82</v>
      </c>
      <c r="J34" s="32" t="s">
        <v>9</v>
      </c>
      <c r="K34" s="39">
        <f t="shared" si="1"/>
        <v>1</v>
      </c>
    </row>
    <row r="35" spans="1:11" ht="15" customHeight="1" x14ac:dyDescent="0.2">
      <c r="A35" s="35" t="str">
        <f t="shared" si="0"/>
        <v>Mutual Fund|K-GHRMF|K Asset</v>
      </c>
      <c r="B35" s="32" t="s">
        <v>129</v>
      </c>
      <c r="C35" s="32" t="s">
        <v>152</v>
      </c>
      <c r="D35" s="32" t="s">
        <v>151</v>
      </c>
      <c r="E35" s="32" t="s">
        <v>57</v>
      </c>
      <c r="F35" s="32" t="s">
        <v>282</v>
      </c>
      <c r="G35" s="32" t="s">
        <v>62</v>
      </c>
      <c r="H35" s="32" t="s">
        <v>92</v>
      </c>
      <c r="I35" s="32" t="s">
        <v>82</v>
      </c>
      <c r="J35" s="32" t="s">
        <v>9</v>
      </c>
      <c r="K35" s="39">
        <f t="shared" si="1"/>
        <v>1</v>
      </c>
    </row>
    <row r="36" spans="1:11" ht="15" customHeight="1" x14ac:dyDescent="0.2">
      <c r="A36" s="35" t="str">
        <f t="shared" si="0"/>
        <v>Mutual Fund|K-VIETNAMRMF|K Asset</v>
      </c>
      <c r="B36" s="32" t="s">
        <v>129</v>
      </c>
      <c r="C36" s="32" t="s">
        <v>155</v>
      </c>
      <c r="D36" s="32" t="s">
        <v>151</v>
      </c>
      <c r="E36" s="32" t="s">
        <v>57</v>
      </c>
      <c r="F36" s="32" t="s">
        <v>285</v>
      </c>
      <c r="G36" s="32" t="s">
        <v>66</v>
      </c>
      <c r="H36" s="32" t="s">
        <v>94</v>
      </c>
      <c r="I36" s="32" t="s">
        <v>82</v>
      </c>
      <c r="J36" s="32" t="s">
        <v>9</v>
      </c>
      <c r="K36" s="39">
        <f t="shared" si="1"/>
        <v>1</v>
      </c>
    </row>
    <row r="37" spans="1:11" ht="15" customHeight="1" x14ac:dyDescent="0.2">
      <c r="A37" s="35" t="str">
        <f t="shared" ref="A37:A68" si="2">B37&amp;"|"&amp;C37&amp;"|"&amp;D37</f>
        <v>Mutual Fund|TCMF|UOBAM</v>
      </c>
      <c r="B37" s="32" t="s">
        <v>129</v>
      </c>
      <c r="C37" s="32" t="s">
        <v>166</v>
      </c>
      <c r="D37" s="32" t="s">
        <v>167</v>
      </c>
      <c r="E37" s="32" t="s">
        <v>65</v>
      </c>
      <c r="F37" s="32" t="s">
        <v>279</v>
      </c>
      <c r="G37" s="32" t="s">
        <v>58</v>
      </c>
      <c r="H37" s="32" t="s">
        <v>108</v>
      </c>
      <c r="I37" s="32" t="s">
        <v>81</v>
      </c>
      <c r="J37" s="32" t="s">
        <v>9</v>
      </c>
      <c r="K37" s="39">
        <f t="shared" ref="K37:K68" si="3">IF(J37="THB",1,FXRate)</f>
        <v>1</v>
      </c>
    </row>
    <row r="38" spans="1:11" ht="15" customHeight="1" x14ac:dyDescent="0.2">
      <c r="A38" s="35" t="str">
        <f t="shared" si="2"/>
        <v>Equity|BANPU|Asia Plus Securities</v>
      </c>
      <c r="B38" s="32" t="s">
        <v>57</v>
      </c>
      <c r="C38" s="32" t="s">
        <v>171</v>
      </c>
      <c r="D38" s="32" t="s">
        <v>172</v>
      </c>
      <c r="E38" s="32" t="s">
        <v>57</v>
      </c>
      <c r="F38" s="32" t="s">
        <v>288</v>
      </c>
      <c r="G38" s="32" t="s">
        <v>58</v>
      </c>
      <c r="H38" s="32" t="s">
        <v>95</v>
      </c>
      <c r="I38" s="32" t="s">
        <v>86</v>
      </c>
      <c r="J38" s="32" t="s">
        <v>9</v>
      </c>
      <c r="K38" s="39">
        <f t="shared" si="3"/>
        <v>1</v>
      </c>
    </row>
    <row r="39" spans="1:11" ht="15" customHeight="1" x14ac:dyDescent="0.2">
      <c r="A39" s="35" t="str">
        <f t="shared" si="2"/>
        <v>Equity|BBL|Asia Plus Securities</v>
      </c>
      <c r="B39" s="32" t="s">
        <v>57</v>
      </c>
      <c r="C39" s="32" t="s">
        <v>173</v>
      </c>
      <c r="D39" s="32" t="s">
        <v>172</v>
      </c>
      <c r="E39" s="32" t="s">
        <v>57</v>
      </c>
      <c r="F39" s="32" t="s">
        <v>288</v>
      </c>
      <c r="G39" s="32" t="s">
        <v>58</v>
      </c>
      <c r="H39" s="32" t="s">
        <v>95</v>
      </c>
      <c r="I39" s="32" t="s">
        <v>86</v>
      </c>
      <c r="J39" s="32" t="s">
        <v>9</v>
      </c>
      <c r="K39" s="39">
        <f t="shared" si="3"/>
        <v>1</v>
      </c>
    </row>
    <row r="40" spans="1:11" ht="15" customHeight="1" x14ac:dyDescent="0.2">
      <c r="A40" s="35" t="str">
        <f t="shared" si="2"/>
        <v>Equity|BLAND|Asia Plus Securities</v>
      </c>
      <c r="B40" s="32" t="s">
        <v>57</v>
      </c>
      <c r="C40" s="32" t="s">
        <v>174</v>
      </c>
      <c r="D40" s="32" t="s">
        <v>172</v>
      </c>
      <c r="E40" s="32" t="s">
        <v>57</v>
      </c>
      <c r="F40" s="32" t="s">
        <v>288</v>
      </c>
      <c r="G40" s="32" t="s">
        <v>58</v>
      </c>
      <c r="H40" s="32" t="s">
        <v>95</v>
      </c>
      <c r="I40" s="32" t="s">
        <v>86</v>
      </c>
      <c r="J40" s="32" t="s">
        <v>9</v>
      </c>
      <c r="K40" s="39">
        <f t="shared" si="3"/>
        <v>1</v>
      </c>
    </row>
    <row r="41" spans="1:11" ht="15" customHeight="1" x14ac:dyDescent="0.2">
      <c r="A41" s="35" t="str">
        <f t="shared" si="2"/>
        <v>Equity|BWG|Asia Plus Securities</v>
      </c>
      <c r="B41" s="32" t="s">
        <v>57</v>
      </c>
      <c r="C41" s="32" t="s">
        <v>175</v>
      </c>
      <c r="D41" s="32" t="s">
        <v>172</v>
      </c>
      <c r="E41" s="32" t="s">
        <v>57</v>
      </c>
      <c r="F41" s="32" t="s">
        <v>288</v>
      </c>
      <c r="G41" s="32" t="s">
        <v>58</v>
      </c>
      <c r="H41" s="32" t="s">
        <v>95</v>
      </c>
      <c r="I41" s="32" t="s">
        <v>86</v>
      </c>
      <c r="J41" s="32" t="s">
        <v>9</v>
      </c>
      <c r="K41" s="39">
        <f t="shared" si="3"/>
        <v>1</v>
      </c>
    </row>
    <row r="42" spans="1:11" ht="15" customHeight="1" x14ac:dyDescent="0.2">
      <c r="A42" s="35" t="str">
        <f t="shared" si="2"/>
        <v>Equity|BWG-W7|Asia Plus Securities</v>
      </c>
      <c r="B42" s="32" t="s">
        <v>57</v>
      </c>
      <c r="C42" s="32" t="s">
        <v>176</v>
      </c>
      <c r="D42" s="32" t="s">
        <v>172</v>
      </c>
      <c r="E42" s="32" t="s">
        <v>57</v>
      </c>
      <c r="F42" s="32" t="s">
        <v>288</v>
      </c>
      <c r="G42" s="32" t="s">
        <v>58</v>
      </c>
      <c r="H42" s="32" t="s">
        <v>95</v>
      </c>
      <c r="I42" s="32" t="s">
        <v>86</v>
      </c>
      <c r="J42" s="32" t="s">
        <v>9</v>
      </c>
      <c r="K42" s="39">
        <f t="shared" si="3"/>
        <v>1</v>
      </c>
    </row>
    <row r="43" spans="1:11" ht="15" customHeight="1" x14ac:dyDescent="0.2">
      <c r="A43" s="35" t="str">
        <f t="shared" si="2"/>
        <v>Equity|GSTEEL|Asia Plus Securities</v>
      </c>
      <c r="B43" s="32" t="s">
        <v>57</v>
      </c>
      <c r="C43" s="32" t="s">
        <v>178</v>
      </c>
      <c r="D43" s="32" t="s">
        <v>172</v>
      </c>
      <c r="E43" s="32" t="s">
        <v>57</v>
      </c>
      <c r="F43" s="32" t="s">
        <v>288</v>
      </c>
      <c r="G43" s="32" t="s">
        <v>58</v>
      </c>
      <c r="H43" s="32" t="s">
        <v>95</v>
      </c>
      <c r="I43" s="32" t="s">
        <v>86</v>
      </c>
      <c r="J43" s="32" t="s">
        <v>9</v>
      </c>
      <c r="K43" s="39">
        <f t="shared" si="3"/>
        <v>1</v>
      </c>
    </row>
    <row r="44" spans="1:11" ht="15" customHeight="1" x14ac:dyDescent="0.2">
      <c r="A44" s="35" t="str">
        <f t="shared" si="2"/>
        <v>Equity|GULF|Asia Plus Securities</v>
      </c>
      <c r="B44" s="32" t="s">
        <v>57</v>
      </c>
      <c r="C44" s="32" t="s">
        <v>179</v>
      </c>
      <c r="D44" s="32" t="s">
        <v>172</v>
      </c>
      <c r="E44" s="32" t="s">
        <v>57</v>
      </c>
      <c r="F44" s="32" t="s">
        <v>288</v>
      </c>
      <c r="G44" s="32" t="s">
        <v>58</v>
      </c>
      <c r="H44" s="32" t="s">
        <v>95</v>
      </c>
      <c r="I44" s="32" t="s">
        <v>86</v>
      </c>
      <c r="J44" s="32" t="s">
        <v>9</v>
      </c>
      <c r="K44" s="39">
        <f t="shared" si="3"/>
        <v>1</v>
      </c>
    </row>
    <row r="45" spans="1:11" ht="15" customHeight="1" x14ac:dyDescent="0.2">
      <c r="A45" s="35" t="str">
        <f t="shared" si="2"/>
        <v>Equity|NETBAY|Asia Plus Securities</v>
      </c>
      <c r="B45" s="32" t="s">
        <v>57</v>
      </c>
      <c r="C45" s="32" t="s">
        <v>180</v>
      </c>
      <c r="D45" s="32" t="s">
        <v>172</v>
      </c>
      <c r="E45" s="32" t="s">
        <v>57</v>
      </c>
      <c r="F45" s="32" t="s">
        <v>288</v>
      </c>
      <c r="G45" s="32" t="s">
        <v>58</v>
      </c>
      <c r="H45" s="32" t="s">
        <v>95</v>
      </c>
      <c r="I45" s="32" t="s">
        <v>86</v>
      </c>
      <c r="J45" s="32" t="s">
        <v>9</v>
      </c>
      <c r="K45" s="39">
        <f t="shared" si="3"/>
        <v>1</v>
      </c>
    </row>
    <row r="46" spans="1:11" ht="15" customHeight="1" x14ac:dyDescent="0.2">
      <c r="A46" s="35" t="str">
        <f t="shared" si="2"/>
        <v>Equity|OSP|Asia Plus Securities</v>
      </c>
      <c r="B46" s="32" t="s">
        <v>57</v>
      </c>
      <c r="C46" s="32" t="s">
        <v>181</v>
      </c>
      <c r="D46" s="32" t="s">
        <v>172</v>
      </c>
      <c r="E46" s="32" t="s">
        <v>57</v>
      </c>
      <c r="F46" s="32" t="s">
        <v>288</v>
      </c>
      <c r="G46" s="32" t="s">
        <v>58</v>
      </c>
      <c r="H46" s="32" t="s">
        <v>95</v>
      </c>
      <c r="I46" s="32" t="s">
        <v>86</v>
      </c>
      <c r="J46" s="32" t="s">
        <v>9</v>
      </c>
      <c r="K46" s="39">
        <f t="shared" si="3"/>
        <v>1</v>
      </c>
    </row>
    <row r="47" spans="1:11" ht="15" customHeight="1" x14ac:dyDescent="0.2">
      <c r="A47" s="35" t="str">
        <f t="shared" si="2"/>
        <v>Equity|RJH|Asia Plus Securities</v>
      </c>
      <c r="B47" s="32" t="s">
        <v>57</v>
      </c>
      <c r="C47" s="32" t="s">
        <v>182</v>
      </c>
      <c r="D47" s="32" t="s">
        <v>172</v>
      </c>
      <c r="E47" s="32" t="s">
        <v>57</v>
      </c>
      <c r="F47" s="32" t="s">
        <v>288</v>
      </c>
      <c r="G47" s="32" t="s">
        <v>58</v>
      </c>
      <c r="H47" s="32" t="s">
        <v>95</v>
      </c>
      <c r="I47" s="32" t="s">
        <v>86</v>
      </c>
      <c r="J47" s="32" t="s">
        <v>9</v>
      </c>
      <c r="K47" s="39">
        <f t="shared" si="3"/>
        <v>1</v>
      </c>
    </row>
    <row r="48" spans="1:11" ht="15" customHeight="1" x14ac:dyDescent="0.2">
      <c r="A48" s="35" t="str">
        <f t="shared" si="2"/>
        <v>Equity|SAMART|Asia Plus Securities</v>
      </c>
      <c r="B48" s="32" t="s">
        <v>57</v>
      </c>
      <c r="C48" s="32" t="s">
        <v>183</v>
      </c>
      <c r="D48" s="32" t="s">
        <v>172</v>
      </c>
      <c r="E48" s="32" t="s">
        <v>57</v>
      </c>
      <c r="F48" s="32" t="s">
        <v>288</v>
      </c>
      <c r="G48" s="32" t="s">
        <v>58</v>
      </c>
      <c r="H48" s="32" t="s">
        <v>95</v>
      </c>
      <c r="I48" s="32" t="s">
        <v>86</v>
      </c>
      <c r="J48" s="32" t="s">
        <v>9</v>
      </c>
      <c r="K48" s="39">
        <f t="shared" si="3"/>
        <v>1</v>
      </c>
    </row>
    <row r="49" spans="1:11" ht="15" customHeight="1" x14ac:dyDescent="0.2">
      <c r="A49" s="35" t="str">
        <f t="shared" si="2"/>
        <v>Equity|SAWAD|Asia Plus Securities</v>
      </c>
      <c r="B49" s="32" t="s">
        <v>57</v>
      </c>
      <c r="C49" s="32" t="s">
        <v>184</v>
      </c>
      <c r="D49" s="32" t="s">
        <v>172</v>
      </c>
      <c r="E49" s="32" t="s">
        <v>57</v>
      </c>
      <c r="F49" s="32" t="s">
        <v>288</v>
      </c>
      <c r="G49" s="32" t="s">
        <v>58</v>
      </c>
      <c r="H49" s="32" t="s">
        <v>95</v>
      </c>
      <c r="I49" s="32" t="s">
        <v>86</v>
      </c>
      <c r="J49" s="32" t="s">
        <v>9</v>
      </c>
      <c r="K49" s="39">
        <f t="shared" si="3"/>
        <v>1</v>
      </c>
    </row>
    <row r="50" spans="1:11" ht="15" customHeight="1" x14ac:dyDescent="0.2">
      <c r="A50" s="35" t="str">
        <f t="shared" si="2"/>
        <v>Equity|WORK|Asia Plus Securities</v>
      </c>
      <c r="B50" s="32" t="s">
        <v>57</v>
      </c>
      <c r="C50" s="32" t="s">
        <v>185</v>
      </c>
      <c r="D50" s="32" t="s">
        <v>172</v>
      </c>
      <c r="E50" s="32" t="s">
        <v>57</v>
      </c>
      <c r="F50" s="32" t="s">
        <v>288</v>
      </c>
      <c r="G50" s="32" t="s">
        <v>58</v>
      </c>
      <c r="H50" s="32" t="s">
        <v>95</v>
      </c>
      <c r="I50" s="32" t="s">
        <v>86</v>
      </c>
      <c r="J50" s="32" t="s">
        <v>9</v>
      </c>
      <c r="K50" s="39">
        <f t="shared" si="3"/>
        <v>1</v>
      </c>
    </row>
    <row r="51" spans="1:11" ht="15" customHeight="1" x14ac:dyDescent="0.2">
      <c r="A51" s="35" t="str">
        <f t="shared" si="2"/>
        <v>Equity|Cash|Asia Plus Securities</v>
      </c>
      <c r="B51" s="32" t="s">
        <v>57</v>
      </c>
      <c r="C51" s="32" t="s">
        <v>268</v>
      </c>
      <c r="D51" s="32" t="s">
        <v>172</v>
      </c>
      <c r="E51" s="32" t="s">
        <v>65</v>
      </c>
      <c r="F51" s="32" t="s">
        <v>268</v>
      </c>
      <c r="G51" s="32" t="s">
        <v>58</v>
      </c>
      <c r="H51" s="32" t="s">
        <v>101</v>
      </c>
      <c r="I51" s="32" t="s">
        <v>86</v>
      </c>
      <c r="J51" s="32" t="s">
        <v>9</v>
      </c>
      <c r="K51" s="39">
        <f t="shared" si="3"/>
        <v>1</v>
      </c>
    </row>
    <row r="52" spans="1:11" ht="15" customHeight="1" x14ac:dyDescent="0.2">
      <c r="A52" s="35" t="str">
        <f t="shared" si="2"/>
        <v>Equity|NCAP|DBS Vickers</v>
      </c>
      <c r="B52" s="32" t="s">
        <v>57</v>
      </c>
      <c r="C52" s="32" t="s">
        <v>188</v>
      </c>
      <c r="D52" s="32" t="s">
        <v>187</v>
      </c>
      <c r="E52" s="32" t="s">
        <v>57</v>
      </c>
      <c r="F52" s="32" t="s">
        <v>288</v>
      </c>
      <c r="G52" s="32" t="s">
        <v>58</v>
      </c>
      <c r="H52" s="32" t="s">
        <v>95</v>
      </c>
      <c r="I52" s="32" t="s">
        <v>86</v>
      </c>
      <c r="J52" s="32" t="s">
        <v>9</v>
      </c>
      <c r="K52" s="39">
        <f t="shared" si="3"/>
        <v>1</v>
      </c>
    </row>
    <row r="53" spans="1:11" ht="15" customHeight="1" x14ac:dyDescent="0.2">
      <c r="A53" s="35" t="str">
        <f t="shared" si="2"/>
        <v>Equity|OR|DBS Vickers</v>
      </c>
      <c r="B53" s="32" t="s">
        <v>57</v>
      </c>
      <c r="C53" s="32" t="s">
        <v>189</v>
      </c>
      <c r="D53" s="32" t="s">
        <v>187</v>
      </c>
      <c r="E53" s="32" t="s">
        <v>57</v>
      </c>
      <c r="F53" s="32" t="s">
        <v>288</v>
      </c>
      <c r="G53" s="32" t="s">
        <v>58</v>
      </c>
      <c r="H53" s="32" t="s">
        <v>95</v>
      </c>
      <c r="I53" s="32" t="s">
        <v>86</v>
      </c>
      <c r="J53" s="32" t="s">
        <v>9</v>
      </c>
      <c r="K53" s="39">
        <f t="shared" si="3"/>
        <v>1</v>
      </c>
    </row>
    <row r="54" spans="1:11" ht="15" customHeight="1" x14ac:dyDescent="0.2">
      <c r="A54" s="35" t="str">
        <f t="shared" si="2"/>
        <v>Equity|TIDLOR|DBS Vickers</v>
      </c>
      <c r="B54" s="32" t="s">
        <v>57</v>
      </c>
      <c r="C54" s="32" t="s">
        <v>190</v>
      </c>
      <c r="D54" s="32" t="s">
        <v>187</v>
      </c>
      <c r="E54" s="32" t="s">
        <v>57</v>
      </c>
      <c r="F54" s="32" t="s">
        <v>288</v>
      </c>
      <c r="G54" s="32" t="s">
        <v>58</v>
      </c>
      <c r="H54" s="32" t="s">
        <v>95</v>
      </c>
      <c r="I54" s="32" t="s">
        <v>86</v>
      </c>
      <c r="J54" s="32" t="s">
        <v>9</v>
      </c>
      <c r="K54" s="39">
        <f t="shared" si="3"/>
        <v>1</v>
      </c>
    </row>
    <row r="55" spans="1:11" ht="15" customHeight="1" x14ac:dyDescent="0.2">
      <c r="A55" s="35" t="str">
        <f t="shared" si="2"/>
        <v>Equity|HUMAN|DBS Vickers</v>
      </c>
      <c r="B55" s="32" t="s">
        <v>57</v>
      </c>
      <c r="C55" s="32" t="s">
        <v>186</v>
      </c>
      <c r="D55" s="32" t="s">
        <v>187</v>
      </c>
      <c r="E55" s="32" t="s">
        <v>57</v>
      </c>
      <c r="F55" s="32" t="s">
        <v>288</v>
      </c>
      <c r="G55" s="32" t="s">
        <v>58</v>
      </c>
      <c r="H55" s="32" t="s">
        <v>95</v>
      </c>
      <c r="I55" s="32" t="s">
        <v>86</v>
      </c>
      <c r="J55" s="32" t="s">
        <v>9</v>
      </c>
      <c r="K55" s="39">
        <f t="shared" si="3"/>
        <v>1</v>
      </c>
    </row>
    <row r="56" spans="1:11" ht="15" customHeight="1" x14ac:dyDescent="0.2">
      <c r="A56" s="35" t="str">
        <f t="shared" si="2"/>
        <v>Equity|Cash|DBS Vickers</v>
      </c>
      <c r="B56" s="32" t="s">
        <v>57</v>
      </c>
      <c r="C56" s="32" t="s">
        <v>268</v>
      </c>
      <c r="D56" s="32" t="s">
        <v>187</v>
      </c>
      <c r="E56" s="32" t="s">
        <v>65</v>
      </c>
      <c r="F56" s="32" t="s">
        <v>268</v>
      </c>
      <c r="G56" s="32" t="s">
        <v>58</v>
      </c>
      <c r="H56" s="32" t="s">
        <v>101</v>
      </c>
      <c r="I56" s="32" t="s">
        <v>86</v>
      </c>
      <c r="J56" s="32" t="s">
        <v>9</v>
      </c>
      <c r="K56" s="39">
        <f t="shared" si="3"/>
        <v>1</v>
      </c>
    </row>
    <row r="57" spans="1:11" ht="15" customHeight="1" x14ac:dyDescent="0.2">
      <c r="A57" s="35" t="str">
        <f t="shared" si="2"/>
        <v>Equity|ACLS|Dime</v>
      </c>
      <c r="B57" s="32" t="s">
        <v>57</v>
      </c>
      <c r="C57" s="32" t="s">
        <v>191</v>
      </c>
      <c r="D57" s="32" t="s">
        <v>192</v>
      </c>
      <c r="E57" s="32" t="s">
        <v>57</v>
      </c>
      <c r="F57" s="32" t="s">
        <v>288</v>
      </c>
      <c r="G57" s="32" t="s">
        <v>60</v>
      </c>
      <c r="H57" s="32" t="s">
        <v>99</v>
      </c>
      <c r="I57" s="32" t="s">
        <v>86</v>
      </c>
      <c r="J57" s="32" t="s">
        <v>193</v>
      </c>
      <c r="K57" s="39">
        <f t="shared" si="3"/>
        <v>32.43</v>
      </c>
    </row>
    <row r="58" spans="1:11" ht="15" customHeight="1" x14ac:dyDescent="0.2">
      <c r="A58" s="35" t="str">
        <f t="shared" si="2"/>
        <v>Equity|ADBE|Dime</v>
      </c>
      <c r="B58" s="32" t="s">
        <v>57</v>
      </c>
      <c r="C58" s="32" t="s">
        <v>194</v>
      </c>
      <c r="D58" s="32" t="s">
        <v>192</v>
      </c>
      <c r="E58" s="32" t="s">
        <v>57</v>
      </c>
      <c r="F58" s="32" t="s">
        <v>288</v>
      </c>
      <c r="G58" s="32" t="s">
        <v>60</v>
      </c>
      <c r="H58" s="32" t="s">
        <v>99</v>
      </c>
      <c r="I58" s="32" t="s">
        <v>86</v>
      </c>
      <c r="J58" s="32" t="s">
        <v>193</v>
      </c>
      <c r="K58" s="39">
        <f t="shared" si="3"/>
        <v>32.43</v>
      </c>
    </row>
    <row r="59" spans="1:11" ht="15" customHeight="1" x14ac:dyDescent="0.2">
      <c r="A59" s="35" t="str">
        <f t="shared" si="2"/>
        <v>Equity|AMAT|Dime</v>
      </c>
      <c r="B59" s="32" t="s">
        <v>57</v>
      </c>
      <c r="C59" s="32" t="s">
        <v>195</v>
      </c>
      <c r="D59" s="32" t="s">
        <v>192</v>
      </c>
      <c r="E59" s="32" t="s">
        <v>57</v>
      </c>
      <c r="F59" s="32" t="s">
        <v>288</v>
      </c>
      <c r="G59" s="32" t="s">
        <v>60</v>
      </c>
      <c r="H59" s="32" t="s">
        <v>99</v>
      </c>
      <c r="I59" s="32" t="s">
        <v>86</v>
      </c>
      <c r="J59" s="32" t="s">
        <v>193</v>
      </c>
      <c r="K59" s="39">
        <f t="shared" si="3"/>
        <v>32.43</v>
      </c>
    </row>
    <row r="60" spans="1:11" ht="15" customHeight="1" x14ac:dyDescent="0.2">
      <c r="A60" s="35" t="str">
        <f t="shared" si="2"/>
        <v>Equity|CRUS|Dime</v>
      </c>
      <c r="B60" s="32" t="s">
        <v>57</v>
      </c>
      <c r="C60" s="32" t="s">
        <v>196</v>
      </c>
      <c r="D60" s="32" t="s">
        <v>192</v>
      </c>
      <c r="E60" s="32" t="s">
        <v>57</v>
      </c>
      <c r="F60" s="32" t="s">
        <v>288</v>
      </c>
      <c r="G60" s="32" t="s">
        <v>60</v>
      </c>
      <c r="H60" s="32" t="s">
        <v>99</v>
      </c>
      <c r="I60" s="32" t="s">
        <v>86</v>
      </c>
      <c r="J60" s="32" t="s">
        <v>193</v>
      </c>
      <c r="K60" s="39">
        <f t="shared" si="3"/>
        <v>32.43</v>
      </c>
    </row>
    <row r="61" spans="1:11" ht="15" customHeight="1" x14ac:dyDescent="0.2">
      <c r="A61" s="35" t="str">
        <f t="shared" si="2"/>
        <v>Equity|ENPH|Dime</v>
      </c>
      <c r="B61" s="32" t="s">
        <v>57</v>
      </c>
      <c r="C61" s="32" t="s">
        <v>197</v>
      </c>
      <c r="D61" s="32" t="s">
        <v>192</v>
      </c>
      <c r="E61" s="32" t="s">
        <v>57</v>
      </c>
      <c r="F61" s="32" t="s">
        <v>288</v>
      </c>
      <c r="G61" s="32" t="s">
        <v>60</v>
      </c>
      <c r="H61" s="32" t="s">
        <v>99</v>
      </c>
      <c r="I61" s="32" t="s">
        <v>86</v>
      </c>
      <c r="J61" s="32" t="s">
        <v>193</v>
      </c>
      <c r="K61" s="39">
        <f t="shared" si="3"/>
        <v>32.43</v>
      </c>
    </row>
    <row r="62" spans="1:11" ht="15" customHeight="1" x14ac:dyDescent="0.2">
      <c r="A62" s="35" t="str">
        <f t="shared" si="2"/>
        <v>Equity|FTNT|Dime</v>
      </c>
      <c r="B62" s="32" t="s">
        <v>57</v>
      </c>
      <c r="C62" s="32" t="s">
        <v>199</v>
      </c>
      <c r="D62" s="32" t="s">
        <v>192</v>
      </c>
      <c r="E62" s="32" t="s">
        <v>57</v>
      </c>
      <c r="F62" s="32" t="s">
        <v>288</v>
      </c>
      <c r="G62" s="32" t="s">
        <v>60</v>
      </c>
      <c r="H62" s="32" t="s">
        <v>99</v>
      </c>
      <c r="I62" s="32" t="s">
        <v>86</v>
      </c>
      <c r="J62" s="32" t="s">
        <v>193</v>
      </c>
      <c r="K62" s="39">
        <f t="shared" si="3"/>
        <v>32.43</v>
      </c>
    </row>
    <row r="63" spans="1:11" ht="15" customHeight="1" x14ac:dyDescent="0.2">
      <c r="A63" s="35" t="str">
        <f t="shared" si="2"/>
        <v>Equity|IT|Dime</v>
      </c>
      <c r="B63" s="32" t="s">
        <v>57</v>
      </c>
      <c r="C63" s="32" t="s">
        <v>200</v>
      </c>
      <c r="D63" s="32" t="s">
        <v>192</v>
      </c>
      <c r="E63" s="32" t="s">
        <v>57</v>
      </c>
      <c r="F63" s="32" t="s">
        <v>288</v>
      </c>
      <c r="G63" s="32" t="s">
        <v>60</v>
      </c>
      <c r="H63" s="32" t="s">
        <v>99</v>
      </c>
      <c r="I63" s="32" t="s">
        <v>86</v>
      </c>
      <c r="J63" s="32" t="s">
        <v>193</v>
      </c>
      <c r="K63" s="39">
        <f t="shared" si="3"/>
        <v>32.43</v>
      </c>
    </row>
    <row r="64" spans="1:11" ht="15" customHeight="1" x14ac:dyDescent="0.2">
      <c r="A64" s="35" t="str">
        <f t="shared" si="2"/>
        <v>Equity|KLAC|Dime</v>
      </c>
      <c r="B64" s="32" t="s">
        <v>57</v>
      </c>
      <c r="C64" s="32" t="s">
        <v>201</v>
      </c>
      <c r="D64" s="32" t="s">
        <v>192</v>
      </c>
      <c r="E64" s="32" t="s">
        <v>57</v>
      </c>
      <c r="F64" s="32" t="s">
        <v>288</v>
      </c>
      <c r="G64" s="32" t="s">
        <v>60</v>
      </c>
      <c r="H64" s="32" t="s">
        <v>99</v>
      </c>
      <c r="I64" s="32" t="s">
        <v>86</v>
      </c>
      <c r="J64" s="32" t="s">
        <v>193</v>
      </c>
      <c r="K64" s="39">
        <f t="shared" si="3"/>
        <v>32.43</v>
      </c>
    </row>
    <row r="65" spans="1:11" ht="15" customHeight="1" x14ac:dyDescent="0.2">
      <c r="A65" s="35" t="str">
        <f t="shared" si="2"/>
        <v>Equity|LLY|Dime</v>
      </c>
      <c r="B65" s="32" t="s">
        <v>57</v>
      </c>
      <c r="C65" s="32" t="s">
        <v>202</v>
      </c>
      <c r="D65" s="32" t="s">
        <v>192</v>
      </c>
      <c r="E65" s="32" t="s">
        <v>57</v>
      </c>
      <c r="F65" s="32" t="s">
        <v>288</v>
      </c>
      <c r="G65" s="32" t="s">
        <v>60</v>
      </c>
      <c r="H65" s="32" t="s">
        <v>99</v>
      </c>
      <c r="I65" s="32" t="s">
        <v>86</v>
      </c>
      <c r="J65" s="32" t="s">
        <v>193</v>
      </c>
      <c r="K65" s="39">
        <f t="shared" si="3"/>
        <v>32.43</v>
      </c>
    </row>
    <row r="66" spans="1:11" ht="15" customHeight="1" x14ac:dyDescent="0.2">
      <c r="A66" s="35" t="str">
        <f t="shared" si="2"/>
        <v>Equity|MCHP|Dime</v>
      </c>
      <c r="B66" s="32" t="s">
        <v>57</v>
      </c>
      <c r="C66" s="32" t="s">
        <v>203</v>
      </c>
      <c r="D66" s="32" t="s">
        <v>192</v>
      </c>
      <c r="E66" s="32" t="s">
        <v>57</v>
      </c>
      <c r="F66" s="32" t="s">
        <v>288</v>
      </c>
      <c r="G66" s="32" t="s">
        <v>60</v>
      </c>
      <c r="H66" s="32" t="s">
        <v>99</v>
      </c>
      <c r="I66" s="32" t="s">
        <v>86</v>
      </c>
      <c r="J66" s="32" t="s">
        <v>193</v>
      </c>
      <c r="K66" s="39">
        <f t="shared" si="3"/>
        <v>32.43</v>
      </c>
    </row>
    <row r="67" spans="1:11" ht="15" customHeight="1" x14ac:dyDescent="0.2">
      <c r="A67" s="35" t="str">
        <f t="shared" si="2"/>
        <v>Equity|MPWR|Dime</v>
      </c>
      <c r="B67" s="32" t="s">
        <v>57</v>
      </c>
      <c r="C67" s="32" t="s">
        <v>204</v>
      </c>
      <c r="D67" s="32" t="s">
        <v>192</v>
      </c>
      <c r="E67" s="32" t="s">
        <v>57</v>
      </c>
      <c r="F67" s="32" t="s">
        <v>288</v>
      </c>
      <c r="G67" s="32" t="s">
        <v>60</v>
      </c>
      <c r="H67" s="32" t="s">
        <v>99</v>
      </c>
      <c r="I67" s="32" t="s">
        <v>86</v>
      </c>
      <c r="J67" s="32" t="s">
        <v>193</v>
      </c>
      <c r="K67" s="39">
        <f t="shared" si="3"/>
        <v>32.43</v>
      </c>
    </row>
    <row r="68" spans="1:11" ht="15" customHeight="1" x14ac:dyDescent="0.2">
      <c r="A68" s="35" t="str">
        <f t="shared" si="2"/>
        <v>Equity|NSIT|Dime</v>
      </c>
      <c r="B68" s="32" t="s">
        <v>57</v>
      </c>
      <c r="C68" s="32" t="s">
        <v>205</v>
      </c>
      <c r="D68" s="32" t="s">
        <v>192</v>
      </c>
      <c r="E68" s="32" t="s">
        <v>57</v>
      </c>
      <c r="F68" s="32" t="s">
        <v>288</v>
      </c>
      <c r="G68" s="32" t="s">
        <v>60</v>
      </c>
      <c r="H68" s="32" t="s">
        <v>99</v>
      </c>
      <c r="I68" s="32" t="s">
        <v>86</v>
      </c>
      <c r="J68" s="32" t="s">
        <v>193</v>
      </c>
      <c r="K68" s="39">
        <f t="shared" si="3"/>
        <v>32.43</v>
      </c>
    </row>
    <row r="69" spans="1:11" ht="15" customHeight="1" x14ac:dyDescent="0.2">
      <c r="A69" s="35" t="str">
        <f t="shared" ref="A69:A100" si="4">B69&amp;"|"&amp;C69&amp;"|"&amp;D69</f>
        <v>Equity|NVDA|Dime</v>
      </c>
      <c r="B69" s="32" t="s">
        <v>57</v>
      </c>
      <c r="C69" s="32" t="s">
        <v>206</v>
      </c>
      <c r="D69" s="32" t="s">
        <v>192</v>
      </c>
      <c r="E69" s="32" t="s">
        <v>57</v>
      </c>
      <c r="F69" s="32" t="s">
        <v>288</v>
      </c>
      <c r="G69" s="32" t="s">
        <v>60</v>
      </c>
      <c r="H69" s="32" t="s">
        <v>99</v>
      </c>
      <c r="I69" s="32" t="s">
        <v>86</v>
      </c>
      <c r="J69" s="32" t="s">
        <v>193</v>
      </c>
      <c r="K69" s="39">
        <f t="shared" ref="K69:K100" si="5">IF(J69="THB",1,FXRate)</f>
        <v>32.43</v>
      </c>
    </row>
    <row r="70" spans="1:11" ht="15" customHeight="1" x14ac:dyDescent="0.2">
      <c r="A70" s="35" t="str">
        <f t="shared" si="4"/>
        <v>Equity|OLED|Dime</v>
      </c>
      <c r="B70" s="32" t="s">
        <v>57</v>
      </c>
      <c r="C70" s="32" t="s">
        <v>207</v>
      </c>
      <c r="D70" s="32" t="s">
        <v>192</v>
      </c>
      <c r="E70" s="32" t="s">
        <v>57</v>
      </c>
      <c r="F70" s="32" t="s">
        <v>288</v>
      </c>
      <c r="G70" s="32" t="s">
        <v>60</v>
      </c>
      <c r="H70" s="32" t="s">
        <v>99</v>
      </c>
      <c r="I70" s="32" t="s">
        <v>86</v>
      </c>
      <c r="J70" s="32" t="s">
        <v>193</v>
      </c>
      <c r="K70" s="39">
        <f t="shared" si="5"/>
        <v>32.43</v>
      </c>
    </row>
    <row r="71" spans="1:11" ht="15" customHeight="1" x14ac:dyDescent="0.2">
      <c r="A71" s="35" t="str">
        <f t="shared" si="4"/>
        <v>Equity|QRVO|Dime</v>
      </c>
      <c r="B71" s="32" t="s">
        <v>57</v>
      </c>
      <c r="C71" s="32" t="s">
        <v>208</v>
      </c>
      <c r="D71" s="32" t="s">
        <v>192</v>
      </c>
      <c r="E71" s="32" t="s">
        <v>57</v>
      </c>
      <c r="F71" s="32" t="s">
        <v>288</v>
      </c>
      <c r="G71" s="32" t="s">
        <v>60</v>
      </c>
      <c r="H71" s="32" t="s">
        <v>99</v>
      </c>
      <c r="I71" s="32" t="s">
        <v>86</v>
      </c>
      <c r="J71" s="32" t="s">
        <v>193</v>
      </c>
      <c r="K71" s="39">
        <f t="shared" si="5"/>
        <v>32.43</v>
      </c>
    </row>
    <row r="72" spans="1:11" ht="15" customHeight="1" x14ac:dyDescent="0.2">
      <c r="A72" s="35" t="str">
        <f t="shared" si="4"/>
        <v>Equity|TER|Dime</v>
      </c>
      <c r="B72" s="32" t="s">
        <v>57</v>
      </c>
      <c r="C72" s="32" t="s">
        <v>209</v>
      </c>
      <c r="D72" s="32" t="s">
        <v>192</v>
      </c>
      <c r="E72" s="32" t="s">
        <v>57</v>
      </c>
      <c r="F72" s="32" t="s">
        <v>288</v>
      </c>
      <c r="G72" s="32" t="s">
        <v>60</v>
      </c>
      <c r="H72" s="32" t="s">
        <v>99</v>
      </c>
      <c r="I72" s="32" t="s">
        <v>86</v>
      </c>
      <c r="J72" s="32" t="s">
        <v>193</v>
      </c>
      <c r="K72" s="39">
        <f t="shared" si="5"/>
        <v>32.43</v>
      </c>
    </row>
    <row r="73" spans="1:11" ht="15" customHeight="1" x14ac:dyDescent="0.2">
      <c r="A73" s="35" t="str">
        <f t="shared" si="4"/>
        <v>Equity|TSLA|Dime</v>
      </c>
      <c r="B73" s="32" t="s">
        <v>57</v>
      </c>
      <c r="C73" s="32" t="s">
        <v>210</v>
      </c>
      <c r="D73" s="32" t="s">
        <v>192</v>
      </c>
      <c r="E73" s="32" t="s">
        <v>57</v>
      </c>
      <c r="F73" s="32" t="s">
        <v>288</v>
      </c>
      <c r="G73" s="32" t="s">
        <v>60</v>
      </c>
      <c r="H73" s="32" t="s">
        <v>99</v>
      </c>
      <c r="I73" s="32" t="s">
        <v>86</v>
      </c>
      <c r="J73" s="32" t="s">
        <v>193</v>
      </c>
      <c r="K73" s="39">
        <f t="shared" si="5"/>
        <v>32.43</v>
      </c>
    </row>
    <row r="74" spans="1:11" ht="15" customHeight="1" x14ac:dyDescent="0.2">
      <c r="A74" s="35" t="str">
        <f t="shared" si="4"/>
        <v>Equity|YOU|Dime</v>
      </c>
      <c r="B74" s="32" t="s">
        <v>57</v>
      </c>
      <c r="C74" s="32" t="s">
        <v>211</v>
      </c>
      <c r="D74" s="32" t="s">
        <v>192</v>
      </c>
      <c r="E74" s="32" t="s">
        <v>57</v>
      </c>
      <c r="F74" s="32" t="s">
        <v>288</v>
      </c>
      <c r="G74" s="32" t="s">
        <v>60</v>
      </c>
      <c r="H74" s="32" t="s">
        <v>99</v>
      </c>
      <c r="I74" s="32" t="s">
        <v>86</v>
      </c>
      <c r="J74" s="32" t="s">
        <v>193</v>
      </c>
      <c r="K74" s="39">
        <f t="shared" si="5"/>
        <v>32.43</v>
      </c>
    </row>
    <row r="75" spans="1:11" ht="15" customHeight="1" x14ac:dyDescent="0.2">
      <c r="A75" s="35" t="str">
        <f t="shared" si="4"/>
        <v>Equity|EWY|Dime</v>
      </c>
      <c r="B75" s="32" t="s">
        <v>57</v>
      </c>
      <c r="C75" s="32" t="s">
        <v>198</v>
      </c>
      <c r="D75" s="32" t="s">
        <v>192</v>
      </c>
      <c r="E75" s="32" t="s">
        <v>57</v>
      </c>
      <c r="F75" s="32" t="s">
        <v>289</v>
      </c>
      <c r="G75" s="32" t="s">
        <v>64</v>
      </c>
      <c r="H75" s="32" t="s">
        <v>90</v>
      </c>
      <c r="I75" s="32" t="s">
        <v>86</v>
      </c>
      <c r="J75" s="32" t="s">
        <v>193</v>
      </c>
      <c r="K75" s="39">
        <f t="shared" si="5"/>
        <v>32.43</v>
      </c>
    </row>
    <row r="76" spans="1:11" ht="15" customHeight="1" x14ac:dyDescent="0.2">
      <c r="A76" s="35" t="str">
        <f t="shared" si="4"/>
        <v>Equity|Cash|Dime</v>
      </c>
      <c r="B76" s="32" t="s">
        <v>57</v>
      </c>
      <c r="C76" s="32" t="s">
        <v>268</v>
      </c>
      <c r="D76" s="32" t="s">
        <v>192</v>
      </c>
      <c r="E76" s="32" t="s">
        <v>65</v>
      </c>
      <c r="F76" s="32" t="s">
        <v>268</v>
      </c>
      <c r="G76" s="32" t="s">
        <v>60</v>
      </c>
      <c r="H76" s="32" t="s">
        <v>101</v>
      </c>
      <c r="I76" s="32" t="s">
        <v>86</v>
      </c>
      <c r="J76" s="32" t="s">
        <v>193</v>
      </c>
      <c r="K76" s="39">
        <f t="shared" si="5"/>
        <v>32.43</v>
      </c>
    </row>
    <row r="77" spans="1:11" ht="15" customHeight="1" x14ac:dyDescent="0.2">
      <c r="A77" s="35" t="str">
        <f t="shared" si="4"/>
        <v>Equity|REMX|SCB SG</v>
      </c>
      <c r="B77" s="32" t="s">
        <v>57</v>
      </c>
      <c r="C77" s="32" t="s">
        <v>212</v>
      </c>
      <c r="D77" s="32" t="s">
        <v>213</v>
      </c>
      <c r="E77" s="32" t="s">
        <v>57</v>
      </c>
      <c r="F77" s="32" t="s">
        <v>289</v>
      </c>
      <c r="G77" s="32" t="s">
        <v>60</v>
      </c>
      <c r="H77" s="32" t="s">
        <v>290</v>
      </c>
      <c r="I77" s="32" t="s">
        <v>86</v>
      </c>
      <c r="J77" s="32" t="s">
        <v>193</v>
      </c>
      <c r="K77" s="39">
        <f t="shared" si="5"/>
        <v>32.43</v>
      </c>
    </row>
    <row r="78" spans="1:11" ht="15" customHeight="1" x14ac:dyDescent="0.2">
      <c r="A78" s="35" t="str">
        <f t="shared" si="4"/>
        <v>Equity|AAPL|SCB SG</v>
      </c>
      <c r="B78" s="32" t="s">
        <v>57</v>
      </c>
      <c r="C78" s="32" t="s">
        <v>214</v>
      </c>
      <c r="D78" s="32" t="s">
        <v>213</v>
      </c>
      <c r="E78" s="32" t="s">
        <v>57</v>
      </c>
      <c r="F78" s="32" t="s">
        <v>288</v>
      </c>
      <c r="G78" s="32" t="s">
        <v>60</v>
      </c>
      <c r="H78" s="32" t="s">
        <v>99</v>
      </c>
      <c r="I78" s="32" t="s">
        <v>86</v>
      </c>
      <c r="J78" s="32" t="s">
        <v>193</v>
      </c>
      <c r="K78" s="39">
        <f t="shared" si="5"/>
        <v>32.43</v>
      </c>
    </row>
    <row r="79" spans="1:11" ht="15" customHeight="1" x14ac:dyDescent="0.2">
      <c r="A79" s="35" t="str">
        <f t="shared" si="4"/>
        <v>Equity|COIN|SCB SG</v>
      </c>
      <c r="B79" s="32" t="s">
        <v>57</v>
      </c>
      <c r="C79" s="32" t="s">
        <v>215</v>
      </c>
      <c r="D79" s="32" t="s">
        <v>213</v>
      </c>
      <c r="E79" s="32" t="s">
        <v>57</v>
      </c>
      <c r="F79" s="32" t="s">
        <v>288</v>
      </c>
      <c r="G79" s="32" t="s">
        <v>60</v>
      </c>
      <c r="H79" s="32" t="s">
        <v>99</v>
      </c>
      <c r="I79" s="32" t="s">
        <v>86</v>
      </c>
      <c r="J79" s="32" t="s">
        <v>193</v>
      </c>
      <c r="K79" s="39">
        <f t="shared" si="5"/>
        <v>32.43</v>
      </c>
    </row>
    <row r="80" spans="1:11" ht="15" customHeight="1" x14ac:dyDescent="0.2">
      <c r="A80" s="35" t="str">
        <f t="shared" si="4"/>
        <v>Equity|META|SCB SG</v>
      </c>
      <c r="B80" s="32" t="s">
        <v>57</v>
      </c>
      <c r="C80" s="32" t="s">
        <v>216</v>
      </c>
      <c r="D80" s="32" t="s">
        <v>213</v>
      </c>
      <c r="E80" s="32" t="s">
        <v>57</v>
      </c>
      <c r="F80" s="32" t="s">
        <v>288</v>
      </c>
      <c r="G80" s="32" t="s">
        <v>60</v>
      </c>
      <c r="H80" s="32" t="s">
        <v>99</v>
      </c>
      <c r="I80" s="32" t="s">
        <v>86</v>
      </c>
      <c r="J80" s="32" t="s">
        <v>193</v>
      </c>
      <c r="K80" s="39">
        <f t="shared" si="5"/>
        <v>32.43</v>
      </c>
    </row>
    <row r="81" spans="1:11" ht="15" customHeight="1" x14ac:dyDescent="0.2">
      <c r="A81" s="35" t="str">
        <f t="shared" si="4"/>
        <v>Equity|VCX|SCB SG</v>
      </c>
      <c r="B81" s="32" t="s">
        <v>57</v>
      </c>
      <c r="C81" s="32" t="s">
        <v>217</v>
      </c>
      <c r="D81" s="32" t="s">
        <v>213</v>
      </c>
      <c r="E81" s="32" t="s">
        <v>57</v>
      </c>
      <c r="F81" s="32" t="s">
        <v>288</v>
      </c>
      <c r="G81" s="32" t="s">
        <v>60</v>
      </c>
      <c r="H81" s="32" t="s">
        <v>99</v>
      </c>
      <c r="I81" s="32" t="s">
        <v>86</v>
      </c>
      <c r="J81" s="32" t="s">
        <v>193</v>
      </c>
      <c r="K81" s="39">
        <f t="shared" si="5"/>
        <v>32.43</v>
      </c>
    </row>
    <row r="82" spans="1:11" ht="15" customHeight="1" x14ac:dyDescent="0.2">
      <c r="A82" s="35" t="str">
        <f t="shared" si="4"/>
        <v>Equity|Cash|SCB SG</v>
      </c>
      <c r="B82" s="32" t="s">
        <v>57</v>
      </c>
      <c r="C82" s="32" t="s">
        <v>268</v>
      </c>
      <c r="D82" s="32" t="s">
        <v>213</v>
      </c>
      <c r="E82" s="32" t="s">
        <v>65</v>
      </c>
      <c r="F82" s="32" t="s">
        <v>268</v>
      </c>
      <c r="G82" s="32" t="s">
        <v>60</v>
      </c>
      <c r="H82" s="32" t="s">
        <v>101</v>
      </c>
      <c r="I82" s="32" t="s">
        <v>86</v>
      </c>
      <c r="J82" s="32" t="s">
        <v>193</v>
      </c>
      <c r="K82" s="39">
        <f t="shared" si="5"/>
        <v>32.43</v>
      </c>
    </row>
    <row r="83" spans="1:11" ht="15" customHeight="1" x14ac:dyDescent="0.2">
      <c r="A83" s="35" t="str">
        <f t="shared" si="4"/>
        <v>Crypto|BTC|OKX</v>
      </c>
      <c r="B83" s="32" t="s">
        <v>218</v>
      </c>
      <c r="C83" s="32" t="s">
        <v>222</v>
      </c>
      <c r="D83" s="32" t="s">
        <v>237</v>
      </c>
      <c r="E83" s="32" t="s">
        <v>67</v>
      </c>
      <c r="F83" s="32" t="s">
        <v>291</v>
      </c>
      <c r="G83" s="32" t="s">
        <v>62</v>
      </c>
      <c r="H83" s="32" t="s">
        <v>291</v>
      </c>
      <c r="I83" s="32" t="s">
        <v>86</v>
      </c>
      <c r="J83" s="32" t="s">
        <v>193</v>
      </c>
      <c r="K83" s="39">
        <f t="shared" si="5"/>
        <v>32.43</v>
      </c>
    </row>
    <row r="84" spans="1:11" ht="15" customHeight="1" x14ac:dyDescent="0.2">
      <c r="A84" s="35" t="str">
        <f t="shared" si="4"/>
        <v>Crypto|OKSOL|OKX</v>
      </c>
      <c r="B84" s="32" t="s">
        <v>218</v>
      </c>
      <c r="C84" s="32" t="s">
        <v>240</v>
      </c>
      <c r="D84" s="32" t="s">
        <v>237</v>
      </c>
      <c r="E84" s="32" t="s">
        <v>67</v>
      </c>
      <c r="F84" s="32" t="s">
        <v>292</v>
      </c>
      <c r="G84" s="32" t="s">
        <v>62</v>
      </c>
      <c r="H84" s="32" t="s">
        <v>292</v>
      </c>
      <c r="I84" s="32" t="s">
        <v>86</v>
      </c>
      <c r="J84" s="32" t="s">
        <v>193</v>
      </c>
      <c r="K84" s="39">
        <f t="shared" si="5"/>
        <v>32.43</v>
      </c>
    </row>
    <row r="85" spans="1:11" ht="15" customHeight="1" x14ac:dyDescent="0.2">
      <c r="A85" s="35" t="str">
        <f t="shared" si="4"/>
        <v>Crypto|PENGU|OKX</v>
      </c>
      <c r="B85" s="32" t="s">
        <v>218</v>
      </c>
      <c r="C85" s="32" t="s">
        <v>223</v>
      </c>
      <c r="D85" s="32" t="s">
        <v>237</v>
      </c>
      <c r="E85" s="32" t="s">
        <v>67</v>
      </c>
      <c r="F85" s="32" t="s">
        <v>292</v>
      </c>
      <c r="G85" s="32" t="s">
        <v>62</v>
      </c>
      <c r="H85" s="32" t="s">
        <v>292</v>
      </c>
      <c r="I85" s="32" t="s">
        <v>86</v>
      </c>
      <c r="J85" s="32" t="s">
        <v>193</v>
      </c>
      <c r="K85" s="39">
        <f t="shared" si="5"/>
        <v>32.43</v>
      </c>
    </row>
    <row r="86" spans="1:11" ht="15" customHeight="1" x14ac:dyDescent="0.2">
      <c r="A86" s="35" t="str">
        <f t="shared" si="4"/>
        <v>Crypto|COMP|OKX</v>
      </c>
      <c r="B86" s="32" t="s">
        <v>218</v>
      </c>
      <c r="C86" s="32" t="s">
        <v>238</v>
      </c>
      <c r="D86" s="32" t="s">
        <v>237</v>
      </c>
      <c r="E86" s="32" t="s">
        <v>67</v>
      </c>
      <c r="F86" s="32" t="s">
        <v>292</v>
      </c>
      <c r="G86" s="32" t="s">
        <v>62</v>
      </c>
      <c r="H86" s="32" t="s">
        <v>292</v>
      </c>
      <c r="I86" s="32" t="s">
        <v>86</v>
      </c>
      <c r="J86" s="32" t="s">
        <v>193</v>
      </c>
      <c r="K86" s="39">
        <f t="shared" si="5"/>
        <v>32.43</v>
      </c>
    </row>
    <row r="87" spans="1:11" ht="15" customHeight="1" x14ac:dyDescent="0.2">
      <c r="A87" s="35" t="str">
        <f t="shared" si="4"/>
        <v>Crypto|NIGHT|OKX</v>
      </c>
      <c r="B87" s="32" t="s">
        <v>218</v>
      </c>
      <c r="C87" s="32" t="s">
        <v>239</v>
      </c>
      <c r="D87" s="32" t="s">
        <v>237</v>
      </c>
      <c r="E87" s="32" t="s">
        <v>67</v>
      </c>
      <c r="F87" s="32" t="s">
        <v>292</v>
      </c>
      <c r="G87" s="32" t="s">
        <v>62</v>
      </c>
      <c r="H87" s="32" t="s">
        <v>292</v>
      </c>
      <c r="I87" s="32" t="s">
        <v>86</v>
      </c>
      <c r="J87" s="32" t="s">
        <v>193</v>
      </c>
      <c r="K87" s="39">
        <f t="shared" si="5"/>
        <v>32.43</v>
      </c>
    </row>
    <row r="88" spans="1:11" ht="15" customHeight="1" x14ac:dyDescent="0.2">
      <c r="A88" s="35" t="str">
        <f t="shared" si="4"/>
        <v>Crypto|SOL|OKX</v>
      </c>
      <c r="B88" s="32" t="s">
        <v>218</v>
      </c>
      <c r="C88" s="32" t="s">
        <v>225</v>
      </c>
      <c r="D88" s="32" t="s">
        <v>237</v>
      </c>
      <c r="E88" s="32" t="s">
        <v>67</v>
      </c>
      <c r="F88" s="32" t="s">
        <v>291</v>
      </c>
      <c r="G88" s="32" t="s">
        <v>62</v>
      </c>
      <c r="H88" s="32" t="s">
        <v>291</v>
      </c>
      <c r="I88" s="32" t="s">
        <v>86</v>
      </c>
      <c r="J88" s="32" t="s">
        <v>193</v>
      </c>
      <c r="K88" s="39">
        <f t="shared" si="5"/>
        <v>32.43</v>
      </c>
    </row>
    <row r="89" spans="1:11" ht="15" customHeight="1" x14ac:dyDescent="0.2">
      <c r="A89" s="35" t="str">
        <f t="shared" si="4"/>
        <v>Crypto|USDT|OKX</v>
      </c>
      <c r="B89" s="32" t="s">
        <v>218</v>
      </c>
      <c r="C89" s="32" t="s">
        <v>227</v>
      </c>
      <c r="D89" s="32" t="s">
        <v>237</v>
      </c>
      <c r="E89" s="32" t="s">
        <v>67</v>
      </c>
      <c r="F89" s="32" t="s">
        <v>293</v>
      </c>
      <c r="G89" s="32" t="s">
        <v>62</v>
      </c>
      <c r="H89" s="32" t="s">
        <v>293</v>
      </c>
      <c r="I89" s="32" t="s">
        <v>86</v>
      </c>
      <c r="J89" s="32" t="s">
        <v>193</v>
      </c>
      <c r="K89" s="39">
        <f t="shared" si="5"/>
        <v>32.43</v>
      </c>
    </row>
    <row r="90" spans="1:11" ht="15" customHeight="1" x14ac:dyDescent="0.2">
      <c r="A90" s="35" t="str">
        <f t="shared" si="4"/>
        <v>Crypto|BTC|Binance</v>
      </c>
      <c r="B90" s="32" t="s">
        <v>218</v>
      </c>
      <c r="C90" s="32" t="s">
        <v>222</v>
      </c>
      <c r="D90" s="32" t="s">
        <v>220</v>
      </c>
      <c r="E90" s="32" t="s">
        <v>67</v>
      </c>
      <c r="F90" s="32" t="s">
        <v>291</v>
      </c>
      <c r="G90" s="32" t="s">
        <v>62</v>
      </c>
      <c r="H90" s="32" t="s">
        <v>291</v>
      </c>
      <c r="I90" s="32" t="s">
        <v>86</v>
      </c>
      <c r="J90" s="32" t="s">
        <v>193</v>
      </c>
      <c r="K90" s="39">
        <f t="shared" si="5"/>
        <v>32.43</v>
      </c>
    </row>
    <row r="91" spans="1:11" ht="15" customHeight="1" x14ac:dyDescent="0.2">
      <c r="A91" s="35" t="str">
        <f t="shared" si="4"/>
        <v>Crypto|AAVE|Binance</v>
      </c>
      <c r="B91" s="32" t="s">
        <v>218</v>
      </c>
      <c r="C91" s="32" t="s">
        <v>219</v>
      </c>
      <c r="D91" s="32" t="s">
        <v>220</v>
      </c>
      <c r="E91" s="32" t="s">
        <v>67</v>
      </c>
      <c r="F91" s="32" t="s">
        <v>292</v>
      </c>
      <c r="G91" s="32" t="s">
        <v>62</v>
      </c>
      <c r="H91" s="32" t="s">
        <v>292</v>
      </c>
      <c r="I91" s="32" t="s">
        <v>86</v>
      </c>
      <c r="J91" s="32" t="s">
        <v>193</v>
      </c>
      <c r="K91" s="39">
        <f t="shared" si="5"/>
        <v>32.43</v>
      </c>
    </row>
    <row r="92" spans="1:11" ht="15" customHeight="1" x14ac:dyDescent="0.2">
      <c r="A92" s="35" t="str">
        <f t="shared" si="4"/>
        <v>Crypto|TRUMP|Binance</v>
      </c>
      <c r="B92" s="32" t="s">
        <v>218</v>
      </c>
      <c r="C92" s="32" t="s">
        <v>226</v>
      </c>
      <c r="D92" s="32" t="s">
        <v>220</v>
      </c>
      <c r="E92" s="32" t="s">
        <v>67</v>
      </c>
      <c r="F92" s="32" t="s">
        <v>292</v>
      </c>
      <c r="G92" s="32" t="s">
        <v>62</v>
      </c>
      <c r="H92" s="32" t="s">
        <v>292</v>
      </c>
      <c r="I92" s="32" t="s">
        <v>86</v>
      </c>
      <c r="J92" s="32" t="s">
        <v>193</v>
      </c>
      <c r="K92" s="39">
        <f t="shared" si="5"/>
        <v>32.43</v>
      </c>
    </row>
    <row r="93" spans="1:11" ht="15" customHeight="1" x14ac:dyDescent="0.2">
      <c r="A93" s="35" t="str">
        <f t="shared" si="4"/>
        <v>Crypto|PLUME|Binance</v>
      </c>
      <c r="B93" s="32" t="s">
        <v>218</v>
      </c>
      <c r="C93" s="32" t="s">
        <v>224</v>
      </c>
      <c r="D93" s="32" t="s">
        <v>220</v>
      </c>
      <c r="E93" s="32" t="s">
        <v>67</v>
      </c>
      <c r="F93" s="32" t="s">
        <v>292</v>
      </c>
      <c r="G93" s="32" t="s">
        <v>62</v>
      </c>
      <c r="H93" s="32" t="s">
        <v>292</v>
      </c>
      <c r="I93" s="32" t="s">
        <v>86</v>
      </c>
      <c r="J93" s="32" t="s">
        <v>193</v>
      </c>
      <c r="K93" s="39">
        <f t="shared" si="5"/>
        <v>32.43</v>
      </c>
    </row>
    <row r="94" spans="1:11" ht="15" customHeight="1" x14ac:dyDescent="0.2">
      <c r="A94" s="35" t="str">
        <f t="shared" si="4"/>
        <v>Crypto|SOL|Binance</v>
      </c>
      <c r="B94" s="32" t="s">
        <v>218</v>
      </c>
      <c r="C94" s="32" t="s">
        <v>225</v>
      </c>
      <c r="D94" s="32" t="s">
        <v>220</v>
      </c>
      <c r="E94" s="32" t="s">
        <v>67</v>
      </c>
      <c r="F94" s="32" t="s">
        <v>291</v>
      </c>
      <c r="G94" s="32" t="s">
        <v>62</v>
      </c>
      <c r="H94" s="32" t="s">
        <v>291</v>
      </c>
      <c r="I94" s="32" t="s">
        <v>86</v>
      </c>
      <c r="J94" s="32" t="s">
        <v>193</v>
      </c>
      <c r="K94" s="39">
        <f t="shared" si="5"/>
        <v>32.43</v>
      </c>
    </row>
    <row r="95" spans="1:11" ht="15" customHeight="1" x14ac:dyDescent="0.2">
      <c r="A95" s="35" t="str">
        <f t="shared" si="4"/>
        <v>Crypto|USDT|Binance</v>
      </c>
      <c r="B95" s="32" t="s">
        <v>218</v>
      </c>
      <c r="C95" s="32" t="s">
        <v>227</v>
      </c>
      <c r="D95" s="32" t="s">
        <v>220</v>
      </c>
      <c r="E95" s="32" t="s">
        <v>67</v>
      </c>
      <c r="F95" s="32" t="s">
        <v>293</v>
      </c>
      <c r="G95" s="32" t="s">
        <v>62</v>
      </c>
      <c r="H95" s="32" t="s">
        <v>293</v>
      </c>
      <c r="I95" s="32" t="s">
        <v>86</v>
      </c>
      <c r="J95" s="32" t="s">
        <v>193</v>
      </c>
      <c r="K95" s="39">
        <f t="shared" si="5"/>
        <v>32.43</v>
      </c>
    </row>
    <row r="96" spans="1:11" ht="15" customHeight="1" x14ac:dyDescent="0.2">
      <c r="A96" s="35" t="str">
        <f t="shared" si="4"/>
        <v>Crypto|BNB|Binance</v>
      </c>
      <c r="B96" s="32" t="s">
        <v>218</v>
      </c>
      <c r="C96" s="32" t="s">
        <v>221</v>
      </c>
      <c r="D96" s="32" t="s">
        <v>220</v>
      </c>
      <c r="E96" s="32" t="s">
        <v>67</v>
      </c>
      <c r="F96" s="32" t="s">
        <v>291</v>
      </c>
      <c r="G96" s="32" t="s">
        <v>62</v>
      </c>
      <c r="H96" s="32" t="s">
        <v>291</v>
      </c>
      <c r="I96" s="32" t="s">
        <v>86</v>
      </c>
      <c r="J96" s="32" t="s">
        <v>193</v>
      </c>
      <c r="K96" s="39">
        <f t="shared" si="5"/>
        <v>32.43</v>
      </c>
    </row>
    <row r="97" spans="1:11" ht="15" customHeight="1" x14ac:dyDescent="0.2">
      <c r="A97" s="35" t="str">
        <f t="shared" si="4"/>
        <v>Crypto|PENGU|Binance</v>
      </c>
      <c r="B97" s="32" t="s">
        <v>218</v>
      </c>
      <c r="C97" s="32" t="s">
        <v>223</v>
      </c>
      <c r="D97" s="32" t="s">
        <v>220</v>
      </c>
      <c r="E97" s="32" t="s">
        <v>67</v>
      </c>
      <c r="F97" s="32" t="s">
        <v>292</v>
      </c>
      <c r="G97" s="32" t="s">
        <v>62</v>
      </c>
      <c r="H97" s="32" t="s">
        <v>292</v>
      </c>
      <c r="I97" s="32" t="s">
        <v>86</v>
      </c>
      <c r="J97" s="32" t="s">
        <v>193</v>
      </c>
      <c r="K97" s="39">
        <f t="shared" si="5"/>
        <v>32.43</v>
      </c>
    </row>
    <row r="98" spans="1:11" ht="15" customHeight="1" x14ac:dyDescent="0.2">
      <c r="A98" s="35" t="str">
        <f t="shared" si="4"/>
        <v>Crypto|VELODROME|Binance</v>
      </c>
      <c r="B98" s="32" t="s">
        <v>218</v>
      </c>
      <c r="C98" s="32" t="s">
        <v>228</v>
      </c>
      <c r="D98" s="32" t="s">
        <v>220</v>
      </c>
      <c r="E98" s="32" t="s">
        <v>67</v>
      </c>
      <c r="F98" s="32" t="s">
        <v>292</v>
      </c>
      <c r="G98" s="32" t="s">
        <v>62</v>
      </c>
      <c r="H98" s="32" t="s">
        <v>292</v>
      </c>
      <c r="I98" s="32" t="s">
        <v>86</v>
      </c>
      <c r="J98" s="32" t="s">
        <v>193</v>
      </c>
      <c r="K98" s="39">
        <f t="shared" si="5"/>
        <v>32.43</v>
      </c>
    </row>
    <row r="99" spans="1:11" ht="15" customHeight="1" x14ac:dyDescent="0.2">
      <c r="A99" s="35" t="str">
        <f t="shared" si="4"/>
        <v>Crypto|BTC|Bitkub</v>
      </c>
      <c r="B99" s="32" t="s">
        <v>218</v>
      </c>
      <c r="C99" s="32" t="s">
        <v>222</v>
      </c>
      <c r="D99" s="32" t="s">
        <v>233</v>
      </c>
      <c r="E99" s="32" t="s">
        <v>67</v>
      </c>
      <c r="F99" s="32" t="s">
        <v>291</v>
      </c>
      <c r="G99" s="32" t="s">
        <v>62</v>
      </c>
      <c r="H99" s="32" t="s">
        <v>291</v>
      </c>
      <c r="I99" s="32" t="s">
        <v>86</v>
      </c>
      <c r="J99" s="32" t="s">
        <v>9</v>
      </c>
      <c r="K99" s="39">
        <f t="shared" si="5"/>
        <v>1</v>
      </c>
    </row>
    <row r="100" spans="1:11" ht="15" customHeight="1" x14ac:dyDescent="0.2">
      <c r="A100" s="35" t="str">
        <f t="shared" si="4"/>
        <v>Crypto|BNB|Bitkub</v>
      </c>
      <c r="B100" s="32" t="s">
        <v>218</v>
      </c>
      <c r="C100" s="32" t="s">
        <v>221</v>
      </c>
      <c r="D100" s="32" t="s">
        <v>233</v>
      </c>
      <c r="E100" s="32" t="s">
        <v>67</v>
      </c>
      <c r="F100" s="32" t="s">
        <v>291</v>
      </c>
      <c r="G100" s="32" t="s">
        <v>62</v>
      </c>
      <c r="H100" s="32" t="s">
        <v>291</v>
      </c>
      <c r="I100" s="32" t="s">
        <v>86</v>
      </c>
      <c r="J100" s="32" t="s">
        <v>9</v>
      </c>
      <c r="K100" s="39">
        <f t="shared" si="5"/>
        <v>1</v>
      </c>
    </row>
    <row r="101" spans="1:11" ht="15" customHeight="1" x14ac:dyDescent="0.2">
      <c r="A101" s="35" t="str">
        <f t="shared" ref="A101:A106" si="6">B101&amp;"|"&amp;C101&amp;"|"&amp;D101</f>
        <v>Crypto|DOGE|Bitkub</v>
      </c>
      <c r="B101" s="32" t="s">
        <v>218</v>
      </c>
      <c r="C101" s="32" t="s">
        <v>234</v>
      </c>
      <c r="D101" s="32" t="s">
        <v>233</v>
      </c>
      <c r="E101" s="32" t="s">
        <v>67</v>
      </c>
      <c r="F101" s="32" t="s">
        <v>292</v>
      </c>
      <c r="G101" s="32" t="s">
        <v>62</v>
      </c>
      <c r="H101" s="32" t="s">
        <v>292</v>
      </c>
      <c r="I101" s="32" t="s">
        <v>86</v>
      </c>
      <c r="J101" s="32" t="s">
        <v>9</v>
      </c>
      <c r="K101" s="39">
        <f t="shared" ref="K101:K106" si="7">IF(J101="THB",1,FXRate)</f>
        <v>1</v>
      </c>
    </row>
    <row r="102" spans="1:11" ht="15" customHeight="1" x14ac:dyDescent="0.2">
      <c r="A102" s="35" t="str">
        <f t="shared" si="6"/>
        <v>Crypto|ETH|Bitkub</v>
      </c>
      <c r="B102" s="32" t="s">
        <v>218</v>
      </c>
      <c r="C102" s="32" t="s">
        <v>235</v>
      </c>
      <c r="D102" s="32" t="s">
        <v>233</v>
      </c>
      <c r="E102" s="32" t="s">
        <v>67</v>
      </c>
      <c r="F102" s="32" t="s">
        <v>291</v>
      </c>
      <c r="G102" s="32" t="s">
        <v>62</v>
      </c>
      <c r="H102" s="32" t="s">
        <v>291</v>
      </c>
      <c r="I102" s="32" t="s">
        <v>86</v>
      </c>
      <c r="J102" s="32" t="s">
        <v>9</v>
      </c>
      <c r="K102" s="39">
        <f t="shared" si="7"/>
        <v>1</v>
      </c>
    </row>
    <row r="103" spans="1:11" ht="15" customHeight="1" x14ac:dyDescent="0.2">
      <c r="A103" s="35" t="str">
        <f t="shared" si="6"/>
        <v>Crypto|KUB|Bitkub</v>
      </c>
      <c r="B103" s="32" t="s">
        <v>218</v>
      </c>
      <c r="C103" s="32" t="s">
        <v>236</v>
      </c>
      <c r="D103" s="32" t="s">
        <v>233</v>
      </c>
      <c r="E103" s="32" t="s">
        <v>67</v>
      </c>
      <c r="F103" s="32" t="s">
        <v>292</v>
      </c>
      <c r="G103" s="32" t="s">
        <v>62</v>
      </c>
      <c r="H103" s="32" t="s">
        <v>292</v>
      </c>
      <c r="I103" s="32" t="s">
        <v>86</v>
      </c>
      <c r="J103" s="32" t="s">
        <v>9</v>
      </c>
      <c r="K103" s="39">
        <f t="shared" si="7"/>
        <v>1</v>
      </c>
    </row>
    <row r="104" spans="1:11" ht="15" customHeight="1" x14ac:dyDescent="0.2">
      <c r="A104" s="35" t="str">
        <f t="shared" si="6"/>
        <v>Crypto|VELO|Bitazza</v>
      </c>
      <c r="B104" s="32" t="s">
        <v>218</v>
      </c>
      <c r="C104" s="32" t="s">
        <v>232</v>
      </c>
      <c r="D104" s="32" t="s">
        <v>230</v>
      </c>
      <c r="E104" s="32" t="s">
        <v>67</v>
      </c>
      <c r="F104" s="32" t="s">
        <v>292</v>
      </c>
      <c r="G104" s="32" t="s">
        <v>62</v>
      </c>
      <c r="H104" s="32" t="s">
        <v>292</v>
      </c>
      <c r="I104" s="32" t="s">
        <v>86</v>
      </c>
      <c r="J104" s="32" t="s">
        <v>9</v>
      </c>
      <c r="K104" s="39">
        <f t="shared" si="7"/>
        <v>1</v>
      </c>
    </row>
    <row r="105" spans="1:11" ht="15" customHeight="1" x14ac:dyDescent="0.2">
      <c r="A105" s="35" t="str">
        <f t="shared" si="6"/>
        <v>Crypto|SUI|Bitazza</v>
      </c>
      <c r="B105" s="32" t="s">
        <v>218</v>
      </c>
      <c r="C105" s="32" t="s">
        <v>231</v>
      </c>
      <c r="D105" s="32" t="s">
        <v>230</v>
      </c>
      <c r="E105" s="32" t="s">
        <v>67</v>
      </c>
      <c r="F105" s="32" t="s">
        <v>292</v>
      </c>
      <c r="G105" s="32" t="s">
        <v>62</v>
      </c>
      <c r="H105" s="32" t="s">
        <v>292</v>
      </c>
      <c r="I105" s="32" t="s">
        <v>86</v>
      </c>
      <c r="J105" s="32" t="s">
        <v>9</v>
      </c>
      <c r="K105" s="39">
        <f t="shared" si="7"/>
        <v>1</v>
      </c>
    </row>
    <row r="106" spans="1:11" ht="15" customHeight="1" x14ac:dyDescent="0.2">
      <c r="A106" s="35" t="str">
        <f t="shared" si="6"/>
        <v>Crypto|ARB|Bitazza</v>
      </c>
      <c r="B106" s="32" t="s">
        <v>218</v>
      </c>
      <c r="C106" s="32" t="s">
        <v>229</v>
      </c>
      <c r="D106" s="32" t="s">
        <v>230</v>
      </c>
      <c r="E106" s="32" t="s">
        <v>67</v>
      </c>
      <c r="F106" s="32" t="s">
        <v>292</v>
      </c>
      <c r="G106" s="32" t="s">
        <v>62</v>
      </c>
      <c r="H106" s="32" t="s">
        <v>292</v>
      </c>
      <c r="I106" s="32" t="s">
        <v>86</v>
      </c>
      <c r="J106" s="32" t="s">
        <v>9</v>
      </c>
      <c r="K106" s="39">
        <f t="shared" si="7"/>
        <v>1</v>
      </c>
    </row>
  </sheetData>
  <mergeCells count="1"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README</vt:lpstr>
      <vt:lpstr>Dashboard</vt:lpstr>
      <vt:lpstr>Weekly Snapshot</vt:lpstr>
      <vt:lpstr>FX &amp; Assumptions</vt:lpstr>
      <vt:lpstr>Prices</vt:lpstr>
      <vt:lpstr>MF - Lots</vt:lpstr>
      <vt:lpstr>MF - by Fund</vt:lpstr>
      <vt:lpstr>Equities - Lots</vt:lpstr>
      <vt:lpstr>Equities - by Ticker</vt:lpstr>
      <vt:lpstr>Crypto - Lots</vt:lpstr>
      <vt:lpstr>Crypto - by Coin</vt:lpstr>
      <vt:lpstr>Reference</vt:lpstr>
      <vt:lpstr>AsOfDate</vt:lpstr>
      <vt:lpstr>FXRate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veerasak supakatitham</cp:lastModifiedBy>
  <cp:revision>3</cp:revision>
  <dcterms:created xsi:type="dcterms:W3CDTF">2026-04-18T15:58:57Z</dcterms:created>
  <dcterms:modified xsi:type="dcterms:W3CDTF">2026-05-31T14:51:50Z</dcterms:modified>
  <dc:language>en-US</dc:language>
</cp:coreProperties>
</file>